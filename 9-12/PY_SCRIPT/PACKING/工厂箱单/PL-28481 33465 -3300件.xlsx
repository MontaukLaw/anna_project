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TUYA\Desktop\新建文件夹\新SO\9-22 JP WM (14889 11516 13536） 28481 28483 33465  3300件-星辉仓-截9.21-9.23 15点（货未下）丰盈永旺已约车\"/>
    </mc:Choice>
  </mc:AlternateContent>
  <xr:revisionPtr revIDLastSave="0" documentId="13_ncr:1_{180343BC-6FB0-418B-9EAC-740A6DADD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Sheet1!$A$1:$Y$31</definedName>
    <definedName name="_xlnm.Print_Titles" localSheetId="0">Sheet1!$1:$3</definedName>
  </definedNames>
  <calcPr calcId="191029"/>
</workbook>
</file>

<file path=xl/calcChain.xml><?xml version="1.0" encoding="utf-8"?>
<calcChain xmlns="http://schemas.openxmlformats.org/spreadsheetml/2006/main">
  <c r="H8" i="1" l="1"/>
  <c r="J6" i="1"/>
  <c r="P6" i="1" s="1"/>
  <c r="J5" i="1"/>
  <c r="R5" i="1" s="1"/>
  <c r="Q6" i="1" l="1"/>
  <c r="R6" i="1"/>
  <c r="Q5" i="1"/>
  <c r="P5" i="1"/>
  <c r="J4" i="1" l="1"/>
  <c r="R4" i="1" l="1"/>
  <c r="P4" i="1"/>
  <c r="Q4" i="1"/>
  <c r="J7" i="1" l="1"/>
  <c r="R7" i="1" l="1"/>
  <c r="R8" i="1" s="1"/>
  <c r="J8" i="1"/>
  <c r="P7" i="1"/>
  <c r="P8" i="1" s="1"/>
  <c r="Q7" i="1"/>
  <c r="Q8" i="1" s="1"/>
</calcChain>
</file>

<file path=xl/sharedStrings.xml><?xml version="1.0" encoding="utf-8"?>
<sst xmlns="http://schemas.openxmlformats.org/spreadsheetml/2006/main" count="76" uniqueCount="63">
  <si>
    <r>
      <rPr>
        <b/>
        <sz val="20"/>
        <rFont val="Calibri"/>
        <family val="2"/>
      </rPr>
      <t>装</t>
    </r>
    <r>
      <rPr>
        <b/>
        <sz val="20"/>
        <rFont val="Calibri"/>
        <family val="2"/>
      </rPr>
      <t xml:space="preserve">  </t>
    </r>
    <r>
      <rPr>
        <b/>
        <sz val="20"/>
        <rFont val="宋体"/>
        <family val="3"/>
        <charset val="134"/>
      </rPr>
      <t>箱</t>
    </r>
    <r>
      <rPr>
        <b/>
        <sz val="20"/>
        <rFont val="Calibri"/>
        <family val="2"/>
      </rPr>
      <t xml:space="preserve">  </t>
    </r>
    <r>
      <rPr>
        <b/>
        <sz val="20"/>
        <rFont val="宋体"/>
        <family val="3"/>
        <charset val="134"/>
      </rPr>
      <t>清</t>
    </r>
    <r>
      <rPr>
        <b/>
        <sz val="20"/>
        <rFont val="Calibri"/>
        <family val="2"/>
      </rPr>
      <t xml:space="preserve">  </t>
    </r>
    <r>
      <rPr>
        <b/>
        <sz val="20"/>
        <rFont val="宋体"/>
        <family val="3"/>
        <charset val="134"/>
      </rPr>
      <t>单</t>
    </r>
  </si>
  <si>
    <t>Customer</t>
  </si>
  <si>
    <t>PO#</t>
  </si>
  <si>
    <t>CUSTOMER ORDER NO.</t>
  </si>
  <si>
    <t>Item#</t>
  </si>
  <si>
    <t>Customer Item No.:</t>
  </si>
  <si>
    <t>Description</t>
  </si>
  <si>
    <t>no.of ctn</t>
  </si>
  <si>
    <t>Measurement/ctn (L/W/H ) cm</t>
  </si>
  <si>
    <t>NW/CTN</t>
  </si>
  <si>
    <t>GW/CTN</t>
  </si>
  <si>
    <t>NW</t>
  </si>
  <si>
    <t>GW</t>
  </si>
  <si>
    <t>CBM</t>
  </si>
  <si>
    <t>品牌</t>
  </si>
  <si>
    <t>单价</t>
  </si>
  <si>
    <t>表面材质</t>
  </si>
  <si>
    <t>出货日期</t>
  </si>
  <si>
    <t>SO</t>
  </si>
  <si>
    <t>KGS</t>
  </si>
  <si>
    <t>USD</t>
  </si>
  <si>
    <t>出口方式：</t>
  </si>
  <si>
    <t>出口国家：</t>
  </si>
  <si>
    <t>出货期：</t>
  </si>
  <si>
    <t>运输：</t>
  </si>
  <si>
    <t>车牌：</t>
  </si>
  <si>
    <t>Qty/Ctn</t>
    <phoneticPr fontId="10" type="noConversion"/>
  </si>
  <si>
    <t>Qty/PCS</t>
    <phoneticPr fontId="10" type="noConversion"/>
  </si>
  <si>
    <r>
      <rPr>
        <b/>
        <sz val="12"/>
        <color rgb="FFFF0000"/>
        <rFont val="Calibri"/>
        <family val="2"/>
      </rPr>
      <t>Total</t>
    </r>
    <r>
      <rPr>
        <b/>
        <sz val="12"/>
        <color rgb="FFFF0000"/>
        <rFont val="宋体"/>
        <family val="3"/>
        <charset val="134"/>
      </rPr>
      <t>：</t>
    </r>
  </si>
  <si>
    <t>包装方式</t>
    <phoneticPr fontId="10" type="noConversion"/>
  </si>
  <si>
    <t>美国</t>
    <phoneticPr fontId="10" type="noConversion"/>
  </si>
  <si>
    <t>Playskool</t>
    <phoneticPr fontId="10" type="noConversion"/>
  </si>
  <si>
    <t>订仓号：</t>
    <phoneticPr fontId="10" type="noConversion"/>
  </si>
  <si>
    <t>柜号：</t>
    <phoneticPr fontId="10" type="noConversion"/>
  </si>
  <si>
    <t>封条号：</t>
    <phoneticPr fontId="10" type="noConversion"/>
  </si>
  <si>
    <t>Playskool ABC Soft Stacking Blocks</t>
    <phoneticPr fontId="10" type="noConversion"/>
  </si>
  <si>
    <t>骰子</t>
    <phoneticPr fontId="10" type="noConversion"/>
  </si>
  <si>
    <t>搪胶</t>
    <phoneticPr fontId="10" type="noConversion"/>
  </si>
  <si>
    <t>卡板数量</t>
    <phoneticPr fontId="10" type="noConversion"/>
  </si>
  <si>
    <t>散货入星辉仓/清关</t>
    <phoneticPr fontId="10" type="noConversion"/>
  </si>
  <si>
    <r>
      <rPr>
        <b/>
        <sz val="12"/>
        <color indexed="10"/>
        <rFont val="宋体"/>
        <family val="3"/>
        <charset val="134"/>
      </rPr>
      <t>温馨提示：</t>
    </r>
    <r>
      <rPr>
        <b/>
        <sz val="12"/>
        <color indexed="10"/>
        <rFont val="Calibri"/>
        <family val="2"/>
      </rPr>
      <t xml:space="preserve">
</t>
    </r>
    <r>
      <rPr>
        <b/>
        <sz val="12"/>
        <color indexed="10"/>
        <rFont val="宋体"/>
        <family val="3"/>
        <charset val="134"/>
      </rPr>
      <t>如外箱有箭头标识时，装货一定要箭头朝上，否则货到保税仓会有费用产生，谢谢。</t>
    </r>
    <phoneticPr fontId="10" type="noConversion"/>
  </si>
  <si>
    <t>小搪胶鸭子系列</t>
    <phoneticPr fontId="10" type="noConversion"/>
  </si>
  <si>
    <t>丰盈永旺</t>
    <phoneticPr fontId="10" type="noConversion"/>
  </si>
  <si>
    <t>Impulse Duckalooz 2 Pack</t>
    <phoneticPr fontId="10" type="noConversion"/>
  </si>
  <si>
    <t>Disney/
Duckalooz/JUST PLAY</t>
    <phoneticPr fontId="10" type="noConversion"/>
  </si>
  <si>
    <t>Wal-Mart Store Inc.</t>
    <phoneticPr fontId="10" type="noConversion"/>
  </si>
  <si>
    <t>POHK-26-14889-001</t>
    <phoneticPr fontId="10" type="noConversion"/>
  </si>
  <si>
    <t>1007876234</t>
    <phoneticPr fontId="10" type="noConversion"/>
  </si>
  <si>
    <r>
      <t>2PC/</t>
    </r>
    <r>
      <rPr>
        <sz val="12"/>
        <rFont val="宋体"/>
        <family val="2"/>
        <charset val="134"/>
      </rPr>
      <t>头卡</t>
    </r>
    <r>
      <rPr>
        <sz val="12"/>
        <rFont val="Calibri"/>
        <family val="2"/>
      </rPr>
      <t>/</t>
    </r>
    <r>
      <rPr>
        <sz val="12"/>
        <rFont val="宋体"/>
        <family val="2"/>
        <charset val="134"/>
      </rPr>
      <t>胶袋</t>
    </r>
    <r>
      <rPr>
        <sz val="12"/>
        <rFont val="Calibri"/>
        <family val="2"/>
      </rPr>
      <t>+RFID</t>
    </r>
    <r>
      <rPr>
        <sz val="12"/>
        <rFont val="宋体"/>
        <family val="2"/>
        <charset val="134"/>
      </rPr>
      <t>，</t>
    </r>
    <r>
      <rPr>
        <sz val="12"/>
        <rFont val="Calibri"/>
        <family val="2"/>
      </rPr>
      <t>12</t>
    </r>
    <r>
      <rPr>
        <sz val="12"/>
        <rFont val="宋体"/>
        <family val="2"/>
        <charset val="134"/>
      </rPr>
      <t>袋</t>
    </r>
    <r>
      <rPr>
        <sz val="12"/>
        <rFont val="Calibri"/>
        <family val="2"/>
      </rPr>
      <t>/PDQ/</t>
    </r>
    <r>
      <rPr>
        <sz val="12"/>
        <rFont val="宋体"/>
        <family val="2"/>
        <charset val="134"/>
      </rPr>
      <t>箱</t>
    </r>
    <phoneticPr fontId="10" type="noConversion"/>
  </si>
  <si>
    <t>9/21验货</t>
    <phoneticPr fontId="10" type="noConversion"/>
  </si>
  <si>
    <t>POHK-26-11516-001</t>
    <phoneticPr fontId="10" type="noConversion"/>
  </si>
  <si>
    <t>0999523216</t>
    <phoneticPr fontId="10" type="noConversion"/>
  </si>
  <si>
    <t>POHK-26-13536-001</t>
    <phoneticPr fontId="10" type="noConversion"/>
  </si>
  <si>
    <t>1003449485</t>
    <phoneticPr fontId="10" type="noConversion"/>
  </si>
  <si>
    <t>Playskool Bobble Ball</t>
    <phoneticPr fontId="10" type="noConversion"/>
  </si>
  <si>
    <t>振动球</t>
    <phoneticPr fontId="10" type="noConversion"/>
  </si>
  <si>
    <t>塑胶+五金</t>
    <phoneticPr fontId="10" type="noConversion"/>
  </si>
  <si>
    <r>
      <t>1PC/</t>
    </r>
    <r>
      <rPr>
        <sz val="10"/>
        <rFont val="宋体"/>
        <family val="2"/>
        <charset val="134"/>
      </rPr>
      <t>彩盒</t>
    </r>
    <r>
      <rPr>
        <sz val="10"/>
        <rFont val="Calibri"/>
        <family val="2"/>
      </rPr>
      <t>+RFID+EPC/</t>
    </r>
    <r>
      <rPr>
        <sz val="10"/>
        <rFont val="宋体"/>
        <family val="2"/>
        <charset val="134"/>
      </rPr>
      <t>箱</t>
    </r>
    <phoneticPr fontId="10" type="noConversion"/>
  </si>
  <si>
    <r>
      <t>12PCS</t>
    </r>
    <r>
      <rPr>
        <sz val="11"/>
        <rFont val="宋体"/>
        <family val="2"/>
        <charset val="134"/>
      </rPr>
      <t>为</t>
    </r>
    <r>
      <rPr>
        <sz val="11"/>
        <rFont val="Calibri"/>
        <family val="2"/>
      </rPr>
      <t>1</t>
    </r>
    <r>
      <rPr>
        <sz val="11"/>
        <rFont val="宋体"/>
        <family val="2"/>
        <charset val="134"/>
      </rPr>
      <t>套</t>
    </r>
    <r>
      <rPr>
        <sz val="11"/>
        <rFont val="Calibri"/>
        <family val="2"/>
      </rPr>
      <t>/</t>
    </r>
    <r>
      <rPr>
        <sz val="11"/>
        <rFont val="宋体"/>
        <family val="2"/>
        <charset val="134"/>
      </rPr>
      <t>彩盒，</t>
    </r>
    <r>
      <rPr>
        <sz val="11"/>
        <rFont val="Calibri"/>
        <family val="2"/>
      </rPr>
      <t>4</t>
    </r>
    <r>
      <rPr>
        <sz val="11"/>
        <rFont val="宋体"/>
        <family val="2"/>
        <charset val="134"/>
      </rPr>
      <t>盒</t>
    </r>
    <r>
      <rPr>
        <sz val="11"/>
        <rFont val="Calibri"/>
        <family val="2"/>
      </rPr>
      <t>/</t>
    </r>
    <r>
      <rPr>
        <sz val="11"/>
        <rFont val="宋体"/>
        <family val="2"/>
        <charset val="134"/>
      </rPr>
      <t>箱</t>
    </r>
    <phoneticPr fontId="10" type="noConversion"/>
  </si>
  <si>
    <t>SBK0004623973</t>
    <phoneticPr fontId="10" type="noConversion"/>
  </si>
  <si>
    <t>SBK0004624008</t>
    <phoneticPr fontId="10" type="noConversion"/>
  </si>
  <si>
    <t>SBK0004624001</t>
    <phoneticPr fontId="10" type="noConversion"/>
  </si>
  <si>
    <t>14889单未下货(9/21验),9/18已通知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</si>
</sst>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0_ "/>
  </numFmts>
  <fonts count="41">
    <font>
      <sz val="12"/>
      <name val="宋体"/>
      <charset val="134"/>
    </font>
    <font>
      <sz val="12"/>
      <name val="Calibri"/>
      <family val="2"/>
    </font>
    <font>
      <b/>
      <sz val="20"/>
      <name val="Calibri"/>
      <family val="2"/>
    </font>
    <font>
      <sz val="10"/>
      <name val="Calibri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8"/>
      <name val="宋体"/>
      <family val="3"/>
      <charset val="134"/>
    </font>
    <font>
      <sz val="10"/>
      <name val="Arial"/>
      <family val="2"/>
    </font>
    <font>
      <sz val="11"/>
      <color rgb="FF9C6500"/>
      <name val="宋体"/>
      <family val="3"/>
      <charset val="134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u/>
      <sz val="12"/>
      <color rgb="FFFF0000"/>
      <name val="Calibri"/>
      <family val="2"/>
    </font>
    <font>
      <b/>
      <sz val="12"/>
      <color rgb="FFFF0000"/>
      <name val="宋体"/>
      <family val="3"/>
      <charset val="134"/>
    </font>
    <font>
      <b/>
      <sz val="11"/>
      <name val="Calibri"/>
      <family val="2"/>
    </font>
    <font>
      <b/>
      <sz val="1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8"/>
      <name val="Calibri"/>
      <family val="2"/>
    </font>
    <font>
      <b/>
      <sz val="18"/>
      <name val="宋体"/>
      <family val="2"/>
      <charset val="134"/>
    </font>
    <font>
      <b/>
      <sz val="18"/>
      <name val="Calibri"/>
      <family val="2"/>
    </font>
    <font>
      <b/>
      <sz val="18"/>
      <name val="Calibri"/>
      <family val="2"/>
      <charset val="134"/>
    </font>
    <font>
      <b/>
      <sz val="11"/>
      <name val="宋体"/>
      <family val="2"/>
      <charset val="134"/>
    </font>
    <font>
      <b/>
      <sz val="18"/>
      <name val="宋体"/>
      <family val="3"/>
      <charset val="134"/>
    </font>
    <font>
      <b/>
      <sz val="16"/>
      <name val="Calibri"/>
      <family val="2"/>
      <charset val="134"/>
    </font>
    <font>
      <sz val="18"/>
      <name val="宋体"/>
      <family val="2"/>
      <charset val="134"/>
    </font>
    <font>
      <sz val="11"/>
      <color theme="1"/>
      <name val="Calibri"/>
      <family val="2"/>
    </font>
    <font>
      <sz val="10"/>
      <name val="宋体"/>
      <family val="2"/>
      <charset val="134"/>
    </font>
    <font>
      <sz val="11"/>
      <name val="宋体"/>
      <family val="2"/>
      <charset val="134"/>
    </font>
    <font>
      <b/>
      <sz val="12"/>
      <color indexed="10"/>
      <name val="Calibri"/>
      <family val="2"/>
    </font>
    <font>
      <b/>
      <sz val="12"/>
      <color indexed="10"/>
      <name val="宋体"/>
      <family val="3"/>
      <charset val="134"/>
    </font>
    <font>
      <b/>
      <sz val="12"/>
      <name val="Calibri"/>
      <family val="2"/>
    </font>
    <font>
      <b/>
      <sz val="12"/>
      <color indexed="10"/>
      <name val="Calibri"/>
      <family val="3"/>
      <charset val="134"/>
    </font>
    <font>
      <b/>
      <sz val="12"/>
      <name val="宋体"/>
      <family val="3"/>
      <charset val="134"/>
    </font>
    <font>
      <sz val="12"/>
      <name val="宋体"/>
      <family val="2"/>
      <charset val="134"/>
    </font>
    <font>
      <sz val="12"/>
      <color theme="1"/>
      <name val="Calibri"/>
      <family val="2"/>
    </font>
    <font>
      <sz val="9"/>
      <color rgb="FF000000"/>
      <name val="Segoe UI"/>
      <family val="2"/>
    </font>
    <font>
      <sz val="10"/>
      <name val="Calibri"/>
      <family val="2"/>
      <charset val="134"/>
    </font>
    <font>
      <sz val="14"/>
      <name val="Calibri"/>
      <family val="2"/>
    </font>
    <font>
      <sz val="11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8" fillId="4" borderId="0" applyNumberFormat="0" applyBorder="0" applyAlignment="0" applyProtection="0"/>
  </cellStyleXfs>
  <cellXfs count="116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 wrapText="1" shrinkToFit="1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>
      <alignment vertical="center"/>
    </xf>
    <xf numFmtId="3" fontId="3" fillId="2" borderId="0" xfId="0" applyNumberFormat="1" applyFont="1" applyFill="1" applyAlignment="1">
      <alignment vertical="center" wrapText="1" shrinkToFi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shrinkToFit="1"/>
    </xf>
    <xf numFmtId="0" fontId="3" fillId="2" borderId="0" xfId="0" applyFont="1" applyFill="1">
      <alignment vertical="center"/>
    </xf>
    <xf numFmtId="0" fontId="1" fillId="2" borderId="0" xfId="0" applyFont="1" applyFill="1" applyAlignment="1">
      <alignment vertical="center" shrinkToFit="1"/>
    </xf>
    <xf numFmtId="58" fontId="1" fillId="2" borderId="0" xfId="0" applyNumberFormat="1" applyFont="1" applyFill="1" applyAlignment="1">
      <alignment horizontal="left" vertical="center" shrinkToFit="1"/>
    </xf>
    <xf numFmtId="0" fontId="1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58" fontId="5" fillId="2" borderId="0" xfId="0" applyNumberFormat="1" applyFont="1" applyFill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shrinkToFit="1"/>
    </xf>
    <xf numFmtId="0" fontId="3" fillId="0" borderId="0" xfId="0" applyFont="1">
      <alignment vertical="center"/>
    </xf>
    <xf numFmtId="58" fontId="1" fillId="0" borderId="0" xfId="0" applyNumberFormat="1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58" fontId="5" fillId="3" borderId="0" xfId="0" applyNumberFormat="1" applyFont="1" applyFill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2" fillId="0" borderId="0" xfId="0" applyFont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4" fillId="2" borderId="4" xfId="0" applyFont="1" applyFill="1" applyBorder="1" applyAlignment="1">
      <alignment horizontal="center" vertical="center" wrapText="1" shrinkToFit="1"/>
    </xf>
    <xf numFmtId="0" fontId="12" fillId="2" borderId="0" xfId="0" applyFont="1" applyFill="1" applyAlignment="1">
      <alignment horizontal="center" vertical="center" shrinkToFit="1"/>
    </xf>
    <xf numFmtId="176" fontId="12" fillId="2" borderId="0" xfId="0" applyNumberFormat="1" applyFont="1" applyFill="1" applyAlignment="1">
      <alignment horizontal="center" vertical="center" shrinkToFit="1"/>
    </xf>
    <xf numFmtId="176" fontId="12" fillId="2" borderId="4" xfId="0" applyNumberFormat="1" applyFont="1" applyFill="1" applyBorder="1" applyAlignment="1">
      <alignment horizontal="center" vertical="center" shrinkToFit="1"/>
    </xf>
    <xf numFmtId="2" fontId="12" fillId="2" borderId="4" xfId="0" applyNumberFormat="1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wrapText="1" shrinkToFit="1"/>
    </xf>
    <xf numFmtId="0" fontId="15" fillId="0" borderId="1" xfId="0" applyFont="1" applyBorder="1" applyAlignment="1">
      <alignment horizontal="center" shrinkToFit="1"/>
    </xf>
    <xf numFmtId="0" fontId="17" fillId="0" borderId="0" xfId="0" applyFont="1" applyAlignment="1">
      <alignment horizontal="center" vertical="center" shrinkToFit="1"/>
    </xf>
    <xf numFmtId="0" fontId="15" fillId="0" borderId="2" xfId="0" applyFont="1" applyBorder="1" applyAlignment="1">
      <alignment horizontal="center" vertical="top" wrapText="1" shrinkToFit="1"/>
    </xf>
    <xf numFmtId="0" fontId="15" fillId="0" borderId="2" xfId="0" applyFont="1" applyBorder="1" applyAlignment="1">
      <alignment horizontal="center" vertical="top" shrinkToFit="1"/>
    </xf>
    <xf numFmtId="0" fontId="17" fillId="2" borderId="1" xfId="0" applyFont="1" applyFill="1" applyBorder="1" applyAlignment="1">
      <alignment horizontal="center" vertical="center" wrapText="1" shrinkToFit="1"/>
    </xf>
    <xf numFmtId="0" fontId="18" fillId="2" borderId="1" xfId="0" applyFont="1" applyFill="1" applyBorder="1" applyAlignment="1">
      <alignment horizontal="center" vertical="center" wrapText="1" shrinkToFit="1"/>
    </xf>
    <xf numFmtId="0" fontId="17" fillId="2" borderId="1" xfId="0" applyFont="1" applyFill="1" applyBorder="1" applyAlignment="1">
      <alignment horizontal="center" vertical="center" shrinkToFit="1"/>
    </xf>
    <xf numFmtId="176" fontId="17" fillId="2" borderId="1" xfId="0" applyNumberFormat="1" applyFont="1" applyFill="1" applyBorder="1" applyAlignment="1">
      <alignment horizontal="center" vertical="center" shrinkToFit="1"/>
    </xf>
    <xf numFmtId="2" fontId="17" fillId="2" borderId="1" xfId="0" applyNumberFormat="1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1" fillId="0" borderId="0" xfId="0" applyFont="1" applyAlignment="1">
      <alignment vertical="center" wrapText="1" shrinkToFit="1"/>
    </xf>
    <xf numFmtId="0" fontId="17" fillId="5" borderId="1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0" fontId="19" fillId="2" borderId="0" xfId="0" applyFont="1" applyFill="1">
      <alignment vertical="center"/>
    </xf>
    <xf numFmtId="0" fontId="22" fillId="0" borderId="0" xfId="0" applyFont="1" applyAlignment="1">
      <alignment vertical="center" shrinkToFit="1"/>
    </xf>
    <xf numFmtId="0" fontId="17" fillId="6" borderId="1" xfId="0" applyFont="1" applyFill="1" applyBorder="1" applyAlignment="1">
      <alignment horizontal="center" vertical="center" wrapText="1" shrinkToFit="1"/>
    </xf>
    <xf numFmtId="0" fontId="15" fillId="3" borderId="5" xfId="0" applyFont="1" applyFill="1" applyBorder="1" applyAlignment="1">
      <alignment horizontal="center" shrinkToFit="1"/>
    </xf>
    <xf numFmtId="0" fontId="16" fillId="3" borderId="3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center" vertical="center" wrapText="1" shrinkToFit="1"/>
    </xf>
    <xf numFmtId="0" fontId="5" fillId="0" borderId="0" xfId="0" applyFont="1">
      <alignment vertical="center"/>
    </xf>
    <xf numFmtId="0" fontId="24" fillId="0" borderId="0" xfId="0" applyFont="1" applyAlignment="1">
      <alignment vertical="center" wrapText="1" shrinkToFit="1"/>
    </xf>
    <xf numFmtId="0" fontId="19" fillId="0" borderId="0" xfId="0" applyFont="1">
      <alignment vertical="center"/>
    </xf>
    <xf numFmtId="3" fontId="3" fillId="0" borderId="0" xfId="0" applyNumberFormat="1" applyFont="1" applyAlignment="1">
      <alignment vertical="center" wrapText="1" shrinkToFit="1"/>
    </xf>
    <xf numFmtId="0" fontId="25" fillId="0" borderId="0" xfId="0" applyFont="1" applyAlignment="1">
      <alignment vertical="center" shrinkToFit="1"/>
    </xf>
    <xf numFmtId="0" fontId="27" fillId="2" borderId="1" xfId="0" applyFont="1" applyFill="1" applyBorder="1" applyAlignment="1">
      <alignment horizontal="center" vertical="center" shrinkToFit="1"/>
    </xf>
    <xf numFmtId="178" fontId="27" fillId="2" borderId="1" xfId="0" applyNumberFormat="1" applyFont="1" applyFill="1" applyBorder="1" applyAlignment="1">
      <alignment horizontal="center" vertical="center" shrinkToFit="1"/>
    </xf>
    <xf numFmtId="3" fontId="28" fillId="2" borderId="0" xfId="0" applyNumberFormat="1" applyFont="1" applyFill="1" applyAlignment="1">
      <alignment vertical="center" wrapText="1" shrinkToFit="1"/>
    </xf>
    <xf numFmtId="0" fontId="26" fillId="0" borderId="0" xfId="0" applyFont="1">
      <alignment vertical="center"/>
    </xf>
    <xf numFmtId="0" fontId="20" fillId="0" borderId="0" xfId="0" applyFont="1" applyAlignment="1">
      <alignment vertical="center" wrapText="1" shrinkToFit="1"/>
    </xf>
    <xf numFmtId="0" fontId="21" fillId="0" borderId="0" xfId="0" applyFont="1" applyAlignment="1">
      <alignment vertical="center" wrapText="1" shrinkToFit="1"/>
    </xf>
    <xf numFmtId="0" fontId="26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32" fillId="3" borderId="0" xfId="0" applyFont="1" applyFill="1" applyAlignment="1">
      <alignment vertical="center" wrapText="1" shrinkToFit="1"/>
    </xf>
    <xf numFmtId="0" fontId="34" fillId="0" borderId="0" xfId="0" applyFont="1" applyAlignment="1">
      <alignment vertical="center" wrapText="1" shrinkToFit="1"/>
    </xf>
    <xf numFmtId="0" fontId="18" fillId="2" borderId="0" xfId="0" applyFont="1" applyFill="1" applyAlignment="1">
      <alignment horizontal="center" vertical="center" shrinkToFit="1"/>
    </xf>
    <xf numFmtId="0" fontId="35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 shrinkToFit="1"/>
    </xf>
    <xf numFmtId="3" fontId="1" fillId="2" borderId="1" xfId="0" applyNumberFormat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36" fillId="2" borderId="1" xfId="0" applyFont="1" applyFill="1" applyBorder="1" applyAlignment="1">
      <alignment horizontal="center" vertical="center" wrapText="1" shrinkToFit="1"/>
    </xf>
    <xf numFmtId="0" fontId="1" fillId="6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58" fontId="17" fillId="0" borderId="1" xfId="0" applyNumberFormat="1" applyFont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3" fontId="12" fillId="2" borderId="1" xfId="0" applyNumberFormat="1" applyFont="1" applyFill="1" applyBorder="1" applyAlignment="1">
      <alignment horizontal="center" vertical="center" wrapText="1" shrinkToFit="1"/>
    </xf>
    <xf numFmtId="0" fontId="3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9" fillId="2" borderId="1" xfId="0" quotePrefix="1" applyFont="1" applyFill="1" applyBorder="1" applyAlignment="1">
      <alignment horizontal="center" vertical="center" wrapText="1" shrinkToFit="1"/>
    </xf>
    <xf numFmtId="0" fontId="39" fillId="2" borderId="1" xfId="0" applyFont="1" applyFill="1" applyBorder="1" applyAlignment="1">
      <alignment horizontal="center" vertical="center" wrapText="1" shrinkToFit="1"/>
    </xf>
    <xf numFmtId="0" fontId="40" fillId="2" borderId="0" xfId="0" applyFont="1" applyFill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wrapText="1" shrinkToFit="1"/>
    </xf>
    <xf numFmtId="177" fontId="17" fillId="2" borderId="1" xfId="0" applyNumberFormat="1" applyFont="1" applyFill="1" applyBorder="1" applyAlignment="1">
      <alignment horizontal="center" vertical="center" shrinkToFit="1"/>
    </xf>
    <xf numFmtId="0" fontId="39" fillId="2" borderId="0" xfId="0" applyFont="1" applyFill="1">
      <alignment vertical="center"/>
    </xf>
    <xf numFmtId="177" fontId="39" fillId="2" borderId="1" xfId="0" applyNumberFormat="1" applyFont="1" applyFill="1" applyBorder="1" applyAlignment="1">
      <alignment horizontal="center" vertical="center" wrapText="1" shrinkToFit="1"/>
    </xf>
    <xf numFmtId="177" fontId="18" fillId="2" borderId="1" xfId="0" applyNumberFormat="1" applyFont="1" applyFill="1" applyBorder="1" applyAlignment="1">
      <alignment horizontal="center" vertical="center" shrinkToFit="1"/>
    </xf>
    <xf numFmtId="177" fontId="12" fillId="2" borderId="1" xfId="0" applyNumberFormat="1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6" fillId="3" borderId="0" xfId="0" applyFont="1" applyFill="1" applyAlignment="1">
      <alignment horizontal="left" vertical="center" shrinkToFit="1"/>
    </xf>
    <xf numFmtId="0" fontId="12" fillId="2" borderId="0" xfId="0" applyFont="1" applyFill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23" fillId="6" borderId="2" xfId="0" applyFont="1" applyFill="1" applyBorder="1" applyAlignment="1">
      <alignment horizontal="center" vertical="center" shrinkToFit="1"/>
    </xf>
    <xf numFmtId="0" fontId="15" fillId="6" borderId="4" xfId="0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shrinkToFit="1"/>
    </xf>
    <xf numFmtId="0" fontId="26" fillId="6" borderId="0" xfId="0" applyFont="1" applyFill="1" applyAlignment="1">
      <alignment horizontal="center" vertical="center" shrinkToFit="1"/>
    </xf>
    <xf numFmtId="58" fontId="5" fillId="3" borderId="0" xfId="0" applyNumberFormat="1" applyFont="1" applyFill="1" applyAlignment="1">
      <alignment horizontal="left" vertical="center" shrinkToFit="1"/>
    </xf>
    <xf numFmtId="0" fontId="33" fillId="7" borderId="0" xfId="0" applyFont="1" applyFill="1" applyAlignment="1">
      <alignment horizontal="center" vertical="center" wrapText="1" shrinkToFit="1"/>
    </xf>
    <xf numFmtId="0" fontId="17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2" xfId="0" applyFont="1" applyBorder="1" applyAlignment="1">
      <alignment horizontal="center" vertical="center" wrapText="1" shrinkToFit="1"/>
    </xf>
    <xf numFmtId="0" fontId="23" fillId="2" borderId="2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177" fontId="39" fillId="2" borderId="2" xfId="0" applyNumberFormat="1" applyFont="1" applyFill="1" applyBorder="1" applyAlignment="1">
      <alignment horizontal="center" vertical="center" wrapText="1" shrinkToFit="1"/>
    </xf>
    <xf numFmtId="177" fontId="39" fillId="2" borderId="4" xfId="0" applyNumberFormat="1" applyFont="1" applyFill="1" applyBorder="1" applyAlignment="1">
      <alignment horizontal="center" vertical="center" wrapText="1" shrinkToFit="1"/>
    </xf>
    <xf numFmtId="0" fontId="32" fillId="3" borderId="0" xfId="0" applyFont="1" applyFill="1" applyAlignment="1">
      <alignment horizontal="center" vertical="center" wrapText="1" shrinkToFit="1"/>
    </xf>
  </cellXfs>
  <cellStyles count="3">
    <cellStyle name="常规" xfId="0" builtinId="0"/>
    <cellStyle name="常规 2" xfId="1" xr:uid="{00000000-0005-0000-0000-000001000000}"/>
    <cellStyle name="适中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15</xdr:row>
      <xdr:rowOff>304800</xdr:rowOff>
    </xdr:from>
    <xdr:to>
      <xdr:col>14</xdr:col>
      <xdr:colOff>284834</xdr:colOff>
      <xdr:row>19</xdr:row>
      <xdr:rowOff>57045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12387A-DA5C-935B-261B-CDC1E9813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525" y="5915025"/>
          <a:ext cx="7323809" cy="8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Q26"/>
  <sheetViews>
    <sheetView tabSelected="1" zoomScaleNormal="100" workbookViewId="0">
      <selection activeCell="M13" sqref="M13"/>
    </sheetView>
  </sheetViews>
  <sheetFormatPr defaultColWidth="9" defaultRowHeight="15.75"/>
  <cols>
    <col min="1" max="1" width="9.875" style="2" customWidth="1"/>
    <col min="2" max="2" width="16.875" style="2" customWidth="1"/>
    <col min="3" max="3" width="13.875" style="2" customWidth="1"/>
    <col min="4" max="4" width="8.875" style="2" customWidth="1"/>
    <col min="5" max="5" width="10.25" style="2" customWidth="1"/>
    <col min="6" max="6" width="16.75" style="2" customWidth="1"/>
    <col min="7" max="7" width="8" style="3" customWidth="1"/>
    <col min="8" max="8" width="6.875" style="2" customWidth="1"/>
    <col min="9" max="9" width="4.75" style="1" customWidth="1"/>
    <col min="10" max="10" width="6" style="2" customWidth="1"/>
    <col min="11" max="11" width="5.25" style="2" customWidth="1"/>
    <col min="12" max="12" width="5.375" style="2" customWidth="1"/>
    <col min="13" max="13" width="4.5" style="2" customWidth="1"/>
    <col min="14" max="15" width="5.25" style="2" customWidth="1"/>
    <col min="16" max="16" width="8.25" style="2" customWidth="1"/>
    <col min="17" max="17" width="8" style="2" customWidth="1"/>
    <col min="18" max="19" width="7.25" style="2" customWidth="1"/>
    <col min="20" max="20" width="8.375" style="2" customWidth="1"/>
    <col min="21" max="21" width="12.125" style="2" customWidth="1"/>
    <col min="22" max="22" width="7" style="2" hidden="1" customWidth="1"/>
    <col min="23" max="23" width="8" style="2" customWidth="1"/>
    <col min="24" max="24" width="8.25" style="2" customWidth="1"/>
    <col min="25" max="25" width="11.5" style="2" customWidth="1"/>
    <col min="26" max="251" width="9" style="2" customWidth="1"/>
    <col min="252" max="16384" width="9" style="4"/>
  </cols>
  <sheetData>
    <row r="1" spans="1:251" ht="29.25" customHeight="1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spans="1:251" s="34" customFormat="1" ht="18.95" customHeight="1">
      <c r="A2" s="102" t="s">
        <v>1</v>
      </c>
      <c r="B2" s="102" t="s">
        <v>2</v>
      </c>
      <c r="C2" s="98" t="s">
        <v>3</v>
      </c>
      <c r="D2" s="102" t="s">
        <v>4</v>
      </c>
      <c r="E2" s="98" t="s">
        <v>5</v>
      </c>
      <c r="F2" s="94" t="s">
        <v>6</v>
      </c>
      <c r="G2" s="94"/>
      <c r="H2" s="109" t="s">
        <v>27</v>
      </c>
      <c r="I2" s="102" t="s">
        <v>26</v>
      </c>
      <c r="J2" s="103" t="s">
        <v>7</v>
      </c>
      <c r="K2" s="109" t="s">
        <v>8</v>
      </c>
      <c r="L2" s="109"/>
      <c r="M2" s="109"/>
      <c r="N2" s="102" t="s">
        <v>9</v>
      </c>
      <c r="O2" s="102" t="s">
        <v>10</v>
      </c>
      <c r="P2" s="32" t="s">
        <v>11</v>
      </c>
      <c r="Q2" s="33" t="s">
        <v>12</v>
      </c>
      <c r="R2" s="93" t="s">
        <v>13</v>
      </c>
      <c r="S2" s="111" t="s">
        <v>38</v>
      </c>
      <c r="T2" s="102" t="s">
        <v>14</v>
      </c>
      <c r="U2" s="100" t="s">
        <v>29</v>
      </c>
      <c r="V2" s="49" t="s">
        <v>15</v>
      </c>
      <c r="W2" s="102" t="s">
        <v>16</v>
      </c>
      <c r="X2" s="104" t="s">
        <v>17</v>
      </c>
      <c r="Y2" s="108" t="s">
        <v>18</v>
      </c>
    </row>
    <row r="3" spans="1:251" s="34" customFormat="1" ht="15" customHeight="1">
      <c r="A3" s="98"/>
      <c r="B3" s="98"/>
      <c r="C3" s="99"/>
      <c r="D3" s="98"/>
      <c r="E3" s="99"/>
      <c r="F3" s="94"/>
      <c r="G3" s="94"/>
      <c r="H3" s="109"/>
      <c r="I3" s="98"/>
      <c r="J3" s="103"/>
      <c r="K3" s="110"/>
      <c r="L3" s="110"/>
      <c r="M3" s="110"/>
      <c r="N3" s="98"/>
      <c r="O3" s="98"/>
      <c r="P3" s="35" t="s">
        <v>19</v>
      </c>
      <c r="Q3" s="36" t="s">
        <v>19</v>
      </c>
      <c r="R3" s="94"/>
      <c r="S3" s="112"/>
      <c r="T3" s="98"/>
      <c r="U3" s="101"/>
      <c r="V3" s="50" t="s">
        <v>20</v>
      </c>
      <c r="W3" s="98"/>
      <c r="X3" s="98"/>
      <c r="Y3" s="108"/>
    </row>
    <row r="4" spans="1:251" s="78" customFormat="1" ht="67.5" customHeight="1">
      <c r="A4" s="37" t="s">
        <v>45</v>
      </c>
      <c r="B4" s="83" t="s">
        <v>46</v>
      </c>
      <c r="C4" s="82" t="s">
        <v>47</v>
      </c>
      <c r="D4" s="83">
        <v>33465</v>
      </c>
      <c r="E4" s="83">
        <v>672341734</v>
      </c>
      <c r="F4" s="37" t="s">
        <v>43</v>
      </c>
      <c r="G4" s="69" t="s">
        <v>41</v>
      </c>
      <c r="H4" s="70">
        <v>6480</v>
      </c>
      <c r="I4" s="71">
        <v>12</v>
      </c>
      <c r="J4" s="72">
        <f>H4/I4</f>
        <v>540</v>
      </c>
      <c r="K4" s="71">
        <v>31.5</v>
      </c>
      <c r="L4" s="71">
        <v>22.8</v>
      </c>
      <c r="M4" s="71">
        <v>21</v>
      </c>
      <c r="N4" s="73">
        <v>0.86</v>
      </c>
      <c r="O4" s="73">
        <v>1.1299999999999999</v>
      </c>
      <c r="P4" s="73">
        <f>N4*J4</f>
        <v>464.4</v>
      </c>
      <c r="Q4" s="71">
        <f>J4*O4</f>
        <v>610.19999999999993</v>
      </c>
      <c r="R4" s="73">
        <f>J4*K4*L4*M4/1000000</f>
        <v>8.1443879999999993</v>
      </c>
      <c r="S4" s="89"/>
      <c r="T4" s="74" t="s">
        <v>44</v>
      </c>
      <c r="U4" s="75" t="s">
        <v>48</v>
      </c>
      <c r="V4" s="76">
        <v>0.48</v>
      </c>
      <c r="W4" s="69" t="s">
        <v>37</v>
      </c>
      <c r="X4" s="77">
        <v>46287</v>
      </c>
      <c r="Y4" s="88" t="s">
        <v>60</v>
      </c>
      <c r="Z4" s="84" t="s">
        <v>49</v>
      </c>
    </row>
    <row r="5" spans="1:251" s="42" customFormat="1" ht="90" customHeight="1">
      <c r="A5" s="37" t="s">
        <v>45</v>
      </c>
      <c r="B5" s="83" t="s">
        <v>52</v>
      </c>
      <c r="C5" s="82" t="s">
        <v>53</v>
      </c>
      <c r="D5" s="83">
        <v>28483</v>
      </c>
      <c r="E5" s="83">
        <v>678696951</v>
      </c>
      <c r="F5" s="37" t="s">
        <v>54</v>
      </c>
      <c r="G5" s="38" t="s">
        <v>55</v>
      </c>
      <c r="H5" s="37">
        <v>1800</v>
      </c>
      <c r="I5" s="39">
        <v>1</v>
      </c>
      <c r="J5" s="44">
        <f>H5/I5</f>
        <v>1800</v>
      </c>
      <c r="K5" s="57">
        <v>16.829999999999998</v>
      </c>
      <c r="L5" s="57">
        <v>17.149999999999999</v>
      </c>
      <c r="M5" s="57">
        <v>20</v>
      </c>
      <c r="N5" s="58">
        <v>0.55600000000000005</v>
      </c>
      <c r="O5" s="58">
        <v>0.71599999999999997</v>
      </c>
      <c r="P5" s="40">
        <f>N5*J5</f>
        <v>1000.8000000000001</v>
      </c>
      <c r="Q5" s="41">
        <f>O5*J5</f>
        <v>1288.8</v>
      </c>
      <c r="R5" s="40">
        <f>J5*K5*L5*M5/1000000</f>
        <v>10.390841999999997</v>
      </c>
      <c r="S5" s="86"/>
      <c r="T5" s="37" t="s">
        <v>31</v>
      </c>
      <c r="U5" s="85" t="s">
        <v>57</v>
      </c>
      <c r="V5" s="51">
        <v>2.4700000000000002</v>
      </c>
      <c r="W5" s="38" t="s">
        <v>56</v>
      </c>
      <c r="X5" s="77">
        <v>46287</v>
      </c>
      <c r="Y5" s="113" t="s">
        <v>59</v>
      </c>
      <c r="Z5" s="67"/>
    </row>
    <row r="6" spans="1:251" s="42" customFormat="1" ht="79.5" customHeight="1">
      <c r="A6" s="37" t="s">
        <v>45</v>
      </c>
      <c r="B6" s="83" t="s">
        <v>52</v>
      </c>
      <c r="C6" s="82" t="s">
        <v>53</v>
      </c>
      <c r="D6" s="83">
        <v>28481</v>
      </c>
      <c r="E6" s="83">
        <v>678696954</v>
      </c>
      <c r="F6" s="37" t="s">
        <v>35</v>
      </c>
      <c r="G6" s="38" t="s">
        <v>36</v>
      </c>
      <c r="H6" s="37">
        <v>1920</v>
      </c>
      <c r="I6" s="39">
        <v>4</v>
      </c>
      <c r="J6" s="44">
        <f>H6/I6</f>
        <v>480</v>
      </c>
      <c r="K6" s="57">
        <v>23.81</v>
      </c>
      <c r="L6" s="57">
        <v>17.78</v>
      </c>
      <c r="M6" s="57">
        <v>23.81</v>
      </c>
      <c r="N6" s="58">
        <v>2.2759999999999998</v>
      </c>
      <c r="O6" s="58">
        <v>2.4670000000000001</v>
      </c>
      <c r="P6" s="40">
        <f>N6*J6</f>
        <v>1092.48</v>
      </c>
      <c r="Q6" s="41">
        <f t="shared" ref="Q6" si="0">O6*J6</f>
        <v>1184.1600000000001</v>
      </c>
      <c r="R6" s="40">
        <f>J6*K6*L6*M6/1000000</f>
        <v>4.8382887638400005</v>
      </c>
      <c r="S6" s="86"/>
      <c r="T6" s="37" t="s">
        <v>31</v>
      </c>
      <c r="U6" s="48" t="s">
        <v>58</v>
      </c>
      <c r="V6" s="51">
        <v>2.34</v>
      </c>
      <c r="W6" s="38" t="s">
        <v>37</v>
      </c>
      <c r="X6" s="77">
        <v>46287</v>
      </c>
      <c r="Y6" s="114"/>
    </row>
    <row r="7" spans="1:251" s="42" customFormat="1" ht="79.5" customHeight="1">
      <c r="A7" s="37" t="s">
        <v>45</v>
      </c>
      <c r="B7" s="83" t="s">
        <v>50</v>
      </c>
      <c r="C7" s="82" t="s">
        <v>51</v>
      </c>
      <c r="D7" s="83">
        <v>28481</v>
      </c>
      <c r="E7" s="83">
        <v>678696954</v>
      </c>
      <c r="F7" s="37" t="s">
        <v>35</v>
      </c>
      <c r="G7" s="38" t="s">
        <v>36</v>
      </c>
      <c r="H7" s="37">
        <v>1920</v>
      </c>
      <c r="I7" s="39">
        <v>4</v>
      </c>
      <c r="J7" s="44">
        <f>H7/I7</f>
        <v>480</v>
      </c>
      <c r="K7" s="57">
        <v>23.81</v>
      </c>
      <c r="L7" s="57">
        <v>17.78</v>
      </c>
      <c r="M7" s="57">
        <v>23.81</v>
      </c>
      <c r="N7" s="58">
        <v>2.2759999999999998</v>
      </c>
      <c r="O7" s="58">
        <v>2.4670000000000001</v>
      </c>
      <c r="P7" s="40">
        <f>N7*J7</f>
        <v>1092.48</v>
      </c>
      <c r="Q7" s="41">
        <f t="shared" ref="Q7" si="1">O7*J7</f>
        <v>1184.1600000000001</v>
      </c>
      <c r="R7" s="40">
        <f>J7*K7*L7*M7/1000000</f>
        <v>4.8382887638400005</v>
      </c>
      <c r="S7" s="86"/>
      <c r="T7" s="37" t="s">
        <v>31</v>
      </c>
      <c r="U7" s="48" t="s">
        <v>58</v>
      </c>
      <c r="V7" s="51">
        <v>2.34</v>
      </c>
      <c r="W7" s="38" t="s">
        <v>37</v>
      </c>
      <c r="X7" s="77">
        <v>46287</v>
      </c>
      <c r="Y7" s="88" t="s">
        <v>61</v>
      </c>
    </row>
    <row r="8" spans="1:251" s="25" customFormat="1" ht="34.9" customHeight="1">
      <c r="A8" s="23"/>
      <c r="B8" s="96"/>
      <c r="C8" s="96"/>
      <c r="D8" s="96"/>
      <c r="E8" s="23"/>
      <c r="F8" s="24"/>
      <c r="G8" s="26" t="s">
        <v>28</v>
      </c>
      <c r="H8" s="79">
        <f>SUM(H4:H7)</f>
        <v>12120</v>
      </c>
      <c r="I8" s="27"/>
      <c r="J8" s="45">
        <f>SUM(J4:J7)</f>
        <v>3300</v>
      </c>
      <c r="K8" s="27"/>
      <c r="L8" s="27"/>
      <c r="M8" s="27"/>
      <c r="N8" s="28"/>
      <c r="O8" s="28"/>
      <c r="P8" s="29">
        <f>SUM(P4:P7)</f>
        <v>3650.1600000000003</v>
      </c>
      <c r="Q8" s="30">
        <f>SUM(Q4:Q7)</f>
        <v>4267.32</v>
      </c>
      <c r="R8" s="29">
        <f>SUM(R4:R7)</f>
        <v>28.211807527680001</v>
      </c>
      <c r="S8" s="90"/>
      <c r="T8" s="31"/>
      <c r="U8" s="31"/>
      <c r="V8" s="97"/>
      <c r="W8" s="97"/>
      <c r="X8" s="97"/>
      <c r="Y8" s="97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</row>
    <row r="9" spans="1:251" ht="23.25">
      <c r="A9" s="46"/>
      <c r="B9" s="60"/>
      <c r="C9" s="87"/>
      <c r="D9" s="46"/>
      <c r="E9" s="46"/>
      <c r="F9" s="54"/>
      <c r="G9" s="54"/>
      <c r="H9" s="54"/>
      <c r="I9" s="54"/>
      <c r="J9" s="55"/>
      <c r="K9" s="55"/>
      <c r="L9" s="55"/>
      <c r="M9" s="7"/>
      <c r="N9" s="7"/>
      <c r="O9" s="7"/>
      <c r="P9" s="7"/>
      <c r="Q9" s="7"/>
      <c r="R9" s="4"/>
      <c r="S9" s="4"/>
      <c r="T9" s="8"/>
      <c r="U9" s="8"/>
      <c r="V9" s="9"/>
      <c r="W9" s="10"/>
      <c r="X9" s="11"/>
      <c r="Y9" s="11"/>
    </row>
    <row r="10" spans="1:251" ht="23.25">
      <c r="E10" s="63"/>
      <c r="F10" s="105" t="s">
        <v>62</v>
      </c>
      <c r="G10" s="105"/>
      <c r="H10" s="105"/>
      <c r="I10" s="105"/>
      <c r="J10" s="47"/>
      <c r="K10" s="47"/>
      <c r="L10" s="47"/>
      <c r="M10" s="7"/>
      <c r="N10" s="7"/>
      <c r="O10" s="7"/>
      <c r="P10" s="7"/>
      <c r="Q10" s="7"/>
      <c r="R10" s="4"/>
      <c r="S10" s="4"/>
      <c r="T10" s="8"/>
      <c r="U10" s="8"/>
      <c r="V10" s="12"/>
      <c r="W10" s="13"/>
      <c r="X10" s="11"/>
      <c r="Y10" s="11"/>
    </row>
    <row r="11" spans="1:251" ht="23.25">
      <c r="F11" s="47"/>
      <c r="G11" s="47"/>
      <c r="H11" s="47"/>
      <c r="I11" s="47"/>
      <c r="J11" s="47"/>
      <c r="K11" s="47"/>
      <c r="L11" s="47"/>
      <c r="M11" s="7"/>
      <c r="N11" s="7"/>
      <c r="O11" s="7"/>
      <c r="P11" s="59" t="s">
        <v>32</v>
      </c>
      <c r="Q11" s="7"/>
      <c r="R11" s="4"/>
      <c r="S11" s="4"/>
      <c r="T11" s="8"/>
      <c r="U11" s="8"/>
      <c r="V11" s="12"/>
      <c r="W11" s="13"/>
      <c r="X11" s="11"/>
      <c r="Y11" s="11"/>
    </row>
    <row r="12" spans="1:251" ht="25.5" customHeight="1">
      <c r="A12" s="92"/>
      <c r="B12" s="92"/>
      <c r="D12" s="5"/>
      <c r="F12" s="107" t="s">
        <v>40</v>
      </c>
      <c r="G12" s="107"/>
      <c r="H12" s="107"/>
      <c r="I12" s="107"/>
      <c r="J12" s="107"/>
      <c r="K12" s="56"/>
      <c r="L12" s="56"/>
      <c r="O12" s="7"/>
      <c r="P12" s="59" t="s">
        <v>33</v>
      </c>
      <c r="Q12" s="7"/>
      <c r="R12" s="4"/>
      <c r="S12" s="4"/>
      <c r="T12" s="14"/>
      <c r="U12" s="14"/>
      <c r="V12" s="15"/>
      <c r="W12" s="13"/>
      <c r="X12" s="11"/>
      <c r="Y12" s="11"/>
    </row>
    <row r="13" spans="1:251">
      <c r="F13" s="107"/>
      <c r="G13" s="107"/>
      <c r="H13" s="107"/>
      <c r="I13" s="107"/>
      <c r="J13" s="107"/>
      <c r="K13" s="55"/>
      <c r="L13" s="55"/>
      <c r="M13" s="7"/>
      <c r="N13" s="7"/>
      <c r="O13" s="7"/>
      <c r="P13" s="59" t="s">
        <v>34</v>
      </c>
      <c r="Q13" s="7"/>
      <c r="R13" s="4"/>
      <c r="S13" s="4"/>
      <c r="T13" s="14"/>
      <c r="U13" s="14"/>
      <c r="V13" s="15"/>
      <c r="W13" s="13"/>
      <c r="X13" s="11"/>
      <c r="Y13" s="11"/>
    </row>
    <row r="14" spans="1:251" ht="22.5">
      <c r="A14" s="4"/>
      <c r="B14" s="4"/>
      <c r="C14" s="4"/>
      <c r="D14" s="4"/>
      <c r="E14" s="4"/>
      <c r="F14" s="107"/>
      <c r="G14" s="107"/>
      <c r="H14" s="107"/>
      <c r="I14" s="107"/>
      <c r="J14" s="107"/>
      <c r="K14" s="4"/>
      <c r="L14" s="4"/>
      <c r="M14" s="4"/>
      <c r="N14" s="4"/>
      <c r="O14" s="4"/>
      <c r="P14" s="16" t="s">
        <v>21</v>
      </c>
      <c r="Q14" s="95" t="s">
        <v>39</v>
      </c>
      <c r="R14" s="95"/>
      <c r="S14" s="95"/>
      <c r="T14" s="95"/>
      <c r="U14" s="95"/>
      <c r="V14" s="95"/>
      <c r="W14" s="4"/>
    </row>
    <row r="15" spans="1:251">
      <c r="A15" s="6"/>
      <c r="B15" s="4"/>
      <c r="C15" s="92"/>
      <c r="D15" s="92"/>
      <c r="E15" s="4"/>
      <c r="F15" s="65"/>
      <c r="G15" s="4"/>
      <c r="H15" s="4"/>
      <c r="I15" s="4"/>
      <c r="J15" s="4"/>
      <c r="K15" s="4"/>
      <c r="L15" s="4"/>
      <c r="M15" s="4"/>
      <c r="N15" s="4"/>
      <c r="O15" s="4"/>
      <c r="P15" s="16" t="s">
        <v>22</v>
      </c>
      <c r="Q15" s="17" t="s">
        <v>30</v>
      </c>
      <c r="R15" s="18"/>
      <c r="S15" s="18"/>
      <c r="W15" s="4"/>
    </row>
    <row r="16" spans="1:251" ht="38.25" customHeight="1">
      <c r="C16" s="22"/>
      <c r="D16" s="64"/>
      <c r="E16" s="61"/>
      <c r="F16" s="80"/>
      <c r="G16" s="66"/>
      <c r="H16" s="66"/>
      <c r="I16" s="62"/>
      <c r="J16" s="62"/>
      <c r="K16" s="62"/>
      <c r="P16" s="16" t="s">
        <v>23</v>
      </c>
      <c r="Q16" s="19">
        <v>46280</v>
      </c>
      <c r="R16" s="4"/>
      <c r="S16" s="4"/>
      <c r="U16" s="68"/>
    </row>
    <row r="17" spans="1:25" ht="15.75" customHeight="1">
      <c r="E17" s="62"/>
      <c r="F17" s="115"/>
      <c r="G17" s="115"/>
      <c r="H17" s="115"/>
      <c r="I17" s="62"/>
      <c r="J17" s="62"/>
      <c r="K17" s="62"/>
      <c r="P17" s="20" t="s">
        <v>24</v>
      </c>
      <c r="Q17" s="21" t="s">
        <v>42</v>
      </c>
      <c r="R17" s="4"/>
      <c r="S17" s="4"/>
      <c r="U17" s="68"/>
      <c r="V17" s="20"/>
      <c r="W17" s="20"/>
    </row>
    <row r="18" spans="1:25" ht="15.75" customHeight="1">
      <c r="E18" s="62"/>
      <c r="F18" s="62"/>
      <c r="G18" s="62"/>
      <c r="H18" s="62"/>
      <c r="I18" s="62"/>
      <c r="J18" s="62"/>
      <c r="K18" s="62"/>
      <c r="P18" s="20" t="s">
        <v>25</v>
      </c>
      <c r="Q18" s="106"/>
      <c r="R18" s="106"/>
      <c r="S18" s="106"/>
      <c r="U18" s="81"/>
      <c r="V18" s="16"/>
      <c r="W18" s="16"/>
      <c r="X18" s="20"/>
      <c r="Y18" s="20"/>
    </row>
    <row r="19" spans="1:25" ht="15.75" customHeight="1">
      <c r="A19" s="52"/>
      <c r="B19" s="22"/>
      <c r="E19" s="43"/>
      <c r="F19" s="43"/>
      <c r="G19" s="43"/>
      <c r="H19" s="43"/>
      <c r="I19" s="43"/>
      <c r="J19" s="43"/>
      <c r="K19" s="43"/>
      <c r="P19" s="16"/>
      <c r="Q19" s="4"/>
      <c r="R19" s="4"/>
      <c r="S19" s="4"/>
      <c r="U19" s="81"/>
      <c r="V19" s="16"/>
      <c r="W19" s="16"/>
      <c r="X19" s="20"/>
      <c r="Y19" s="20"/>
    </row>
    <row r="20" spans="1:25" ht="25.5" customHeight="1">
      <c r="E20" s="43"/>
      <c r="F20" s="53"/>
      <c r="G20" s="53"/>
      <c r="H20" s="53"/>
      <c r="I20" s="53"/>
      <c r="J20" s="53"/>
      <c r="K20" s="53"/>
      <c r="L20" s="53"/>
      <c r="M20" s="53"/>
      <c r="N20" s="53"/>
      <c r="O20" s="53"/>
      <c r="U20" s="81"/>
      <c r="V20" s="16"/>
      <c r="W20" s="16"/>
    </row>
    <row r="21" spans="1:25" ht="15.75" customHeight="1">
      <c r="A21" s="6"/>
      <c r="E21" s="43"/>
      <c r="F21" s="43"/>
      <c r="G21" s="43"/>
      <c r="H21" s="43"/>
      <c r="I21" s="43"/>
      <c r="J21" s="43"/>
      <c r="K21" s="43"/>
      <c r="U21" s="81"/>
      <c r="V21" s="16"/>
      <c r="W21" s="16"/>
    </row>
    <row r="22" spans="1:25" ht="15.75" customHeight="1">
      <c r="E22" s="43"/>
      <c r="F22" s="43"/>
      <c r="G22" s="43"/>
      <c r="H22" s="43"/>
      <c r="I22" s="43"/>
      <c r="J22" s="43"/>
      <c r="K22" s="43"/>
    </row>
    <row r="23" spans="1:25" ht="15.75" customHeight="1">
      <c r="E23" s="43"/>
      <c r="F23" s="43"/>
      <c r="G23" s="43"/>
      <c r="H23" s="43"/>
      <c r="I23" s="43"/>
      <c r="J23" s="43"/>
      <c r="K23" s="43"/>
    </row>
    <row r="24" spans="1:25" ht="15.75" customHeight="1">
      <c r="E24" s="43"/>
      <c r="F24" s="43"/>
      <c r="G24" s="43"/>
      <c r="H24" s="43"/>
      <c r="I24" s="43"/>
      <c r="J24" s="43"/>
      <c r="K24" s="43"/>
    </row>
    <row r="25" spans="1:25" ht="15.75" customHeight="1">
      <c r="E25" s="43"/>
      <c r="F25" s="43"/>
      <c r="G25" s="43"/>
      <c r="H25" s="43"/>
      <c r="I25" s="43"/>
      <c r="J25" s="43"/>
      <c r="K25" s="43"/>
    </row>
    <row r="26" spans="1:25" ht="15.75" customHeight="1">
      <c r="E26" s="43"/>
      <c r="F26" s="43"/>
      <c r="G26" s="43"/>
      <c r="H26" s="43"/>
      <c r="I26" s="43"/>
      <c r="J26" s="43"/>
      <c r="K26" s="43"/>
    </row>
  </sheetData>
  <mergeCells count="30">
    <mergeCell ref="Q18:S18"/>
    <mergeCell ref="F12:J14"/>
    <mergeCell ref="Y2:Y3"/>
    <mergeCell ref="H2:H3"/>
    <mergeCell ref="T2:T3"/>
    <mergeCell ref="K2:M3"/>
    <mergeCell ref="S2:S3"/>
    <mergeCell ref="Y5:Y6"/>
    <mergeCell ref="F17:H17"/>
    <mergeCell ref="C2:C3"/>
    <mergeCell ref="D2:D3"/>
    <mergeCell ref="W2:W3"/>
    <mergeCell ref="X2:X3"/>
    <mergeCell ref="F10:I10"/>
    <mergeCell ref="A1:Y1"/>
    <mergeCell ref="A12:B12"/>
    <mergeCell ref="R2:R3"/>
    <mergeCell ref="C15:D15"/>
    <mergeCell ref="Q14:V14"/>
    <mergeCell ref="B8:D8"/>
    <mergeCell ref="V8:Y8"/>
    <mergeCell ref="E2:E3"/>
    <mergeCell ref="U2:U3"/>
    <mergeCell ref="F2:G3"/>
    <mergeCell ref="I2:I3"/>
    <mergeCell ref="J2:J3"/>
    <mergeCell ref="N2:N3"/>
    <mergeCell ref="O2:O3"/>
    <mergeCell ref="A2:A3"/>
    <mergeCell ref="B2:B3"/>
  </mergeCells>
  <phoneticPr fontId="10" type="noConversion"/>
  <pageMargins left="0.11811023622047245" right="7.874015748031496E-2" top="0.15748031496062992" bottom="0.15748031496062992" header="0.19685039370078741" footer="7.874015748031496E-2"/>
  <pageSetup paperSize="9" scale="62" orientation="landscape" r:id="rId1"/>
  <headerFooter scaleWithDoc="0"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R21" sqref="R21"/>
    </sheetView>
  </sheetViews>
  <sheetFormatPr defaultColWidth="9" defaultRowHeight="14.25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"/>
  <sheetViews>
    <sheetView view="pageBreakPreview" zoomScaleNormal="70" workbookViewId="0">
      <selection activeCell="E38" sqref="E38"/>
    </sheetView>
  </sheetViews>
  <sheetFormatPr defaultColWidth="9" defaultRowHeight="14.25"/>
  <cols>
    <col min="14" max="14" width="9.5" customWidth="1"/>
  </cols>
  <sheetData/>
  <phoneticPr fontId="10" type="noConversion"/>
  <pageMargins left="0.118055555555556" right="3.8888888888888903E-2" top="0.47" bottom="0.35" header="0.24" footer="0.2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Sheet2</vt:lpstr>
      <vt:lpstr>Sheet1!Print_Area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yun qiu</cp:lastModifiedBy>
  <cp:revision>1</cp:revision>
  <cp:lastPrinted>2026-09-17T14:58:45Z</cp:lastPrinted>
  <dcterms:created xsi:type="dcterms:W3CDTF">2012-09-05T12:09:00Z</dcterms:created>
  <dcterms:modified xsi:type="dcterms:W3CDTF">2026-09-18T11:28:45Z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2360F2D050F34F5882C8A2C7C54F8616</vt:lpwstr>
  </property>
</Properties>
</file>