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Nutstore\1\各类报表\共享资料\发货记录\"/>
    </mc:Choice>
  </mc:AlternateContent>
  <bookViews>
    <workbookView windowWidth="27945" windowHeight="11925" activeTab="1"/>
  </bookViews>
  <sheets>
    <sheet name="Sheet1" sheetId="1" r:id="rId1"/>
    <sheet name="2026年6月" sheetId="5" r:id="rId2"/>
    <sheet name="Sheet2" sheetId="2" r:id="rId3"/>
    <sheet name="Sheet3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1" hidden="1">'2026年6月'!$A$3:$AB$1048</definedName>
    <definedName name="_xlnm._FilterDatabase" localSheetId="0" hidden="1">Sheet1!$A$3:$AB$1235</definedName>
    <definedName name="_xlnm.Print_Area" localSheetId="0">Sheet1!#REF!</definedName>
    <definedName name="_xlnm.Print_Area" localSheetId="1">'2026年6月'!#REF!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9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客人改PO，4月1号多送180，此单180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I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客人改PO，4月1号多送180，此单180</t>
        </r>
      </text>
    </comment>
  </commentList>
</comments>
</file>

<file path=xl/sharedStrings.xml><?xml version="1.0" encoding="utf-8"?>
<sst xmlns="http://schemas.openxmlformats.org/spreadsheetml/2006/main" count="14019" uniqueCount="2387">
  <si>
    <t>成品当日发货清单</t>
  </si>
  <si>
    <t>工厂地址：四川省达州市渠县经济开发区</t>
  </si>
  <si>
    <t>制单人：代艳</t>
  </si>
  <si>
    <t>联系电话1368664967</t>
  </si>
  <si>
    <t>备注：装车时按从上下到的顺序装车</t>
  </si>
  <si>
    <t>CARTON DIMENSIONS</t>
  </si>
  <si>
    <t>CRTN 
CBM (M3)</t>
  </si>
  <si>
    <t>TOTAL  
CBM (M3)</t>
  </si>
  <si>
    <t>发车日期</t>
  </si>
  <si>
    <t>客户</t>
  </si>
  <si>
    <t>生产单号</t>
  </si>
  <si>
    <t>销售单号</t>
  </si>
  <si>
    <t>PO.NO</t>
  </si>
  <si>
    <t>款号</t>
  </si>
  <si>
    <t>产品名称</t>
  </si>
  <si>
    <t>总箱数</t>
  </si>
  <si>
    <t>实发数量</t>
  </si>
  <si>
    <t>单位</t>
  </si>
  <si>
    <t>产地</t>
  </si>
  <si>
    <t>件数</t>
  </si>
  <si>
    <t>CBM</t>
  </si>
  <si>
    <t>是否验货</t>
  </si>
  <si>
    <t>备注</t>
  </si>
  <si>
    <t>运输方式</t>
  </si>
  <si>
    <t>L (cm)</t>
  </si>
  <si>
    <t>W (cm)</t>
  </si>
  <si>
    <t>H (cm)</t>
  </si>
  <si>
    <t>Amazon US</t>
  </si>
  <si>
    <t>POHK-25-20307</t>
  </si>
  <si>
    <t>56WW9AFR/62V4ESGH/8SDSE5WZ</t>
  </si>
  <si>
    <t>12369（3）</t>
  </si>
  <si>
    <t>成品</t>
  </si>
  <si>
    <t>个</t>
  </si>
  <si>
    <t>装配</t>
  </si>
  <si>
    <t>已</t>
  </si>
  <si>
    <t>车牌:川S86094
挂车：川S8451挂
车型：17.5x3x3厢车
5轴160
司机，谢营海
电话：18381906318</t>
  </si>
  <si>
    <t>7783ULHC/5CN6AL7T</t>
  </si>
  <si>
    <t>14747(12)</t>
  </si>
  <si>
    <t>WM（Modset）</t>
  </si>
  <si>
    <t>POHK-25-19078</t>
  </si>
  <si>
    <t>WM US</t>
  </si>
  <si>
    <t>POHK-25-19227</t>
  </si>
  <si>
    <t>POHK-25-19228</t>
  </si>
  <si>
    <t>PT Emway</t>
  </si>
  <si>
    <t>POHK-25-17959</t>
  </si>
  <si>
    <t>33475（18）</t>
  </si>
  <si>
    <t>POHK-25-19085</t>
  </si>
  <si>
    <t>套</t>
  </si>
  <si>
    <t>TJX</t>
  </si>
  <si>
    <t>POHK-25-21146</t>
  </si>
  <si>
    <t>01-721830/04-721830
06-721830/07-721830
08-721830</t>
  </si>
  <si>
    <t>33454(48)</t>
  </si>
  <si>
    <t>Domestic</t>
  </si>
  <si>
    <t>车牌：川S86004
挂号：川S7549挂
姓名：田道川
电话：13882811838</t>
  </si>
  <si>
    <t>WMUS</t>
  </si>
  <si>
    <t>POHK-25-18802</t>
  </si>
  <si>
    <t>11369（1）</t>
  </si>
  <si>
    <t>未</t>
  </si>
  <si>
    <t>车牌：川S80435
电话：18080698059
副驾：王果
电话：18381811233</t>
  </si>
  <si>
    <t>POHK-25-18803</t>
  </si>
  <si>
    <t>POHK-25-18805</t>
  </si>
  <si>
    <t>470616（4）</t>
  </si>
  <si>
    <t>必走</t>
  </si>
  <si>
    <t>470111（4）</t>
  </si>
  <si>
    <t>从AMZ询单取消2468个转入
POHK-25-18804</t>
  </si>
  <si>
    <t>车牌:川SB1976
司机：蔡旭
电话：15881855371</t>
  </si>
  <si>
    <t>POHK-25-18806</t>
  </si>
  <si>
    <t>POHK-25-18807</t>
  </si>
  <si>
    <t>POHK-25-18808</t>
  </si>
  <si>
    <t>"0953760398</t>
  </si>
  <si>
    <t>"0953760449</t>
  </si>
  <si>
    <t>"0953763886</t>
  </si>
  <si>
    <t>"0953763889</t>
  </si>
  <si>
    <t>"0953763893</t>
  </si>
  <si>
    <t>"0953763894</t>
  </si>
  <si>
    <t>"0953763891</t>
  </si>
  <si>
    <t>"0953763897</t>
  </si>
  <si>
    <t>Disney Theme Park</t>
  </si>
  <si>
    <t>POHK-25-20703</t>
  </si>
  <si>
    <t>W-9433791</t>
  </si>
  <si>
    <t>14265（18）</t>
  </si>
  <si>
    <t>POHK-25-20306</t>
  </si>
  <si>
    <t>45EVZ8LY/681C56WN/2AIT655U/7ALIKTEM/7PELEP9C/8XMB2P1P/58MC6P4D/87ENWKCQ/8CNHXBSX</t>
  </si>
  <si>
    <t>14878（8）</t>
  </si>
  <si>
    <t>未放测试报告</t>
  </si>
  <si>
    <t>POHK-25-20555</t>
  </si>
  <si>
    <t>2E9GNG8Q/7RZF5WIU/8ZRQ178K</t>
  </si>
  <si>
    <t>12136（8）</t>
  </si>
  <si>
    <t>5HANLKYO/7E5SVR2K/37EWHRVR/3U94WONG/8L3QSI2I</t>
  </si>
  <si>
    <t>12137（8）</t>
  </si>
  <si>
    <t>"0953760441</t>
  </si>
  <si>
    <t>车牌：川S C7032
渠县到常平
拖挂： 川S8849挂
车型：17.5米
姓名：杜平
电话: 18784838138</t>
  </si>
  <si>
    <t>"0953763896</t>
  </si>
  <si>
    <t>"0953763898</t>
  </si>
  <si>
    <t>"0953763892</t>
  </si>
  <si>
    <t>CL_Meijer</t>
  </si>
  <si>
    <t>POHK-25-15703</t>
  </si>
  <si>
    <t>218062424</t>
  </si>
  <si>
    <t>88188（2）</t>
  </si>
  <si>
    <t>Just Play LLC</t>
  </si>
  <si>
    <t>2UKM8DCU/3YJV29XZ/7IRRAQ9U/86LV914J/3F4M9LNF/3YZRAXCL/7LE7AAYY/7OXDSTIZ/5B4I6H5Y/6QITDVDK/7BDPVATM/3NLJBVUT/8SSO552Q</t>
  </si>
  <si>
    <t>Just Play LLC（AMZ）</t>
  </si>
  <si>
    <t>6FF5YT4B/1FA1UX6S</t>
  </si>
  <si>
    <t>POHK-25-19075</t>
  </si>
  <si>
    <t>Winners</t>
  </si>
  <si>
    <t>POHK-25-21023</t>
  </si>
  <si>
    <t>POHK-25-21200</t>
  </si>
  <si>
    <t>POHK-25-20995</t>
  </si>
  <si>
    <t>JP NZ (DOM)</t>
  </si>
  <si>
    <t>POHK-25-20694</t>
  </si>
  <si>
    <t>0038 NZ</t>
  </si>
  <si>
    <t>33490（18）</t>
  </si>
  <si>
    <t xml:space="preserve">BMI </t>
  </si>
  <si>
    <t>POHK-25-18549</t>
  </si>
  <si>
    <t>PO050078</t>
  </si>
  <si>
    <t>33415（36）</t>
  </si>
  <si>
    <t>26850（48）</t>
  </si>
  <si>
    <t>POHK-25-19082</t>
  </si>
  <si>
    <t>Five Below</t>
  </si>
  <si>
    <t>POHK-25-20272</t>
  </si>
  <si>
    <t>33490（36）</t>
  </si>
  <si>
    <t>POHK-25-20269</t>
  </si>
  <si>
    <t>33475（36）</t>
  </si>
  <si>
    <t>船头版</t>
  </si>
  <si>
    <t>JPLLC
(Amazon)</t>
  </si>
  <si>
    <t>POHK-25-20556</t>
  </si>
  <si>
    <t>6777-R0-AMZ</t>
  </si>
  <si>
    <t>司机：张海平
车牌；川SC7370
车挂：
电话：15268367407</t>
  </si>
  <si>
    <t>车牌:川SF2000
渠县到塘厦
车型：17.5x3x3厢车
司机：罗
电话：15908286538</t>
  </si>
  <si>
    <t>5LAISYOH/7AAMNMTM</t>
  </si>
  <si>
    <t>11369(4)</t>
  </si>
  <si>
    <t>PP</t>
  </si>
  <si>
    <t>原料</t>
  </si>
  <si>
    <t>KG</t>
  </si>
  <si>
    <t>HDPE</t>
  </si>
  <si>
    <t>POHK-25-19087</t>
  </si>
  <si>
    <t>0954188923</t>
  </si>
  <si>
    <t>车牌:川S.G2121
司机：蔡旭
电话：15881855371</t>
  </si>
  <si>
    <t>Just Play Europe B.V.</t>
  </si>
  <si>
    <t>POHK-25-20819</t>
  </si>
  <si>
    <t>00136-R0-POL</t>
  </si>
  <si>
    <t>Disney USA</t>
  </si>
  <si>
    <t>POHK-25-19908</t>
  </si>
  <si>
    <t>CD109</t>
  </si>
  <si>
    <t>POHK-25-19909</t>
  </si>
  <si>
    <t>CD114</t>
  </si>
  <si>
    <t>Target AU</t>
  </si>
  <si>
    <t>POHK-25-15043</t>
  </si>
  <si>
    <t>POHK-25-15054</t>
  </si>
  <si>
    <t>POHK-25-15044</t>
  </si>
  <si>
    <t>2515579</t>
  </si>
  <si>
    <t>JPLLC (Golden link)</t>
  </si>
  <si>
    <t>POHK-25-19454</t>
  </si>
  <si>
    <t>6767-R0-GLDNLIN</t>
  </si>
  <si>
    <t>JPLLC(CVS)</t>
  </si>
  <si>
    <t>POHK-25-21147</t>
  </si>
  <si>
    <t>6791-R0-CVS</t>
  </si>
  <si>
    <t>33735（12）</t>
  </si>
  <si>
    <t>POHK-25-20045</t>
  </si>
  <si>
    <t>0956713417</t>
  </si>
  <si>
    <t>POHK-25-20049</t>
  </si>
  <si>
    <t>0956713490</t>
  </si>
  <si>
    <t>P0HK-25-20050</t>
  </si>
  <si>
    <t>0956713492</t>
  </si>
  <si>
    <t>装车尾必走</t>
  </si>
  <si>
    <t>JPEU - Italy</t>
  </si>
  <si>
    <t>POHK-25-16148</t>
  </si>
  <si>
    <t>00108-R0-SPA</t>
  </si>
  <si>
    <t>POHK-25-20046</t>
  </si>
  <si>
    <t>0956713449</t>
  </si>
  <si>
    <t>POHK-25-20044</t>
  </si>
  <si>
    <t>0956713465</t>
  </si>
  <si>
    <t>尽装</t>
  </si>
  <si>
    <t>Kohls</t>
  </si>
  <si>
    <t>POHK-25-19598</t>
  </si>
  <si>
    <t>11369（4）</t>
  </si>
  <si>
    <t>POHK-25-19599</t>
  </si>
  <si>
    <t>WMCA</t>
  </si>
  <si>
    <t>POHK-25-18006</t>
  </si>
  <si>
    <t>33465（24）</t>
  </si>
  <si>
    <t>JPLLC (JCP POE)</t>
  </si>
  <si>
    <t>POHK-25-22148</t>
  </si>
  <si>
    <t>6778-R0-JCP</t>
  </si>
  <si>
    <t>车牌：川SB1976
挂号：川S9476挂
姓名：田之波
电话：189 8280 0115</t>
  </si>
  <si>
    <t>Big W (Australia)</t>
  </si>
  <si>
    <t>POHK-25-20345</t>
  </si>
  <si>
    <t>23号上柜必须齐数走</t>
  </si>
  <si>
    <t>POHK-25-20347</t>
  </si>
  <si>
    <t>POHK-25-20743</t>
  </si>
  <si>
    <t>POHK-25-20747</t>
  </si>
  <si>
    <t>POHK-25-20749</t>
  </si>
  <si>
    <t>POHK-25-20750</t>
  </si>
  <si>
    <t>POHK-25-20752</t>
  </si>
  <si>
    <t>POHK-25-20754</t>
  </si>
  <si>
    <t>POHK-25-19080</t>
  </si>
  <si>
    <t>0954188954</t>
  </si>
  <si>
    <t>WHITEHOUSE</t>
  </si>
  <si>
    <t>POHK-25-20472</t>
  </si>
  <si>
    <t>PORD118908</t>
  </si>
  <si>
    <t>33475（192）</t>
  </si>
  <si>
    <t>POHK-25-19229</t>
  </si>
  <si>
    <t>0954188457</t>
  </si>
  <si>
    <t>车牌：川S81407
挂号：川S4486
司机：18682822739</t>
  </si>
  <si>
    <t>POHK-25-20704</t>
  </si>
  <si>
    <t>W-9433894</t>
  </si>
  <si>
    <t>Hobby Lobby Stores</t>
  </si>
  <si>
    <t>POHK-25-21093</t>
  </si>
  <si>
    <t>W0748709</t>
  </si>
  <si>
    <t>EB Games Aust</t>
  </si>
  <si>
    <t>POHK-25-20367</t>
  </si>
  <si>
    <t>R00105358</t>
  </si>
  <si>
    <t>46113(2)</t>
  </si>
  <si>
    <t>Farmers NZ</t>
  </si>
  <si>
    <t>POHK-25-18458</t>
  </si>
  <si>
    <t>POHK-25-21145</t>
  </si>
  <si>
    <t>6789-R1-CVS</t>
  </si>
  <si>
    <t>装车尾必须齐数走</t>
  </si>
  <si>
    <t>纸箱</t>
  </si>
  <si>
    <t>外购</t>
  </si>
  <si>
    <t>POHK-25-18337</t>
  </si>
  <si>
    <t>日期：1.30
线路；渠县到塘厦
司机：朱小成
车牌；川S97852
车挂：
电话：14726671286</t>
  </si>
  <si>
    <t>POHK-25-18339</t>
  </si>
  <si>
    <t>POHK-25-21136</t>
  </si>
  <si>
    <t>Benson's (Australia)</t>
  </si>
  <si>
    <t>POHK-25-21191</t>
  </si>
  <si>
    <t>B516224</t>
  </si>
  <si>
    <t>Michaels</t>
  </si>
  <si>
    <t>POHK-26-00393</t>
  </si>
  <si>
    <t>33735（18）</t>
  </si>
  <si>
    <t>POHK-26-00394</t>
  </si>
  <si>
    <t>POHK-26-00395</t>
  </si>
  <si>
    <t>POHK-26-00396</t>
  </si>
  <si>
    <t>POHK-26-00397</t>
  </si>
  <si>
    <t>POHK-26-00398</t>
  </si>
  <si>
    <t>POHK-26-00399</t>
  </si>
  <si>
    <t>L2P</t>
  </si>
  <si>
    <t>POHK-25-21288</t>
  </si>
  <si>
    <t>6792-R0-L2P</t>
  </si>
  <si>
    <t>33630（36）</t>
  </si>
  <si>
    <t>腾扩物流</t>
  </si>
  <si>
    <t>安能发汕头</t>
  </si>
  <si>
    <t>川SF2000
挂号:川S7459挂
司机:罗全友
电话:15908286538
车型:160方</t>
  </si>
  <si>
    <t>Hobby Lobby</t>
  </si>
  <si>
    <t>W0753616</t>
  </si>
  <si>
    <t>Tommy AU</t>
  </si>
  <si>
    <t>1002008/44363</t>
  </si>
  <si>
    <t>0963279605</t>
  </si>
  <si>
    <t>Hot Topic
（HTSS CA）</t>
  </si>
  <si>
    <t>POHK-25-21187</t>
  </si>
  <si>
    <t>Hot Topic
(HTSS TN)</t>
  </si>
  <si>
    <t>POHK-25-21188</t>
  </si>
  <si>
    <t>Hot Topic
(HTCA TN)</t>
  </si>
  <si>
    <t>POHK-25-21189</t>
  </si>
  <si>
    <t>Hot Topic
（HTIN CA）</t>
  </si>
  <si>
    <t>POHK-25-21190</t>
  </si>
  <si>
    <t>33490（48）</t>
  </si>
  <si>
    <t>POHK-25-21192</t>
  </si>
  <si>
    <t>Hot Topic
(HTSS CA)</t>
  </si>
  <si>
    <t>POHK-25-21032</t>
  </si>
  <si>
    <t>POHK-25-21033</t>
  </si>
  <si>
    <t>POHK-25-21034</t>
  </si>
  <si>
    <t>Hot Topic
(HTIN CA)</t>
  </si>
  <si>
    <t>POHK-25-21035</t>
  </si>
  <si>
    <t>33475（48）</t>
  </si>
  <si>
    <t>Hot Topic
(HTIN TN)</t>
  </si>
  <si>
    <t>POHK-25-21036</t>
  </si>
  <si>
    <t>POHK-25-19231</t>
  </si>
  <si>
    <t>0954188469</t>
  </si>
  <si>
    <t>00963279603</t>
  </si>
  <si>
    <t>贴纸</t>
  </si>
  <si>
    <t>箱</t>
  </si>
  <si>
    <t>司机：朱小成
车牌；川S97852
车挂：
电话：14726671286</t>
  </si>
  <si>
    <t>POHK-25-19230</t>
  </si>
  <si>
    <t>POHK-25-21486</t>
  </si>
  <si>
    <t>POHK-25-21487</t>
  </si>
  <si>
    <t>POHK-25-20907</t>
  </si>
  <si>
    <t>POHK-25-20904</t>
  </si>
  <si>
    <t>POHK-25-21028</t>
  </si>
  <si>
    <t>00158-R0-SPA</t>
  </si>
  <si>
    <t>26850（18）</t>
  </si>
  <si>
    <t>26870（18）</t>
  </si>
  <si>
    <t>POHK-25-21030</t>
  </si>
  <si>
    <t>00159-R0-GSA</t>
  </si>
  <si>
    <t>车型：厢车
车牌号:川SB8175
车挂号:川S8151挂
车种：17.5米
司机姓名：刘张尧
司机电话：18011241818</t>
  </si>
  <si>
    <t>POHK-25-20909</t>
  </si>
  <si>
    <t>POHK-25-20903</t>
  </si>
  <si>
    <t>POHK-25-20906</t>
  </si>
  <si>
    <t>超人搪胶模具</t>
  </si>
  <si>
    <t>女侠搪胶模具</t>
  </si>
  <si>
    <t>蝙蝠侠搪胶模具</t>
  </si>
  <si>
    <t>小丑搪胶模具</t>
  </si>
  <si>
    <t>大法师搪胶模具</t>
  </si>
  <si>
    <t>发明家搪胶模具</t>
  </si>
  <si>
    <t>闪电侠搪胶模具</t>
  </si>
  <si>
    <t>川SC4420
挂号:鲁REA08挂
司机：李世常
电话:18608234444</t>
  </si>
  <si>
    <t>POHK-25-20908</t>
  </si>
  <si>
    <t>POHK-25-20910</t>
  </si>
  <si>
    <t>POHK-25-18007</t>
  </si>
  <si>
    <t>VEGA-IMPEX KFT</t>
  </si>
  <si>
    <t>POHK-25-21756</t>
  </si>
  <si>
    <t>POHK-25-14650</t>
  </si>
  <si>
    <t>W-9217463</t>
  </si>
  <si>
    <t>POHK-25-14647</t>
  </si>
  <si>
    <t>W-9217449</t>
  </si>
  <si>
    <t>POHK-25-21490</t>
  </si>
  <si>
    <t>XSDD000053</t>
  </si>
  <si>
    <t>88188（1）</t>
  </si>
  <si>
    <t>车牌:川S81342
挂车：川S4109挂
司机：杨春雷
电话：17748190006</t>
  </si>
  <si>
    <t>Supreme UAE</t>
  </si>
  <si>
    <t>POHK-25-17217</t>
  </si>
  <si>
    <t>PO/SI00088</t>
  </si>
  <si>
    <t>XSDD000071</t>
  </si>
  <si>
    <t>XSDD000037</t>
  </si>
  <si>
    <t>POHK-25-20273</t>
  </si>
  <si>
    <t>XSDD000065</t>
  </si>
  <si>
    <t>欠尾数</t>
  </si>
  <si>
    <t>UPD</t>
  </si>
  <si>
    <t>POHK-25-21475</t>
  </si>
  <si>
    <t>XSDD000050</t>
  </si>
  <si>
    <t>Kohls（DIGITAL ECOM）</t>
  </si>
  <si>
    <t>POHK-25-19600</t>
  </si>
  <si>
    <t>XSDD000029</t>
  </si>
  <si>
    <t>川SF6005
向15023986057
17.5箱子
驾驶员:向春安
手机:15023986057</t>
  </si>
  <si>
    <t>XSDD000031</t>
  </si>
  <si>
    <t>POHK-25-21771</t>
  </si>
  <si>
    <t>XSDD000030</t>
  </si>
  <si>
    <t>POHK-25-21772</t>
  </si>
  <si>
    <t>POHK-25-21773</t>
  </si>
  <si>
    <t>POHK-25-21774</t>
  </si>
  <si>
    <t>POHK-25-20274</t>
  </si>
  <si>
    <t>XSDD000070</t>
  </si>
  <si>
    <t>ASDA UK</t>
  </si>
  <si>
    <t>POHK-25-18499</t>
  </si>
  <si>
    <t>XSDD000069</t>
  </si>
  <si>
    <t>POHK-25-18823</t>
  </si>
  <si>
    <t>XSDD000024</t>
  </si>
  <si>
    <t>POHK-25-18824</t>
  </si>
  <si>
    <t>POHK-25-18825</t>
  </si>
  <si>
    <t>POHK-25-20199</t>
  </si>
  <si>
    <t>POHK-25-20200</t>
  </si>
  <si>
    <t>POHK-25-20201</t>
  </si>
  <si>
    <t>POHK-25-20203</t>
  </si>
  <si>
    <t>POHK-25-21129</t>
  </si>
  <si>
    <t>POHK-25-21131</t>
  </si>
  <si>
    <t>POHK-25-22397</t>
  </si>
  <si>
    <t>XSDD000032</t>
  </si>
  <si>
    <t>5HAG1RQU</t>
  </si>
  <si>
    <t>6X5V2NLM</t>
  </si>
  <si>
    <t>POHK-2612</t>
  </si>
  <si>
    <t>XSDD000051</t>
  </si>
  <si>
    <t>1A57P9EK</t>
  </si>
  <si>
    <t>8ARI9PGT/27GAD3SK/3F52E84T/4BFEEFWU/732D2I1V/2DBG3LXD/65UKTHDB</t>
  </si>
  <si>
    <t>22O42TJU</t>
  </si>
  <si>
    <t>13SX69ML/42BO2ZGS</t>
  </si>
  <si>
    <t>6W29V3UF</t>
  </si>
  <si>
    <t>4L4X7I6W</t>
  </si>
  <si>
    <t>54Z4DBKB</t>
  </si>
  <si>
    <t>POHK-25-21130</t>
  </si>
  <si>
    <t>POHK-25-20202</t>
  </si>
  <si>
    <t>PP36D</t>
  </si>
  <si>
    <t>车牌：川S C7032
渠县到常平
拖挂： 川S8849挂
车型：17.5米
姓名：徐永连
电话: 18253293721</t>
  </si>
  <si>
    <t>CPATOY GROUP</t>
  </si>
  <si>
    <t>POHK-25-21539</t>
  </si>
  <si>
    <t>XSDD000013</t>
  </si>
  <si>
    <t>POHK-25-22091</t>
  </si>
  <si>
    <t>XSDD000034</t>
  </si>
  <si>
    <t>POHK-25-22092</t>
  </si>
  <si>
    <t>POHK-25-22093</t>
  </si>
  <si>
    <t>POHK-25-22096</t>
  </si>
  <si>
    <t>POHK-25-21137</t>
  </si>
  <si>
    <t>XSDD000049</t>
  </si>
  <si>
    <t>JPLLC(GOLDEN LINK)</t>
  </si>
  <si>
    <t>POHK-2673</t>
  </si>
  <si>
    <t>XSDD000016</t>
  </si>
  <si>
    <t>4804-R0-GLDNLINK</t>
  </si>
  <si>
    <t>腾扩物流5方</t>
  </si>
  <si>
    <t>POHK-25-22095</t>
  </si>
  <si>
    <t>XSDD000035</t>
  </si>
  <si>
    <t>POHK-25-19232</t>
  </si>
  <si>
    <t>XSDD000027</t>
  </si>
  <si>
    <t>Wonderland</t>
  </si>
  <si>
    <t>POHK-26-01104</t>
  </si>
  <si>
    <t>XSDD000063</t>
  </si>
  <si>
    <t>注塑模具</t>
  </si>
  <si>
    <t>注塑SDE—25—563</t>
  </si>
  <si>
    <t>注塑SDE—25—537</t>
  </si>
  <si>
    <t>布料</t>
  </si>
  <si>
    <t>卷</t>
  </si>
  <si>
    <t>车牌：川S89465
挂号：川S9847挂
姓名：王武国
手机：15881844777</t>
  </si>
  <si>
    <t>POHK-25-21356</t>
  </si>
  <si>
    <t>POHK-25-21353</t>
  </si>
  <si>
    <t>POHK-25-21354</t>
  </si>
  <si>
    <t>POHK-25-21357</t>
  </si>
  <si>
    <t>POHK-25-21355</t>
  </si>
  <si>
    <t>POHK-25-21358</t>
  </si>
  <si>
    <t>POHK-26-00969</t>
  </si>
  <si>
    <t>XSDD000073</t>
  </si>
  <si>
    <t>8WQTFMQM</t>
  </si>
  <si>
    <t>POHK-2648</t>
  </si>
  <si>
    <t>XSDD000055</t>
  </si>
  <si>
    <t>POHK-25-19233</t>
  </si>
  <si>
    <t>POHK-25-19234</t>
  </si>
  <si>
    <t>POHK-2649</t>
  </si>
  <si>
    <t>XSDD000056</t>
  </si>
  <si>
    <t>POHK-2652</t>
  </si>
  <si>
    <t>XSDD000059</t>
  </si>
  <si>
    <t>POHK-2654</t>
  </si>
  <si>
    <t>XSDD000061</t>
  </si>
  <si>
    <t>冲压模具</t>
  </si>
  <si>
    <t>吊牌</t>
  </si>
  <si>
    <t>XSDD000066</t>
  </si>
  <si>
    <t>XSDD000096</t>
  </si>
  <si>
    <t>Amazon</t>
  </si>
  <si>
    <t>1002089/45360</t>
  </si>
  <si>
    <t>1002089/45361</t>
  </si>
  <si>
    <t>Target</t>
  </si>
  <si>
    <t>Dave/Jass</t>
  </si>
  <si>
    <t>1002065/44954</t>
  </si>
  <si>
    <t>10001697215-3891</t>
  </si>
  <si>
    <t>车牌：川S80435
挂号：川S4486
电话：18080698059</t>
  </si>
  <si>
    <t>1002089/45359</t>
  </si>
  <si>
    <t>1002089/45358</t>
  </si>
  <si>
    <t>POHK-2653</t>
  </si>
  <si>
    <t>XSDD000060</t>
  </si>
  <si>
    <t>川S81407
挂号：川S9801挂
司机：秦学川
电话：18080698059</t>
  </si>
  <si>
    <t>1002065/44953</t>
  </si>
  <si>
    <t>10001697214-3890</t>
  </si>
  <si>
    <t>JPLLC</t>
  </si>
  <si>
    <t>Red Planet</t>
  </si>
  <si>
    <t>POHK-26-01543</t>
  </si>
  <si>
    <t>XSDD000092</t>
  </si>
  <si>
    <t>PO004906</t>
  </si>
  <si>
    <t>CVS Domestic</t>
  </si>
  <si>
    <t>POHK-26-01832</t>
  </si>
  <si>
    <t>XSDD000106</t>
  </si>
  <si>
    <t>6823-R0-CVS</t>
  </si>
  <si>
    <t>POHK-25-18008</t>
  </si>
  <si>
    <t>XSDD000036</t>
  </si>
  <si>
    <t>WM CA</t>
  </si>
  <si>
    <t>POHK-26-05014</t>
  </si>
  <si>
    <t>XSDD000261</t>
  </si>
  <si>
    <t>WMCA 46857 URG PO1</t>
  </si>
  <si>
    <t>55件+尾数40+35</t>
  </si>
  <si>
    <t>POHK-26-05021</t>
  </si>
  <si>
    <t>XSDD000262</t>
  </si>
  <si>
    <t>WMCA 46857 URG PO2</t>
  </si>
  <si>
    <t>Spectron B.V.</t>
  </si>
  <si>
    <t>POHK-26-02000</t>
  </si>
  <si>
    <t>XSDD000143</t>
  </si>
  <si>
    <t>50002244</t>
  </si>
  <si>
    <t>WM USA</t>
  </si>
  <si>
    <t>POHK-26-02315</t>
  </si>
  <si>
    <t>XSDD000194</t>
  </si>
  <si>
    <t>0980443906</t>
  </si>
  <si>
    <t>不要发华康</t>
  </si>
  <si>
    <t>POHK-26-02316</t>
  </si>
  <si>
    <t>XSDD000195</t>
  </si>
  <si>
    <t>0980443888</t>
  </si>
  <si>
    <t>POHK-26-02317</t>
  </si>
  <si>
    <t>XSDD000196</t>
  </si>
  <si>
    <t>0980443892</t>
  </si>
  <si>
    <t>POHK-26-02318</t>
  </si>
  <si>
    <t>XSDD000197</t>
  </si>
  <si>
    <t>0980443870</t>
  </si>
  <si>
    <t>POHK-26-02319</t>
  </si>
  <si>
    <t>XSDD000198</t>
  </si>
  <si>
    <t>0980443903</t>
  </si>
  <si>
    <t>0969848535</t>
  </si>
  <si>
    <t>车牌号：冀A51079
司机：张明仓
电话：15297106450</t>
  </si>
  <si>
    <t>0969848600</t>
  </si>
  <si>
    <t>XSDD000088</t>
  </si>
  <si>
    <t>XSDD000120</t>
  </si>
  <si>
    <t>车牌:川SB1976
挂车：川S6604挂
车型：17.5
司机：田之波
电话：18982800115</t>
  </si>
  <si>
    <t>XSDD000022</t>
  </si>
  <si>
    <t>TARGET</t>
  </si>
  <si>
    <t>1002084/45202</t>
  </si>
  <si>
    <t>10001697211-3891</t>
  </si>
  <si>
    <t>车牌:川S81342
挂车：川S4109挂
司机：廖熊
电话：13795688897</t>
  </si>
  <si>
    <t>POHK-2650</t>
  </si>
  <si>
    <t>XSDD000057</t>
  </si>
  <si>
    <t>POHK-2651</t>
  </si>
  <si>
    <t>XSDD000058</t>
  </si>
  <si>
    <t>车牌：川S80435
电话：15281815955</t>
  </si>
  <si>
    <t>POHK-25-21818</t>
  </si>
  <si>
    <t>XSDD000160</t>
  </si>
  <si>
    <t>PO/SI00172</t>
  </si>
  <si>
    <t>POHK-25-21936</t>
  </si>
  <si>
    <t>XSDD000155</t>
  </si>
  <si>
    <t>PO/SW00041</t>
  </si>
  <si>
    <t>SCHK-25-21936</t>
  </si>
  <si>
    <t>35箱+80尾</t>
  </si>
  <si>
    <t>POHK-26-02320</t>
  </si>
  <si>
    <t>XSDD000199</t>
  </si>
  <si>
    <t>POHK-26-02321</t>
  </si>
  <si>
    <t>XSDD000200</t>
  </si>
  <si>
    <t>POHK-26-03356</t>
  </si>
  <si>
    <t>XSDD000215</t>
  </si>
  <si>
    <t>POHK-26-03362</t>
  </si>
  <si>
    <t>XSDD000214</t>
  </si>
  <si>
    <t>POHK-26-03364</t>
  </si>
  <si>
    <t>XSDD000213</t>
  </si>
  <si>
    <t>POHK-26-03366</t>
  </si>
  <si>
    <t>XSDD000212</t>
  </si>
  <si>
    <t>POHK-26-03367</t>
  </si>
  <si>
    <t>XSDD000211</t>
  </si>
  <si>
    <t>POHK-26-03369</t>
  </si>
  <si>
    <t>XSDD000210</t>
  </si>
  <si>
    <t>14箱+100尾</t>
  </si>
  <si>
    <t>TJ Maxx</t>
  </si>
  <si>
    <t>POHK-26-01625</t>
  </si>
  <si>
    <t>XSDD000105</t>
  </si>
  <si>
    <t>车尾必走</t>
  </si>
  <si>
    <t>POHK-26-00483</t>
  </si>
  <si>
    <t>XSDD000077</t>
  </si>
  <si>
    <t>0972899855</t>
  </si>
  <si>
    <t>POHK-26-03267</t>
  </si>
  <si>
    <t>XSDD000234</t>
  </si>
  <si>
    <t>11839（8）</t>
  </si>
  <si>
    <t>POHK-26-03316</t>
  </si>
  <si>
    <t>XSDD000233</t>
  </si>
  <si>
    <t>POHK-26-00484</t>
  </si>
  <si>
    <t>XSDD000078</t>
  </si>
  <si>
    <t>0972899875</t>
  </si>
  <si>
    <t>POHK-26-00485</t>
  </si>
  <si>
    <t>XSDD000079</t>
  </si>
  <si>
    <t>0972899888</t>
  </si>
  <si>
    <t>POHK-26-00486</t>
  </si>
  <si>
    <t>XSDD000080</t>
  </si>
  <si>
    <t>0972899889</t>
  </si>
  <si>
    <t>Marshall</t>
  </si>
  <si>
    <t>POHK-26-01577</t>
  </si>
  <si>
    <t>XSDD000104</t>
  </si>
  <si>
    <t xml:space="preserve"> POHK-26-00919</t>
  </si>
  <si>
    <t>XSDD000085</t>
  </si>
  <si>
    <t>B516279</t>
  </si>
  <si>
    <t>SDE</t>
  </si>
  <si>
    <t>470528冰淇淋</t>
  </si>
  <si>
    <t>注塑模具SDE_24_616</t>
  </si>
  <si>
    <t>18板，3000KG</t>
  </si>
  <si>
    <t>车牌号码：川SF7111.
川S6456挂。
姓名：温友成   
身份证号码 ： 513029197802092750   
 电话:18682843322</t>
  </si>
  <si>
    <t>注塑模具SDE_24_617</t>
  </si>
  <si>
    <t>注塑模具SDE_24_618</t>
  </si>
  <si>
    <t>注塑模具SDE_24_619</t>
  </si>
  <si>
    <t>注塑模具SDE_24_620</t>
  </si>
  <si>
    <t>注塑模具SDE_24_621</t>
  </si>
  <si>
    <t>有H和A镶件</t>
  </si>
  <si>
    <t>搪胶模具SDE_24_622</t>
  </si>
  <si>
    <t>注塑模具SDE_24_623</t>
  </si>
  <si>
    <t>注塑模具SDE_24_624</t>
  </si>
  <si>
    <t>注塑模具SDE_24_625</t>
  </si>
  <si>
    <t>注塑模具SDE_24_626</t>
  </si>
  <si>
    <t>注塑模具SDE_24_627</t>
  </si>
  <si>
    <t>搪胶模具SDE_24_730</t>
  </si>
  <si>
    <t>搪胶模具SDE_24_731</t>
  </si>
  <si>
    <t>搪胶模具SDE_24_732</t>
  </si>
  <si>
    <t>注塑模具SDE_24_811</t>
  </si>
  <si>
    <t>注塑模具SDE_24_814</t>
  </si>
  <si>
    <t>470692酸奶</t>
  </si>
  <si>
    <t>注塑模具SDE_24_628</t>
  </si>
  <si>
    <t>注塑模具SDE_24_629</t>
  </si>
  <si>
    <t>注塑模具SDE_24_630</t>
  </si>
  <si>
    <t>注塑模具SDE_24_631</t>
  </si>
  <si>
    <t>注塑模具SDE_24_632</t>
  </si>
  <si>
    <t>注塑模具SDE_24_633</t>
  </si>
  <si>
    <t>有H和A镶件同华夫饼共用</t>
  </si>
  <si>
    <t>注塑模具SDE_24_634</t>
  </si>
  <si>
    <t>搪胶模具SDE_24_635</t>
  </si>
  <si>
    <t>注塑模具SDE_24_636</t>
  </si>
  <si>
    <t>注塑模具SDE_24_637</t>
  </si>
  <si>
    <t>搪胶模具SDE_24_638</t>
  </si>
  <si>
    <t>搪胶模具SDE_24_639</t>
  </si>
  <si>
    <t>搪胶模具SDE_24_640</t>
  </si>
  <si>
    <t>搪胶模具SDE_24_641</t>
  </si>
  <si>
    <t>搪胶模具SDE_24_818</t>
  </si>
  <si>
    <t>搪胶模具SDE_24_819</t>
  </si>
  <si>
    <t>搪胶模具SDE_24_820</t>
  </si>
  <si>
    <t>注塑模具SDE_25_023</t>
  </si>
  <si>
    <t>470690电磁炉</t>
  </si>
  <si>
    <t>注塑模具SDE_24_642</t>
  </si>
  <si>
    <t>注塑模具SDE_24_643</t>
  </si>
  <si>
    <t>注塑模具SDE_24_644</t>
  </si>
  <si>
    <t>注塑模具SDE_24_645</t>
  </si>
  <si>
    <t>注塑模具SDE_24_646</t>
  </si>
  <si>
    <t>注塑模具SDE_24_647</t>
  </si>
  <si>
    <t>注塑模具SDE_24_648</t>
  </si>
  <si>
    <t>注塑模具SDE_24_649</t>
  </si>
  <si>
    <t>注塑模具SDE_24_650</t>
  </si>
  <si>
    <t>注塑模具SDE_24_651</t>
  </si>
  <si>
    <t>注塑模具SDE_24_652</t>
  </si>
  <si>
    <t>注塑模具SDE_24_653</t>
  </si>
  <si>
    <t>注塑模具SDE_24_654</t>
  </si>
  <si>
    <t>有H和A镶件同华夫饼共模</t>
  </si>
  <si>
    <t>注塑模具SDE_24_655</t>
  </si>
  <si>
    <t>搪胶模具SDE_24_656</t>
  </si>
  <si>
    <t>36</t>
  </si>
  <si>
    <t>注塑模具SDE_24_657</t>
  </si>
  <si>
    <t>注塑模具SDE_24_658</t>
  </si>
  <si>
    <t>注塑模具SDE_24_812</t>
  </si>
  <si>
    <t>注塑模具SDE_24_813</t>
  </si>
  <si>
    <t>470722医生套装</t>
  </si>
  <si>
    <t>注塑模具SDE_24_691</t>
  </si>
  <si>
    <t>注塑模具SDE_24_692</t>
  </si>
  <si>
    <t>注塑模具SDE_24_693</t>
  </si>
  <si>
    <t>注塑模具SDE_24_694</t>
  </si>
  <si>
    <t>注塑模具SDE_24_695</t>
  </si>
  <si>
    <t>注塑模具SDE_24_696</t>
  </si>
  <si>
    <t>注塑模具SDE_24_697</t>
  </si>
  <si>
    <t>注塑模具SDE_24_698</t>
  </si>
  <si>
    <t>注塑模具SDE_24_699</t>
  </si>
  <si>
    <t>注塑模具SDE_24_700</t>
  </si>
  <si>
    <t>注塑模具SDE_24_701</t>
  </si>
  <si>
    <t>注塑模具SDE_24_702</t>
  </si>
  <si>
    <t>搪胶模具SDE_24_703</t>
  </si>
  <si>
    <t>注塑模具SDE_24_704</t>
  </si>
  <si>
    <t>注塑模具SDE_24_724</t>
  </si>
  <si>
    <t>注塑模具SDE_24_733</t>
  </si>
  <si>
    <t>注塑模具SDE_25_004</t>
  </si>
  <si>
    <t>470691华夫饼</t>
  </si>
  <si>
    <t>注塑模具SDE_24_659</t>
  </si>
  <si>
    <t>注塑模具SDE_24_660</t>
  </si>
  <si>
    <t>注塑模具SDE_24_661</t>
  </si>
  <si>
    <t>注塑模具SDE_24_662</t>
  </si>
  <si>
    <t>注塑模具SDE_24_663</t>
  </si>
  <si>
    <t>注塑模具SDE_24_664</t>
  </si>
  <si>
    <t>注塑模具SDE_24_665</t>
  </si>
  <si>
    <t>注塑模具SDE_24_666</t>
  </si>
  <si>
    <t>注塑模具SDE_24_667</t>
  </si>
  <si>
    <t>搪胶模具SDE_24_668</t>
  </si>
  <si>
    <t>注塑模具SDE_24_669</t>
  </si>
  <si>
    <t>注塑模具SDE_24_670</t>
  </si>
  <si>
    <t>注塑模具SDE_24_706</t>
  </si>
  <si>
    <t>注塑模具SDE_24_725</t>
  </si>
  <si>
    <t>470529搅拌机</t>
  </si>
  <si>
    <t>注塑模具SDE_24_671</t>
  </si>
  <si>
    <t>注塑模具SDE_24_672</t>
  </si>
  <si>
    <t>注塑模具SDE_24_673</t>
  </si>
  <si>
    <t>注塑模具SDE_24_674</t>
  </si>
  <si>
    <t>注塑模具SDE_24_675</t>
  </si>
  <si>
    <t>注塑模具SDE_24_676</t>
  </si>
  <si>
    <t>注塑模具SDE_24_677</t>
  </si>
  <si>
    <t>注塑模具SDE_24_678</t>
  </si>
  <si>
    <t>注塑模具SDE_24_679</t>
  </si>
  <si>
    <t>注塑模具SDE_24_680</t>
  </si>
  <si>
    <t>注塑模具SDE_24_681</t>
  </si>
  <si>
    <t>注塑模具SDE_24_682</t>
  </si>
  <si>
    <t>注塑模具SDE_24_683</t>
  </si>
  <si>
    <t>注塑模具SDE_24_684</t>
  </si>
  <si>
    <t>注塑模具SDE_24_685</t>
  </si>
  <si>
    <t>注塑模具SDE_24_686</t>
  </si>
  <si>
    <t>注塑模具SDE_24_687</t>
  </si>
  <si>
    <t>注塑模具SDE_24_689</t>
  </si>
  <si>
    <t>注塑模具SDE_24_690</t>
  </si>
  <si>
    <t>注塑模具SDE_24_705</t>
  </si>
  <si>
    <t>注塑模具SDE_24_815</t>
  </si>
  <si>
    <t>注塑模具SDE_24_816</t>
  </si>
  <si>
    <t>注塑模具SDE_24_817</t>
  </si>
  <si>
    <t>470688生日蛋糕</t>
  </si>
  <si>
    <t>注塑模具SDE_24_709</t>
  </si>
  <si>
    <t>注塑模具SDE_24_710</t>
  </si>
  <si>
    <t>注塑模具SDE_24_711</t>
  </si>
  <si>
    <t>注塑模具SDE_24_712</t>
  </si>
  <si>
    <t>注塑模具SDE_24_713</t>
  </si>
  <si>
    <t>有H和A镶件同搅拌机共模</t>
  </si>
  <si>
    <t>注塑模具SDE_24_714</t>
  </si>
  <si>
    <t>注塑模具SDE_24_715</t>
  </si>
  <si>
    <t>注塑模具SDE_24_716</t>
  </si>
  <si>
    <t>搪胶模具SDE_24_728</t>
  </si>
  <si>
    <t>搪胶模具SDE_24_729</t>
  </si>
  <si>
    <t>470689甜品托盘</t>
  </si>
  <si>
    <t>注塑模具SDE_24_717</t>
  </si>
  <si>
    <t>注塑模具SDE_24_718</t>
  </si>
  <si>
    <t>注塑模具SDE_24_719</t>
  </si>
  <si>
    <t>注塑模具SDE_24_720</t>
  </si>
  <si>
    <t>注塑模具SDE_24_721</t>
  </si>
  <si>
    <t>注塑模具SDE_24_722</t>
  </si>
  <si>
    <t>注塑模具SDE_24_723</t>
  </si>
  <si>
    <t>3000KG</t>
  </si>
  <si>
    <t>POHK-26-00487</t>
  </si>
  <si>
    <t>XSDD000081</t>
  </si>
  <si>
    <t>0972899906</t>
  </si>
  <si>
    <t>POHK-26-00488</t>
  </si>
  <si>
    <t>XSDD000082</t>
  </si>
  <si>
    <t>0972899912</t>
  </si>
  <si>
    <t>POHK-26-00489</t>
  </si>
  <si>
    <t>XSDD000083</t>
  </si>
  <si>
    <t>0972899931</t>
  </si>
  <si>
    <t>Cracker Barrel</t>
  </si>
  <si>
    <t>POHK-25-21741</t>
  </si>
  <si>
    <t>XSDD000026</t>
  </si>
  <si>
    <t>279167</t>
  </si>
  <si>
    <t>POHK-25-21138</t>
  </si>
  <si>
    <t>XSDD000048</t>
  </si>
  <si>
    <t>电机维修</t>
  </si>
  <si>
    <t>台</t>
  </si>
  <si>
    <t>解码器维修</t>
  </si>
  <si>
    <t>POHK-26-00979</t>
  </si>
  <si>
    <t>234397600</t>
  </si>
  <si>
    <t>迪士尼小鸭系列</t>
  </si>
  <si>
    <t>四川装车</t>
  </si>
  <si>
    <t>4.14
渠县到常平
车牌：川S G2121
挂号：川S7459挂
司机:蔡旭
手机:15881855371</t>
  </si>
  <si>
    <t>POHK-26-03350</t>
  </si>
  <si>
    <t>POHK-26-03410</t>
  </si>
  <si>
    <t>POHK-26-03384</t>
  </si>
  <si>
    <t>POHK-25-22181</t>
  </si>
  <si>
    <t>XSDD0001067</t>
  </si>
  <si>
    <t>0967479388</t>
  </si>
  <si>
    <t>POHK-25-22182</t>
  </si>
  <si>
    <t>XSDD000108</t>
  </si>
  <si>
    <t>0967479390</t>
  </si>
  <si>
    <t>POHK-25-22183</t>
  </si>
  <si>
    <t>XSDD000109</t>
  </si>
  <si>
    <t>0967479392</t>
  </si>
  <si>
    <t>POHK-25-22185</t>
  </si>
  <si>
    <t>XSDD000111</t>
  </si>
  <si>
    <t>0967479396</t>
  </si>
  <si>
    <t>XSDD000115</t>
  </si>
  <si>
    <t>XSDD000116</t>
  </si>
  <si>
    <t>470114（4）</t>
  </si>
  <si>
    <t>PP-四川360D</t>
  </si>
  <si>
    <t>透明PP</t>
  </si>
  <si>
    <t>透明PVC50</t>
  </si>
  <si>
    <t>POHK-25-22184</t>
  </si>
  <si>
    <t>XSDD000110</t>
  </si>
  <si>
    <t>0967479394</t>
  </si>
  <si>
    <t>车牌：川S86094
司机:向春强
手机:15983853215</t>
  </si>
  <si>
    <t>1002084/45201</t>
  </si>
  <si>
    <t>XSDD000084</t>
  </si>
  <si>
    <t>车牌:川S89465
挂车：川S6604挂
车型：18.5x3x3厢车
5轴160方
司机：王武国
电话：15881844777</t>
  </si>
  <si>
    <t>POHK-26-04920</t>
  </si>
  <si>
    <t>XSDD000184</t>
  </si>
  <si>
    <t>W-9445341</t>
  </si>
  <si>
    <t>33416
史迪仔</t>
  </si>
  <si>
    <t>33417
米奇</t>
  </si>
  <si>
    <t>33421
老虎</t>
  </si>
  <si>
    <t>33420
维尼熊</t>
  </si>
  <si>
    <t>33519
粉裙米妮</t>
  </si>
  <si>
    <t>33424
雪宝</t>
  </si>
  <si>
    <t>Sunny Brinquedos</t>
  </si>
  <si>
    <t>POHK-25-21194</t>
  </si>
  <si>
    <t>XSDD000089</t>
  </si>
  <si>
    <t>SUHT-1479</t>
  </si>
  <si>
    <t>POHK-26-01655</t>
  </si>
  <si>
    <t>XSDD000102</t>
  </si>
  <si>
    <t>222370</t>
  </si>
  <si>
    <t>POHK-26-01662</t>
  </si>
  <si>
    <t>XSDD000103</t>
  </si>
  <si>
    <t>222360</t>
  </si>
  <si>
    <t>POHK-26-03064</t>
  </si>
  <si>
    <t>XSDD000145</t>
  </si>
  <si>
    <t>CG566</t>
  </si>
  <si>
    <t>33658（8）</t>
  </si>
  <si>
    <t>POHK-26-02126</t>
  </si>
  <si>
    <t>XSDD000275</t>
  </si>
  <si>
    <t>CG319</t>
  </si>
  <si>
    <t>33708（8）</t>
  </si>
  <si>
    <t>篮球模具</t>
  </si>
  <si>
    <t>XSDD000192</t>
  </si>
  <si>
    <t>33481
胡迪</t>
  </si>
  <si>
    <t>腾扩物流，拼车13.5方</t>
  </si>
  <si>
    <t>33479
外星人</t>
  </si>
  <si>
    <t>33478
巴斯</t>
  </si>
  <si>
    <t>33419唐老鸭</t>
  </si>
  <si>
    <t>TJX Aust</t>
  </si>
  <si>
    <t>POHK-26-04409</t>
  </si>
  <si>
    <t>XSDD000158</t>
  </si>
  <si>
    <t>1065863</t>
  </si>
  <si>
    <t>车牌：川S G2121
挂号：川S7459挂
司机:蔡旭
手机:15881855371</t>
  </si>
  <si>
    <t>POHK-26-04411</t>
  </si>
  <si>
    <t>XSDD000159</t>
  </si>
  <si>
    <t>1065864</t>
  </si>
  <si>
    <t>POHK-26-02812</t>
  </si>
  <si>
    <t>XSDD000139</t>
  </si>
  <si>
    <t>W-9667418</t>
  </si>
  <si>
    <t>#33416
史迪仔</t>
  </si>
  <si>
    <t>#33417
米奇</t>
  </si>
  <si>
    <t>#33481
胡迪</t>
  </si>
  <si>
    <t>#33421
老虎</t>
  </si>
  <si>
    <t>#33420
维尼熊</t>
  </si>
  <si>
    <t>#33479
外星人</t>
  </si>
  <si>
    <t>#33478
巴斯</t>
  </si>
  <si>
    <t>#33419唐老鸭</t>
  </si>
  <si>
    <t>#33519
粉裙米妮</t>
  </si>
  <si>
    <t>POHK-26-04835</t>
  </si>
  <si>
    <t>XSDD000181</t>
  </si>
  <si>
    <t>17P6J28S</t>
  </si>
  <si>
    <t>7UUJG9JX</t>
  </si>
  <si>
    <t>8CVR4HNI</t>
  </si>
  <si>
    <t>8UX5JPHZ</t>
  </si>
  <si>
    <t>57JD9FFW</t>
  </si>
  <si>
    <t>6TXB4X4J</t>
  </si>
  <si>
    <t>POHK-26-01215</t>
  </si>
  <si>
    <t>XSDD000113</t>
  </si>
  <si>
    <t>0976244542</t>
  </si>
  <si>
    <t>POHK-26-01220</t>
  </si>
  <si>
    <t>XSDD000112</t>
  </si>
  <si>
    <t>0976244628</t>
  </si>
  <si>
    <t>POHK-26-01894</t>
  </si>
  <si>
    <t>XSDD000180</t>
  </si>
  <si>
    <t>0979431140</t>
  </si>
  <si>
    <t>POHK-26-01363</t>
  </si>
  <si>
    <t>XSDD000101</t>
  </si>
  <si>
    <t>0977162369</t>
  </si>
  <si>
    <t>POHK-26-01272</t>
  </si>
  <si>
    <t>XSDD000161</t>
  </si>
  <si>
    <t>35806</t>
  </si>
  <si>
    <t>WM.COM</t>
  </si>
  <si>
    <t>POHK-26-08545</t>
  </si>
  <si>
    <t>XSDD000317</t>
  </si>
  <si>
    <t>6879-R0-WMT</t>
  </si>
  <si>
    <t>200*49+50</t>
  </si>
  <si>
    <t>POHK-26-03371</t>
  </si>
  <si>
    <t>XSDD000209</t>
  </si>
  <si>
    <t>0980522962</t>
  </si>
  <si>
    <t>POHK-26-04330</t>
  </si>
  <si>
    <t>XSDD000222</t>
  </si>
  <si>
    <t>0984878424</t>
  </si>
  <si>
    <t>POHK-26-04332</t>
  </si>
  <si>
    <t>XSDD000221</t>
  </si>
  <si>
    <t>0984878436</t>
  </si>
  <si>
    <t>POHK-26-04333</t>
  </si>
  <si>
    <t>XSDD000220</t>
  </si>
  <si>
    <t>0984878446</t>
  </si>
  <si>
    <t>POHK-26-04334</t>
  </si>
  <si>
    <t>XSDD000219</t>
  </si>
  <si>
    <t>0984878452</t>
  </si>
  <si>
    <t>POHK-26-04335</t>
  </si>
  <si>
    <t>XSDD000218</t>
  </si>
  <si>
    <t>0984878456</t>
  </si>
  <si>
    <t>POHK-26-04336</t>
  </si>
  <si>
    <t>XSDD000217</t>
  </si>
  <si>
    <t>0984878571</t>
  </si>
  <si>
    <t>POHK-26-04337</t>
  </si>
  <si>
    <t>XSDD000216</t>
  </si>
  <si>
    <t>0984878614</t>
  </si>
  <si>
    <t>POHK-26-04338</t>
  </si>
  <si>
    <t>XSDD000229</t>
  </si>
  <si>
    <t>0984878464</t>
  </si>
  <si>
    <t>POHK-26-04339</t>
  </si>
  <si>
    <t>XSDD000228</t>
  </si>
  <si>
    <t>0984878465</t>
  </si>
  <si>
    <t>POHK-26-04340</t>
  </si>
  <si>
    <t>XSDD000227</t>
  </si>
  <si>
    <t>0984878489</t>
  </si>
  <si>
    <t>POHK-26-04342</t>
  </si>
  <si>
    <t>XSDD000226</t>
  </si>
  <si>
    <t>0984878510</t>
  </si>
  <si>
    <t>POHK-26-04344</t>
  </si>
  <si>
    <t>XSDD000225</t>
  </si>
  <si>
    <t>0984878557</t>
  </si>
  <si>
    <t>POHK-26-04346</t>
  </si>
  <si>
    <t>XSDD000224</t>
  </si>
  <si>
    <t>0984878593</t>
  </si>
  <si>
    <t>POHK-26-04347</t>
  </si>
  <si>
    <t>XSDD000223</t>
  </si>
  <si>
    <t>0984878597</t>
  </si>
  <si>
    <t>AAFES</t>
  </si>
  <si>
    <t>POHK-26-04300</t>
  </si>
  <si>
    <t>XSDD000302</t>
  </si>
  <si>
    <t>0092552941</t>
  </si>
  <si>
    <t>POHK-26-04321</t>
  </si>
  <si>
    <t>XSDD000304</t>
  </si>
  <si>
    <t>0092552940</t>
  </si>
  <si>
    <t>POHK-26-04323</t>
  </si>
  <si>
    <t>XSDD000301</t>
  </si>
  <si>
    <t>0092552939</t>
  </si>
  <si>
    <t>POHK-26-04325</t>
  </si>
  <si>
    <t>XSDD000300</t>
  </si>
  <si>
    <t>0092552937</t>
  </si>
  <si>
    <t>POHK-26-04326</t>
  </si>
  <si>
    <t>XSDD000303</t>
  </si>
  <si>
    <t>0092552936</t>
  </si>
  <si>
    <t>200*31</t>
  </si>
  <si>
    <t>POHK-26-08012</t>
  </si>
  <si>
    <t>XSDD000311</t>
  </si>
  <si>
    <t>0991252828</t>
  </si>
  <si>
    <t>POHK-26-04273</t>
  </si>
  <si>
    <t>XSDD000264</t>
  </si>
  <si>
    <t>6827-R1-AMZ</t>
  </si>
  <si>
    <t>POHK-26-05781</t>
  </si>
  <si>
    <t>6863-R0-AC</t>
  </si>
  <si>
    <t>POHK-26-03065</t>
  </si>
  <si>
    <t>XSDD000146</t>
  </si>
  <si>
    <t>CG567</t>
  </si>
  <si>
    <t>我爱纽约组合小鸭</t>
  </si>
  <si>
    <t>POHK-26-05149</t>
  </si>
  <si>
    <t>XSDD000276</t>
  </si>
  <si>
    <t>搪胶小鸭</t>
  </si>
  <si>
    <t>POHK-26-02127</t>
  </si>
  <si>
    <t>XSDD000277</t>
  </si>
  <si>
    <t>CG318</t>
  </si>
  <si>
    <t>SMYTHS UK</t>
  </si>
  <si>
    <t>POHK-26-01148</t>
  </si>
  <si>
    <t>XSDD000093</t>
  </si>
  <si>
    <t>4400539181</t>
  </si>
  <si>
    <t>12369（2）</t>
  </si>
  <si>
    <t>摇摆米奇</t>
  </si>
  <si>
    <t>蓝球</t>
  </si>
  <si>
    <t>XSDD000267</t>
  </si>
  <si>
    <t>绿色金属车</t>
  </si>
  <si>
    <t>XSDD000119</t>
  </si>
  <si>
    <t>翰迪尔娃娃（咖色头发）</t>
  </si>
  <si>
    <t>车牌:川SC4420
挂车：川SA261挂
车型：17.5厢车（180）
司机：周明康
电话：18682822739</t>
  </si>
  <si>
    <t>POHK-26-01150</t>
  </si>
  <si>
    <t>XSDD000094</t>
  </si>
  <si>
    <t>4400539183</t>
  </si>
  <si>
    <t>Mid States</t>
  </si>
  <si>
    <t>FO00000037/39</t>
  </si>
  <si>
    <t>注塑模具3套</t>
  </si>
  <si>
    <t>POHK-26-01454</t>
  </si>
  <si>
    <t>XSDD000246</t>
  </si>
  <si>
    <t>POHK-26-01377</t>
  </si>
  <si>
    <t>XSDD000126</t>
  </si>
  <si>
    <t>POHK-26-01374</t>
  </si>
  <si>
    <t>XSDD000125</t>
  </si>
  <si>
    <t>POHK-26-01369</t>
  </si>
  <si>
    <t>XSDD000114</t>
  </si>
  <si>
    <t>POHK-25-01370</t>
  </si>
  <si>
    <t>XSDD000132</t>
  </si>
  <si>
    <t xml:space="preserve">	2581425</t>
  </si>
  <si>
    <t>45710</t>
  </si>
  <si>
    <t>XSDD000338</t>
  </si>
  <si>
    <t>车牌:川SB1976
司机：18982800115</t>
  </si>
  <si>
    <t>Kohls
（送华康）</t>
  </si>
  <si>
    <t>POHK-26-05474</t>
  </si>
  <si>
    <t>XSDD000316</t>
  </si>
  <si>
    <t>搪小鸭天使</t>
  </si>
  <si>
    <t>3*200+160</t>
  </si>
  <si>
    <t>POHK-26-09211</t>
  </si>
  <si>
    <t>XSDD000359</t>
  </si>
  <si>
    <t>外星人搪胶模具</t>
  </si>
  <si>
    <t>30*200+161</t>
  </si>
  <si>
    <t>POHK-26-08241</t>
  </si>
  <si>
    <t>XSDD000322</t>
  </si>
  <si>
    <t>POHK-26-08078</t>
  </si>
  <si>
    <t>XSDD000412</t>
  </si>
  <si>
    <t>POHK-26-08074</t>
  </si>
  <si>
    <t>XSDD000409</t>
  </si>
  <si>
    <t>POHK-26-05033</t>
  </si>
  <si>
    <t>XSDD000398</t>
  </si>
  <si>
    <t>荧光杰克</t>
  </si>
  <si>
    <t>6*200+178</t>
  </si>
  <si>
    <t>POHK-26-05035</t>
  </si>
  <si>
    <t>XSDD000376</t>
  </si>
  <si>
    <t>POHK-26-09346</t>
  </si>
  <si>
    <t>XSDD000358</t>
  </si>
  <si>
    <t>6870-R0-AMZ</t>
  </si>
  <si>
    <t>POHK-26-01923</t>
  </si>
  <si>
    <t>XSDD000150</t>
  </si>
  <si>
    <t>POHK-26-01924</t>
  </si>
  <si>
    <t>XSDD000149</t>
  </si>
  <si>
    <t>POHK-26-01925</t>
  </si>
  <si>
    <t>XSDD000148</t>
  </si>
  <si>
    <t>POHK-26-01929</t>
  </si>
  <si>
    <t>XSDD000151</t>
  </si>
  <si>
    <t>POHK-26-02896</t>
  </si>
  <si>
    <t>XSDD000189</t>
  </si>
  <si>
    <t>POHK-26-02899</t>
  </si>
  <si>
    <t>XSDD000187</t>
  </si>
  <si>
    <t>POHK-26-02900</t>
  </si>
  <si>
    <t>XSDD000186</t>
  </si>
  <si>
    <t>POHK-26-02901</t>
  </si>
  <si>
    <t>XSDD000185</t>
  </si>
  <si>
    <t>POHK-26-02210</t>
  </si>
  <si>
    <t>XSDD000123</t>
  </si>
  <si>
    <t>POHK-26-03083</t>
  </si>
  <si>
    <t>XSDD000265</t>
  </si>
  <si>
    <t>PO004918</t>
  </si>
  <si>
    <t>车牌：川S80152
挂号：川S4486
司机：19983746475</t>
  </si>
  <si>
    <t>POHK-26-01926</t>
  </si>
  <si>
    <t>XSDD000147</t>
  </si>
  <si>
    <t>POHK-26-01927</t>
  </si>
  <si>
    <t>XSDD000153</t>
  </si>
  <si>
    <t>POHK-26-01928</t>
  </si>
  <si>
    <t>XSDD000152</t>
  </si>
  <si>
    <t>POHK-26-02898</t>
  </si>
  <si>
    <t>XSDD000188</t>
  </si>
  <si>
    <t>00170-R0-SPA</t>
  </si>
  <si>
    <t>铆钉机</t>
  </si>
  <si>
    <t>HEB</t>
  </si>
  <si>
    <t>POHK-26-01414</t>
  </si>
  <si>
    <t>XSDD000202</t>
  </si>
  <si>
    <t>01X681590</t>
  </si>
  <si>
    <t>车牌：川S80435
挂号：川S4486
司机：秦学川
电话：15808181018</t>
  </si>
  <si>
    <t xml:space="preserve"> Red Planet</t>
  </si>
  <si>
    <t>Grupo Mas Tre</t>
  </si>
  <si>
    <t xml:space="preserve"> POHK-26-01594</t>
  </si>
  <si>
    <t>XSDD000332</t>
  </si>
  <si>
    <t>G-MAS-T_INQ_020626</t>
  </si>
  <si>
    <t>#33486
莫阿娜</t>
  </si>
  <si>
    <t>搪胶史迪仔</t>
  </si>
  <si>
    <t>POHK-26-06244</t>
  </si>
  <si>
    <t>XSDD000324</t>
  </si>
  <si>
    <t>117403867</t>
  </si>
  <si>
    <t>28*200+180</t>
  </si>
  <si>
    <t>POHK-26-06246</t>
  </si>
  <si>
    <t>XSDD000326</t>
  </si>
  <si>
    <t>117403869</t>
  </si>
  <si>
    <t>3月26日已送货，东莞丢失</t>
  </si>
  <si>
    <t>12*200+78</t>
  </si>
  <si>
    <t>POHK-26-09563</t>
  </si>
  <si>
    <t>7000995910</t>
  </si>
  <si>
    <t>CVS-Halloween</t>
  </si>
  <si>
    <t>POHK-26-02298</t>
  </si>
  <si>
    <t>XSDD000162</t>
  </si>
  <si>
    <t>POHK-26-02214</t>
  </si>
  <si>
    <t>XSDD000177</t>
  </si>
  <si>
    <t>POHK-26-02222</t>
  </si>
  <si>
    <t>XSDD000176</t>
  </si>
  <si>
    <t>0337607</t>
  </si>
  <si>
    <t>POHK-26-02223</t>
  </si>
  <si>
    <t>XSDD000175</t>
  </si>
  <si>
    <t>0560525</t>
  </si>
  <si>
    <t>POHK-26-02242</t>
  </si>
  <si>
    <t>XSDD000174</t>
  </si>
  <si>
    <t>POHK-26-02250</t>
  </si>
  <si>
    <t>XSDD000173</t>
  </si>
  <si>
    <t>POHK-26-02251</t>
  </si>
  <si>
    <t>XSDD000172</t>
  </si>
  <si>
    <t>POHK-26-02258</t>
  </si>
  <si>
    <t>XSDD000171</t>
  </si>
  <si>
    <t>POHK-26-02266</t>
  </si>
  <si>
    <t>XSDD000170</t>
  </si>
  <si>
    <t>POHK-26-02269</t>
  </si>
  <si>
    <t>XSDD000169</t>
  </si>
  <si>
    <t>POHK-26-02278</t>
  </si>
  <si>
    <t>XSDD000167</t>
  </si>
  <si>
    <t>POHK-26-02284</t>
  </si>
  <si>
    <t>XSDD000166</t>
  </si>
  <si>
    <t>POHK-26-02285</t>
  </si>
  <si>
    <t>XSDD000165</t>
  </si>
  <si>
    <t>POHK-26-02295</t>
  </si>
  <si>
    <t>XSDD000164</t>
  </si>
  <si>
    <t>POHK-26-02297</t>
  </si>
  <si>
    <t>XSDD000163</t>
  </si>
  <si>
    <t>B&amp;M France</t>
  </si>
  <si>
    <t>POHK-26-02299</t>
  </si>
  <si>
    <t>XSDD000138</t>
  </si>
  <si>
    <t>2026006174</t>
  </si>
  <si>
    <t>车型：18.5米箱车
车牌：川SF6005
挂号：川S7459挂
司机：向春安
电话：15023986057</t>
  </si>
  <si>
    <t>9*200+80*11</t>
  </si>
  <si>
    <t>POHK-26-04184</t>
  </si>
  <si>
    <t>XSDD000309</t>
  </si>
  <si>
    <t>必走18号上柜</t>
  </si>
  <si>
    <t>XSDD000266</t>
  </si>
  <si>
    <t>XSDD000296</t>
  </si>
  <si>
    <t>1002172/46008</t>
  </si>
  <si>
    <t>FO00000037/FO00000039/XSDD000432</t>
  </si>
  <si>
    <t>1002172/46013</t>
  </si>
  <si>
    <t>1002172/45980</t>
  </si>
  <si>
    <t>XSDD000297</t>
  </si>
  <si>
    <t>Toyrrific Ltd.</t>
  </si>
  <si>
    <t>POHK-25-22116</t>
  </si>
  <si>
    <t>XSDD000124</t>
  </si>
  <si>
    <t>彩盒</t>
  </si>
  <si>
    <t>胶袋</t>
  </si>
  <si>
    <t>注塑模具桶身</t>
  </si>
  <si>
    <t>1002172/46007</t>
  </si>
  <si>
    <t>车牌：川SB5181
拖挂： 鲁H  E3D0挂
车型：17.5米
姓名：向春刚
电话: 13558535111</t>
  </si>
  <si>
    <t>1002172/46006</t>
  </si>
  <si>
    <t>1002172/46005</t>
  </si>
  <si>
    <t>1002172/45968</t>
  </si>
  <si>
    <t>1002172/45967</t>
  </si>
  <si>
    <t>1002172/45977</t>
  </si>
  <si>
    <t>POHK-26-04351-006</t>
  </si>
  <si>
    <t>46857</t>
  </si>
  <si>
    <t>200*51+140</t>
  </si>
  <si>
    <t>POHK-26-06248-004</t>
  </si>
  <si>
    <t>POHK-26-04349-006</t>
  </si>
  <si>
    <t>POHK-26-04359-006</t>
  </si>
  <si>
    <t>POHK-26-04360-006</t>
  </si>
  <si>
    <t>POHK-26-04358-006</t>
  </si>
  <si>
    <t>POHK-26-06065-009</t>
  </si>
  <si>
    <t>PO013933</t>
  </si>
  <si>
    <t>POHK-26-09397-006</t>
  </si>
  <si>
    <t>POHK-26-04356-006</t>
  </si>
  <si>
    <t>POHK-26-04357-006</t>
  </si>
  <si>
    <t>POHK-26-04361</t>
  </si>
  <si>
    <t>XSDD000288</t>
  </si>
  <si>
    <t>0984878332</t>
  </si>
  <si>
    <t>POHK-26-04362</t>
  </si>
  <si>
    <t>XSDD000289</t>
  </si>
  <si>
    <t>0984878334</t>
  </si>
  <si>
    <t>POHK-26-04363</t>
  </si>
  <si>
    <t>XSDD000290</t>
  </si>
  <si>
    <t>0984878589</t>
  </si>
  <si>
    <t>POHK-26-04364</t>
  </si>
  <si>
    <t>XSDD000291</t>
  </si>
  <si>
    <t>0984878611</t>
  </si>
  <si>
    <t>103*80+50</t>
  </si>
  <si>
    <t>POHK-26-02449-004</t>
  </si>
  <si>
    <t>POHK-26-02450-004</t>
  </si>
  <si>
    <t>POHK-26-02451-004</t>
  </si>
  <si>
    <t>POHK-26-02452-004</t>
  </si>
  <si>
    <t>POHK-26-02445-004</t>
  </si>
  <si>
    <t>POHK-26-02446-004</t>
  </si>
  <si>
    <t>POHK-26-02447-007</t>
  </si>
  <si>
    <t>1002172/45976</t>
  </si>
  <si>
    <t>1002172/45969</t>
  </si>
  <si>
    <t>1002172/46010</t>
  </si>
  <si>
    <t>1002172/46012</t>
  </si>
  <si>
    <t>1002172/46011</t>
  </si>
  <si>
    <t>1002172/46125</t>
  </si>
  <si>
    <t>FO00000072/XSDD000432</t>
  </si>
  <si>
    <t>46897</t>
  </si>
  <si>
    <t>200*7+56</t>
  </si>
  <si>
    <t>安能物流</t>
  </si>
  <si>
    <t>1002172/46126</t>
  </si>
  <si>
    <t>FO00000073</t>
  </si>
  <si>
    <t>287424PT</t>
  </si>
  <si>
    <t xml:space="preserve">Hobby Lobby </t>
  </si>
  <si>
    <t>POHK-26-05252</t>
  </si>
  <si>
    <t>XSDD000294</t>
  </si>
  <si>
    <t>W0764062</t>
  </si>
  <si>
    <t>POHK-26-08147</t>
  </si>
  <si>
    <t>XSDD000323</t>
  </si>
  <si>
    <t>W0767576</t>
  </si>
  <si>
    <t>车牌 川SC3833
挂车川s4236挂
驾驶员：苏桃
电话：18881887669</t>
  </si>
  <si>
    <t>JPUK</t>
  </si>
  <si>
    <t>POHK-26-03272</t>
  </si>
  <si>
    <t>XSDD000203</t>
  </si>
  <si>
    <t>00098-R0-UK</t>
  </si>
  <si>
    <t>Wabro</t>
  </si>
  <si>
    <t>POHK-26-05988</t>
  </si>
  <si>
    <t>XSDD000356</t>
  </si>
  <si>
    <t>740</t>
  </si>
  <si>
    <t>WHITEHOUSE LEISURE</t>
  </si>
  <si>
    <t>POHK-26-01777</t>
  </si>
  <si>
    <t>XSDD000179</t>
  </si>
  <si>
    <t>PORD119125</t>
  </si>
  <si>
    <t>Red Planet Group</t>
  </si>
  <si>
    <t>POHK-26-08549</t>
  </si>
  <si>
    <t>XSDD000330</t>
  </si>
  <si>
    <t>PO005080</t>
  </si>
  <si>
    <t>B&amp;M UK</t>
  </si>
  <si>
    <t>POHK-26-02474</t>
  </si>
  <si>
    <t>XSDD000481</t>
  </si>
  <si>
    <t>02467710/1</t>
  </si>
  <si>
    <t>Kohls
（送丹尼）</t>
  </si>
  <si>
    <t>POHK-26-08521</t>
  </si>
  <si>
    <t>XSDD000333</t>
  </si>
  <si>
    <t>16300344</t>
  </si>
  <si>
    <t>#33615
戴帽猫</t>
  </si>
  <si>
    <t>POHK-26-04712</t>
  </si>
  <si>
    <t>XSDD000208</t>
  </si>
  <si>
    <t xml:space="preserve"> 0986503972</t>
  </si>
  <si>
    <t>POHK-26-04713</t>
  </si>
  <si>
    <t>XSDD000207</t>
  </si>
  <si>
    <t xml:space="preserve"> 0986503975</t>
  </si>
  <si>
    <t>POHK-26-04714</t>
  </si>
  <si>
    <t>XSDD000206</t>
  </si>
  <si>
    <t xml:space="preserve"> 0986503976</t>
  </si>
  <si>
    <t>POHK-26-04715</t>
  </si>
  <si>
    <t>XSDD000205</t>
  </si>
  <si>
    <t xml:space="preserve"> 0986503977</t>
  </si>
  <si>
    <t>POHK-26-04716</t>
  </si>
  <si>
    <t>XSDD000204</t>
  </si>
  <si>
    <t>0986503978</t>
  </si>
  <si>
    <t>JP EU</t>
  </si>
  <si>
    <t>POHK-26-05328</t>
  </si>
  <si>
    <t>XSDD000390</t>
  </si>
  <si>
    <t>00175-R0-SPA</t>
  </si>
  <si>
    <t>33415（18）</t>
  </si>
  <si>
    <t>POHK-26-02922</t>
  </si>
  <si>
    <t>XSDD000245</t>
  </si>
  <si>
    <t>XSDD000354</t>
  </si>
  <si>
    <t>XSDD000298</t>
  </si>
  <si>
    <t>POHK-26-02913</t>
  </si>
  <si>
    <t>XSDD000131</t>
  </si>
  <si>
    <t>Fotorama</t>
  </si>
  <si>
    <t>1002273/46629</t>
  </si>
  <si>
    <t>FO00000089/XSDD000491</t>
  </si>
  <si>
    <t>POHK-26-02902</t>
  </si>
  <si>
    <t>XSDD000252</t>
  </si>
  <si>
    <t>锡渣</t>
  </si>
  <si>
    <t>POHK-26-02865</t>
  </si>
  <si>
    <t>XSDD000259</t>
  </si>
  <si>
    <t>Woolworths Group</t>
  </si>
  <si>
    <t>POHK-26-09464</t>
  </si>
  <si>
    <t>XSDD000367</t>
  </si>
  <si>
    <t>POHK-26-09468</t>
  </si>
  <si>
    <t>XSDD000366</t>
  </si>
  <si>
    <t>POHK-26-09473</t>
  </si>
  <si>
    <t>XSDD000365</t>
  </si>
  <si>
    <t>POHK-26-09477</t>
  </si>
  <si>
    <t>XSDD000364</t>
  </si>
  <si>
    <t>POHK-26-08916</t>
  </si>
  <si>
    <t>XSDD000334</t>
  </si>
  <si>
    <t>4600077064</t>
  </si>
  <si>
    <t>POHK-26-02275</t>
  </si>
  <si>
    <t>XSDD000168</t>
  </si>
  <si>
    <t>JPEU</t>
  </si>
  <si>
    <t>POHK-26-04501</t>
  </si>
  <si>
    <t>XSDD000433</t>
  </si>
  <si>
    <t>80*18+48</t>
  </si>
  <si>
    <t>POHK-26-06617</t>
  </si>
  <si>
    <t>XSDD000397</t>
  </si>
  <si>
    <t>史迪仔</t>
  </si>
  <si>
    <t>200*2+80*11</t>
  </si>
  <si>
    <t>搪小鸭外星史迪仔</t>
  </si>
  <si>
    <t>200*2+100</t>
  </si>
  <si>
    <t>POHK-26-10853</t>
  </si>
  <si>
    <t>XSDD000514</t>
  </si>
  <si>
    <t>W-9684414</t>
  </si>
  <si>
    <t>33596黑武士</t>
  </si>
  <si>
    <t>33463莱亚公主</t>
  </si>
  <si>
    <t>POHK-26-10852</t>
  </si>
  <si>
    <t>XSDD000513</t>
  </si>
  <si>
    <t>W-9684318</t>
  </si>
  <si>
    <t>Wabro Argentia</t>
  </si>
  <si>
    <t>POHK-26-05234</t>
  </si>
  <si>
    <t>XSDD000268</t>
  </si>
  <si>
    <t>0988401350</t>
  </si>
  <si>
    <t>POHK-26-05235</t>
  </si>
  <si>
    <t>XSDD000269</t>
  </si>
  <si>
    <t>0988401344</t>
  </si>
  <si>
    <t>POHK-26-05236</t>
  </si>
  <si>
    <t>XSDD000270</t>
  </si>
  <si>
    <t>0988401358</t>
  </si>
  <si>
    <t>POHK-26-05237</t>
  </si>
  <si>
    <t>XSDD000271</t>
  </si>
  <si>
    <t>0988401354</t>
  </si>
  <si>
    <t>POHK-26-05238</t>
  </si>
  <si>
    <t>XSDD000272</t>
  </si>
  <si>
    <t>0988401341</t>
  </si>
  <si>
    <t>POHK-26-05239</t>
  </si>
  <si>
    <t>XSDD000273</t>
  </si>
  <si>
    <t>0988401353</t>
  </si>
  <si>
    <t>POHK-26-05240</t>
  </si>
  <si>
    <t>XSDD000274</t>
  </si>
  <si>
    <t>0988401352</t>
  </si>
  <si>
    <t>POHK-26-02815</t>
  </si>
  <si>
    <t>XSDD000140</t>
  </si>
  <si>
    <t>L-9666976</t>
  </si>
  <si>
    <t>33484黑魔后</t>
  </si>
  <si>
    <t>POHK-26-02582</t>
  </si>
  <si>
    <t>XSDD000201</t>
  </si>
  <si>
    <t>POHK-26-03482</t>
  </si>
  <si>
    <t>XSDD000254</t>
  </si>
  <si>
    <t>02460228/1</t>
  </si>
  <si>
    <t>POHK-26-03484</t>
  </si>
  <si>
    <t>02460286/1</t>
  </si>
  <si>
    <t>POHK-26-10052</t>
  </si>
  <si>
    <t>XSDD000470</t>
  </si>
  <si>
    <t>L-9684413</t>
  </si>
  <si>
    <t>POHK-26-09083</t>
  </si>
  <si>
    <t>XSDD000335</t>
  </si>
  <si>
    <t>001-R0-AMZCA</t>
  </si>
  <si>
    <t>The Warehouse</t>
  </si>
  <si>
    <t>POHK-26-01987</t>
  </si>
  <si>
    <t>XSDD000154</t>
  </si>
  <si>
    <t>29556931</t>
  </si>
  <si>
    <t>POHK-26-04355</t>
  </si>
  <si>
    <t>XSDD000280</t>
  </si>
  <si>
    <t>70*66+30</t>
  </si>
  <si>
    <t>POHK-26-04353</t>
  </si>
  <si>
    <t>XSDD000278</t>
  </si>
  <si>
    <t>POHK-26-04354</t>
  </si>
  <si>
    <t>XSDD000279</t>
  </si>
  <si>
    <t>POHK-26-05228</t>
  </si>
  <si>
    <t>XSDD000556</t>
  </si>
  <si>
    <t>PO013819</t>
  </si>
  <si>
    <t>POHK-26-09115</t>
  </si>
  <si>
    <t>XSDD000557</t>
  </si>
  <si>
    <t>PO014156</t>
  </si>
  <si>
    <t>POHK-26-08084</t>
  </si>
  <si>
    <t>XSDD000411</t>
  </si>
  <si>
    <t>80*36+20</t>
  </si>
  <si>
    <t>46913-1</t>
  </si>
  <si>
    <t>46913-2</t>
  </si>
  <si>
    <t>200+640+60</t>
  </si>
  <si>
    <t>POHK-26-06248</t>
  </si>
  <si>
    <t>XSDD000325</t>
  </si>
  <si>
    <t>80*90+200+320+153</t>
  </si>
  <si>
    <t>POHK-26-06249</t>
  </si>
  <si>
    <t>XSDD000536</t>
  </si>
  <si>
    <t>POHK-26-09963</t>
  </si>
  <si>
    <t>XSDD000510</t>
  </si>
  <si>
    <t>POHK-26-05034</t>
  </si>
  <si>
    <t>XSDD000399</t>
  </si>
  <si>
    <t>POHK-26-05036</t>
  </si>
  <si>
    <t>XSDD000551</t>
  </si>
  <si>
    <t>POHK-26-05037</t>
  </si>
  <si>
    <t>XSDD000552</t>
  </si>
  <si>
    <t>TJX (POE)</t>
  </si>
  <si>
    <t>POHK-26-11743</t>
  </si>
  <si>
    <t>XSDD000517</t>
  </si>
  <si>
    <t>137054</t>
  </si>
  <si>
    <t>POHK-26-11786</t>
  </si>
  <si>
    <t>XSDD000516</t>
  </si>
  <si>
    <t>137058</t>
  </si>
  <si>
    <t>Auchan
France</t>
  </si>
  <si>
    <t>POHK-26-06752</t>
  </si>
  <si>
    <t>XSDD000420</t>
  </si>
  <si>
    <t>POHK-26-06753</t>
  </si>
  <si>
    <t>XSDD000421</t>
  </si>
  <si>
    <t>POHK-26-06844</t>
  </si>
  <si>
    <t>XSDD000422</t>
  </si>
  <si>
    <t xml:space="preserve">WD Parks &amp; Reosrt </t>
  </si>
  <si>
    <t>POHK-26-10931</t>
  </si>
  <si>
    <t>XSDD000512</t>
  </si>
  <si>
    <t>7001315192</t>
  </si>
  <si>
    <t>POHK-26-10936</t>
  </si>
  <si>
    <t>XSDD000507</t>
  </si>
  <si>
    <t>7001342857</t>
  </si>
  <si>
    <t>POHK-26-10930</t>
  </si>
  <si>
    <t>XSDD000558</t>
  </si>
  <si>
    <t>7001335427</t>
  </si>
  <si>
    <t>POHK-26-02482</t>
  </si>
  <si>
    <t>XSDD000443</t>
  </si>
  <si>
    <t>02467771/1</t>
  </si>
  <si>
    <t>POHK-26-09036</t>
  </si>
  <si>
    <t>XSDD000377</t>
  </si>
  <si>
    <t>00174-R0-IT</t>
  </si>
  <si>
    <t>POHK-26-09996</t>
  </si>
  <si>
    <t>XSDD000444</t>
  </si>
  <si>
    <t>00202-R0-POL</t>
  </si>
  <si>
    <t>PRG - Italy</t>
  </si>
  <si>
    <t>POHK-26-05172</t>
  </si>
  <si>
    <t>XSDD000308</t>
  </si>
  <si>
    <t>2003197412</t>
  </si>
  <si>
    <t>33487（96）</t>
  </si>
  <si>
    <t>POHK-26-05175</t>
  </si>
  <si>
    <t>XSDD000307</t>
  </si>
  <si>
    <t>2000009957</t>
  </si>
  <si>
    <t>PRG France</t>
  </si>
  <si>
    <t>1598562</t>
  </si>
  <si>
    <t>POHK-26-05187</t>
  </si>
  <si>
    <t>XSDD000435</t>
  </si>
  <si>
    <t>02467220/1</t>
  </si>
  <si>
    <t>DOMESTIC</t>
  </si>
  <si>
    <t xml:space="preserve">车牌：川S80435
挂号：川S4486
电话：18080698059
</t>
  </si>
  <si>
    <t>XSDD000401</t>
  </si>
  <si>
    <t>XSDD000468</t>
  </si>
  <si>
    <t>XSDD000339</t>
  </si>
  <si>
    <t>XSDD000466</t>
  </si>
  <si>
    <t>XSDD000340</t>
  </si>
  <si>
    <t>XSDD000299</t>
  </si>
  <si>
    <t>1002233/45899</t>
  </si>
  <si>
    <t>XSDD000586</t>
  </si>
  <si>
    <t>车型：17.5米箱车（160方）
车牌：川S81342
挂号：川S7947挂
司机：蒋朝映
电话：15908482413
司机：邹小芳
电话：15708488728</t>
  </si>
  <si>
    <t>1002292/46301</t>
  </si>
  <si>
    <t>XSDD000508</t>
  </si>
  <si>
    <t>1002292/46300</t>
  </si>
  <si>
    <t>1002292/46298</t>
  </si>
  <si>
    <t>1002292/46299</t>
  </si>
  <si>
    <t>XSDD000469</t>
  </si>
  <si>
    <t>Tomy Au</t>
  </si>
  <si>
    <t>1002268/46263</t>
  </si>
  <si>
    <t>XSDD000360</t>
  </si>
  <si>
    <t>车牌:川S89465
渠县-常平
挂车：鲁REA08挂
车型：18.5厢车（180）
司机：冯德雄
电话：17365553111</t>
  </si>
  <si>
    <t>1002263/46460</t>
  </si>
  <si>
    <t>XSDD000448</t>
  </si>
  <si>
    <t>Kohls-ECOM</t>
  </si>
  <si>
    <t>1002263/46461</t>
  </si>
  <si>
    <t>XSDD000449</t>
  </si>
  <si>
    <t>1002262/46302</t>
  </si>
  <si>
    <t>XSDD000488</t>
  </si>
  <si>
    <t>1002262/46303</t>
  </si>
  <si>
    <t>1002262/46304</t>
  </si>
  <si>
    <t>1002262/46305</t>
  </si>
  <si>
    <t>1002262/46306</t>
  </si>
  <si>
    <t>1002262/46307</t>
  </si>
  <si>
    <t>1002262/46308</t>
  </si>
  <si>
    <t>1002262/46309</t>
  </si>
  <si>
    <t>1002262/46310</t>
  </si>
  <si>
    <t>1002329/46626</t>
  </si>
  <si>
    <t>XSDD000520</t>
  </si>
  <si>
    <t>1002292/46297</t>
  </si>
  <si>
    <t>1002292/46296</t>
  </si>
  <si>
    <t>1002292/46295</t>
  </si>
  <si>
    <t>1002292/46294</t>
  </si>
  <si>
    <t>POHK-26-09340</t>
  </si>
  <si>
    <t>XSDD000357</t>
  </si>
  <si>
    <t>Target Au</t>
  </si>
  <si>
    <t>POHK-26-02866</t>
  </si>
  <si>
    <t>XSDD000258</t>
  </si>
  <si>
    <t>POHK-26-08573</t>
  </si>
  <si>
    <t>XSDD000381</t>
  </si>
  <si>
    <t>POHK-26-08574</t>
  </si>
  <si>
    <t>XSDD000382</t>
  </si>
  <si>
    <t>POHK-26-08575</t>
  </si>
  <si>
    <t>XSDD000383</t>
  </si>
  <si>
    <t xml:space="preserve">Disney </t>
  </si>
  <si>
    <t>POHK-26-06974</t>
  </si>
  <si>
    <t>XSDD000479</t>
  </si>
  <si>
    <t>W-9684410</t>
  </si>
  <si>
    <t>POHK-26-10854</t>
  </si>
  <si>
    <t>XSDD000515</t>
  </si>
  <si>
    <t>W-9684320</t>
  </si>
  <si>
    <t>POHK-26-02904</t>
  </si>
  <si>
    <t>POHK-26-04365</t>
  </si>
  <si>
    <t>XSDD000413</t>
  </si>
  <si>
    <t>0984878265</t>
  </si>
  <si>
    <t>POHK-26-04366</t>
  </si>
  <si>
    <t>XSDD000415</t>
  </si>
  <si>
    <t>0984878294</t>
  </si>
  <si>
    <t>POHK-26-04367</t>
  </si>
  <si>
    <t>XSDD000416</t>
  </si>
  <si>
    <t>0984878305</t>
  </si>
  <si>
    <t>POHK-26-04368</t>
  </si>
  <si>
    <t>XSDD000417</t>
  </si>
  <si>
    <t>0984878318</t>
  </si>
  <si>
    <t>POHK-26-04369</t>
  </si>
  <si>
    <t>XSDD000418</t>
  </si>
  <si>
    <t>0984878320</t>
  </si>
  <si>
    <t>POHK-26-04370</t>
  </si>
  <si>
    <t>XSDD000419</t>
  </si>
  <si>
    <t>0984878337</t>
  </si>
  <si>
    <t>POHK-26-04371</t>
  </si>
  <si>
    <t>XSDD000414</t>
  </si>
  <si>
    <t>0984878355</t>
  </si>
  <si>
    <t>POHK-26-05024</t>
  </si>
  <si>
    <t>XSDD000559</t>
  </si>
  <si>
    <t>7000994511</t>
  </si>
  <si>
    <t>POHK-26-11897</t>
  </si>
  <si>
    <t>XSDD000543</t>
  </si>
  <si>
    <t>POHK-26-05026</t>
  </si>
  <si>
    <t>XSDD000560</t>
  </si>
  <si>
    <t>7000994512</t>
  </si>
  <si>
    <t>车牌：川S80435
挂号：川S9847挂
司机：李世松
电话：15182877435</t>
  </si>
  <si>
    <t>1002233/45901</t>
  </si>
  <si>
    <t>车牌：川SB8852
挂号：川S4236挂
司机:杨吉凡
手机:18608182881</t>
  </si>
  <si>
    <t>XSDD000467</t>
  </si>
  <si>
    <t>XSDD000511</t>
  </si>
  <si>
    <t>XSDD000446</t>
  </si>
  <si>
    <t>车型：17.5箱车
车牌：川SB5181
拖挂： 鲁H  E3D0挂
车型：17.5米
姓名：向春刚
电话: 13558535111</t>
  </si>
  <si>
    <t>POHK-26-02914</t>
  </si>
  <si>
    <t>XSDD000130</t>
  </si>
  <si>
    <t>POHK-26-01451</t>
  </si>
  <si>
    <t>XSDD000137</t>
  </si>
  <si>
    <t>POHK-26-02923</t>
  </si>
  <si>
    <t>XSDD000244</t>
  </si>
  <si>
    <t>车型：17.5米箱车/160方
车牌：川S80435
挂号：川S9847挂
司机：李世松
电话：15182877435</t>
  </si>
  <si>
    <t>1002329/46628</t>
  </si>
  <si>
    <t>1002329/46627</t>
  </si>
  <si>
    <t>1002329/46630</t>
  </si>
  <si>
    <t>1002329/46631</t>
  </si>
  <si>
    <t>1002329/46633</t>
  </si>
  <si>
    <t>1002329/46634</t>
  </si>
  <si>
    <t>JP Mexico</t>
  </si>
  <si>
    <t>POHK-26-08489</t>
  </si>
  <si>
    <t>XSDD000487</t>
  </si>
  <si>
    <t>00019-RO-MXN</t>
  </si>
  <si>
    <t>POHK-26-08490</t>
  </si>
  <si>
    <t>XSDD000486</t>
  </si>
  <si>
    <t>00020-RO-MXN</t>
  </si>
  <si>
    <t>POHK-26-05333</t>
  </si>
  <si>
    <t>XSDD000389</t>
  </si>
  <si>
    <t>00180-R0-SPA</t>
  </si>
  <si>
    <t>33782（48）</t>
  </si>
  <si>
    <t>POHK-26-09497</t>
  </si>
  <si>
    <t>车号：川S80152
挂号：川S8849挂
司机：柳小龙
电话：19983746475</t>
  </si>
  <si>
    <t xml:space="preserve"> BJ’s</t>
  </si>
  <si>
    <t>POHK-26-06013</t>
  </si>
  <si>
    <t>XSDD000441</t>
  </si>
  <si>
    <t>POHK-26-05997</t>
  </si>
  <si>
    <t>XSDD000437</t>
  </si>
  <si>
    <t>POHK-26-08323</t>
  </si>
  <si>
    <t>XSDD000506</t>
  </si>
  <si>
    <t>车牌：川SB5181
姓名：向春刚
电话: 13558535111</t>
  </si>
  <si>
    <t>POHK-26-09487</t>
  </si>
  <si>
    <t>XSDD000375</t>
  </si>
  <si>
    <t>POHK-26-09493</t>
  </si>
  <si>
    <t>XSDD000374</t>
  </si>
  <si>
    <t>POHK-26-09496</t>
  </si>
  <si>
    <t>XSDD000373</t>
  </si>
  <si>
    <t>POHK-26-09500</t>
  </si>
  <si>
    <t>XSDD000372</t>
  </si>
  <si>
    <t>POHK-26-06018</t>
  </si>
  <si>
    <t>XSDD000440</t>
  </si>
  <si>
    <t>Comsed Plc.</t>
  </si>
  <si>
    <t>POHK-26-04331</t>
  </si>
  <si>
    <t>XSDD000263</t>
  </si>
  <si>
    <t xml:space="preserve">GRUPPO GIODICART </t>
  </si>
  <si>
    <t>POHK-26-05382</t>
  </si>
  <si>
    <t>XSDD000327</t>
  </si>
  <si>
    <t>GRUPPO_MARCH</t>
  </si>
  <si>
    <t>Spectron
Netherland</t>
  </si>
  <si>
    <t>POHK-26-10938</t>
  </si>
  <si>
    <t>XSDD000576</t>
  </si>
  <si>
    <t xml:space="preserve"> 6895-R0-CVS</t>
  </si>
  <si>
    <t>33465（48）</t>
  </si>
  <si>
    <t>A1</t>
  </si>
  <si>
    <t>车牌:川SF9856
挂车：川S7549挂
车型：18.5x3x3厢车
5轴160方
司机：陈金桥
电话：13629061008
身份证：513030197403052810</t>
  </si>
  <si>
    <t>POHK-26-08578</t>
  </si>
  <si>
    <t>XSDD000378</t>
  </si>
  <si>
    <t>0993550641</t>
  </si>
  <si>
    <t>：川SF6005
挂号：川S7459挂
司机：向春安
电话：15023986057</t>
  </si>
  <si>
    <t>POHK-26-08577</t>
  </si>
  <si>
    <t>XSDD000384</t>
  </si>
  <si>
    <t>0993550646</t>
  </si>
  <si>
    <t>1002233/45896</t>
  </si>
  <si>
    <t>10001796538-3891</t>
  </si>
  <si>
    <t>车牌：川S C7032
拖挂： 川S9801挂
车型：17.5米
姓名：杜平
电话: 18784838138</t>
  </si>
  <si>
    <t>1002233/45895</t>
  </si>
  <si>
    <t>10001796537-3890</t>
  </si>
  <si>
    <t>POHK-26-08580</t>
  </si>
  <si>
    <t>0993550645</t>
  </si>
  <si>
    <t>POHK-26-08581</t>
  </si>
  <si>
    <t>0993550642</t>
  </si>
  <si>
    <t>车牌：川SB5181
挂号：川S4639挂
司机：陈绪锋
电话：13778361082
司机：李代洪
电话：15983893689</t>
  </si>
  <si>
    <t>POHK-25-08580</t>
  </si>
  <si>
    <t>XSDD000379</t>
  </si>
  <si>
    <t>XSDD000380</t>
  </si>
  <si>
    <t>B&amp;M</t>
  </si>
  <si>
    <t>POHK-26-05188</t>
  </si>
  <si>
    <t>XSDD000434</t>
  </si>
  <si>
    <t>02467221/1</t>
  </si>
  <si>
    <t>POHK-26-12687</t>
  </si>
  <si>
    <t>XSDD000583</t>
  </si>
  <si>
    <t>POHK-26-12682</t>
  </si>
  <si>
    <t>XSDD000582</t>
  </si>
  <si>
    <t>137073</t>
  </si>
  <si>
    <t>POHK-26-13261</t>
  </si>
  <si>
    <t>XSDD000646</t>
  </si>
  <si>
    <t>2627798</t>
  </si>
  <si>
    <t>POHK-26-04372</t>
  </si>
  <si>
    <t>XSDD000424</t>
  </si>
  <si>
    <t>0984878296</t>
  </si>
  <si>
    <t>POHK-26-04373</t>
  </si>
  <si>
    <t>XSDD000425</t>
  </si>
  <si>
    <t>0984878299</t>
  </si>
  <si>
    <t>POHK-26-04374</t>
  </si>
  <si>
    <t>XSDD000426</t>
  </si>
  <si>
    <t>0984878316</t>
  </si>
  <si>
    <t>POHK-26-04375</t>
  </si>
  <si>
    <t>XSDD000427</t>
  </si>
  <si>
    <t>0984878317</t>
  </si>
  <si>
    <t>POHK-26-04376</t>
  </si>
  <si>
    <t>XSDD000428</t>
  </si>
  <si>
    <t>0984878347</t>
  </si>
  <si>
    <t>POHK-26-04377</t>
  </si>
  <si>
    <t>XSDD000429</t>
  </si>
  <si>
    <t>0984878396</t>
  </si>
  <si>
    <t>POHK-26-04378</t>
  </si>
  <si>
    <t>XSDD000430</t>
  </si>
  <si>
    <t>0984878494</t>
  </si>
  <si>
    <t>POHK-26-11112</t>
  </si>
  <si>
    <t>XSDD000521</t>
  </si>
  <si>
    <t>1000147403</t>
  </si>
  <si>
    <t>POHK-26-02229</t>
  </si>
  <si>
    <t>XSDD000668</t>
  </si>
  <si>
    <t>POHK-26-10001</t>
  </si>
  <si>
    <t>XSDD000672</t>
  </si>
  <si>
    <t>69XX-R0-GABES</t>
  </si>
  <si>
    <t>POHK-26-13167</t>
  </si>
  <si>
    <t>XSDD000591</t>
  </si>
  <si>
    <t>93036201</t>
  </si>
  <si>
    <t>POHK-26-13188</t>
  </si>
  <si>
    <t>XSDD000592</t>
  </si>
  <si>
    <t>93036202</t>
  </si>
  <si>
    <t>POHK-26-13407</t>
  </si>
  <si>
    <t>XSDD000595</t>
  </si>
  <si>
    <t>219475958</t>
  </si>
  <si>
    <t>POHK-26-13406</t>
  </si>
  <si>
    <t>XSDD000594</t>
  </si>
  <si>
    <t>219475980</t>
  </si>
  <si>
    <t>POHK-26-08242</t>
  </si>
  <si>
    <t>XSDD000321</t>
  </si>
  <si>
    <t>16302002</t>
  </si>
  <si>
    <t>POHK-26-08243</t>
  </si>
  <si>
    <t>XSDD000320</t>
  </si>
  <si>
    <t>16303838</t>
  </si>
  <si>
    <t>117405873</t>
  </si>
  <si>
    <t>POHK-26-11119</t>
  </si>
  <si>
    <t>XSDD000528</t>
  </si>
  <si>
    <t>1000147392</t>
  </si>
  <si>
    <t>POHK-26-04082</t>
  </si>
  <si>
    <t>米奇老鼠系列</t>
  </si>
  <si>
    <t>客人自提四川装车</t>
  </si>
  <si>
    <t>米妮系列</t>
  </si>
  <si>
    <t>POHK-26-03782</t>
  </si>
  <si>
    <t xml:space="preserve"> 投影米奇</t>
  </si>
  <si>
    <t>POHK-26-03287</t>
  </si>
  <si>
    <t>POHK-26-02862</t>
  </si>
  <si>
    <t xml:space="preserve"> 蜘蛛侠系列</t>
  </si>
  <si>
    <t>POHK-26-04073</t>
  </si>
  <si>
    <t>POHK-26-03765</t>
  </si>
  <si>
    <t>POHK-26-04832</t>
  </si>
  <si>
    <t>小熊维尼历险记系列</t>
  </si>
  <si>
    <t>小美人鱼系列</t>
  </si>
  <si>
    <t>POHK-26-03298</t>
  </si>
  <si>
    <t>POHK-26-04092</t>
  </si>
  <si>
    <t>POHK-26-03776</t>
  </si>
  <si>
    <t>玩具总动员系列</t>
  </si>
  <si>
    <t xml:space="preserve">漫威系列 </t>
  </si>
  <si>
    <t>POHK-26-02861</t>
  </si>
  <si>
    <t>POHK-26-07086</t>
  </si>
  <si>
    <t>赛车总动员系列</t>
  </si>
  <si>
    <t>海洋奇缘系列</t>
  </si>
  <si>
    <t>POHK-26-03997</t>
  </si>
  <si>
    <t>POHK-26-03697</t>
  </si>
  <si>
    <t>137069</t>
  </si>
  <si>
    <t>车牌：川SF6005
挂号：川S8451挂
司机：向春安
电话：15023986057
司机：余洪
电话：17922331655</t>
  </si>
  <si>
    <t>TJ Maxx UK</t>
  </si>
  <si>
    <t>POHK-26-09052</t>
  </si>
  <si>
    <t>XSDD000572</t>
  </si>
  <si>
    <t>50 768404</t>
  </si>
  <si>
    <t>POHK-26-09064</t>
  </si>
  <si>
    <t>XSDD000571</t>
  </si>
  <si>
    <t>50 768415</t>
  </si>
  <si>
    <t>POHK-26-09072</t>
  </si>
  <si>
    <t>XSDD000570</t>
  </si>
  <si>
    <t>50 768421</t>
  </si>
  <si>
    <t>POHK-26-09091</t>
  </si>
  <si>
    <t>XSDD000569</t>
  </si>
  <si>
    <t>55 768994</t>
  </si>
  <si>
    <t>POHK-26-09113</t>
  </si>
  <si>
    <t>XSDD000574</t>
  </si>
  <si>
    <t>55 769024</t>
  </si>
  <si>
    <t>POHK-26-09121</t>
  </si>
  <si>
    <t>XSDD000573</t>
  </si>
  <si>
    <t>55 769035</t>
  </si>
  <si>
    <t>Pecos/ Chile</t>
  </si>
  <si>
    <t>POHK-26-09584</t>
  </si>
  <si>
    <t>XSDD000490</t>
  </si>
  <si>
    <t>POHK-26-09574</t>
  </si>
  <si>
    <t>XSDD000407</t>
  </si>
  <si>
    <t>POHK-26-09575</t>
  </si>
  <si>
    <t>XSDD000408</t>
  </si>
  <si>
    <t>Boing/ Panama</t>
  </si>
  <si>
    <t>POHK-26-07322</t>
  </si>
  <si>
    <t>XSDD000563</t>
  </si>
  <si>
    <t>COL-19-26-FALL</t>
  </si>
  <si>
    <t>Pecos/Chile</t>
  </si>
  <si>
    <t>Concentra Portugal</t>
  </si>
  <si>
    <t>POHK-26-09707</t>
  </si>
  <si>
    <t>XSDD000568</t>
  </si>
  <si>
    <t>F202/20260044</t>
  </si>
  <si>
    <t>Farmers (NZ)</t>
  </si>
  <si>
    <t>POHK-26-05282</t>
  </si>
  <si>
    <t>XSDD000386</t>
  </si>
  <si>
    <t>Concentra</t>
  </si>
  <si>
    <t>POHK-26-08474</t>
  </si>
  <si>
    <t>XSDD000396</t>
  </si>
  <si>
    <t>00186-R0-FRA</t>
  </si>
  <si>
    <t>1002233/45898</t>
  </si>
  <si>
    <t>10001796540-3891</t>
  </si>
  <si>
    <t>POHK-26-09569</t>
  </si>
  <si>
    <t>XSDD000402</t>
  </si>
  <si>
    <t>POHK-26-09570</t>
  </si>
  <si>
    <t>XSDD000403</t>
  </si>
  <si>
    <t>POHK-26-09571</t>
  </si>
  <si>
    <t>XSDD000404</t>
  </si>
  <si>
    <t>POHK-26-09572</t>
  </si>
  <si>
    <t>XSDD000405</t>
  </si>
  <si>
    <t>POHK-26-09573</t>
  </si>
  <si>
    <t>XSDD000406</t>
  </si>
  <si>
    <t>电池</t>
  </si>
  <si>
    <t>1002375/46742</t>
  </si>
  <si>
    <t>XSDD000607</t>
  </si>
  <si>
    <t>1002375/47029</t>
  </si>
  <si>
    <t>1002375/47028</t>
  </si>
  <si>
    <t xml:space="preserve">1000159415
</t>
  </si>
  <si>
    <t>1002375/47030</t>
  </si>
  <si>
    <t>SCHK-26-08474</t>
  </si>
  <si>
    <t>Farmers
(NZ)</t>
  </si>
  <si>
    <t>POHK-26-06031</t>
  </si>
  <si>
    <t>XSDD000439</t>
  </si>
  <si>
    <t>117407456</t>
  </si>
  <si>
    <t>POHK-26-02888</t>
  </si>
  <si>
    <t>XSDD000156</t>
  </si>
  <si>
    <t>漫威系列</t>
  </si>
  <si>
    <t>车牌：川SB5181
挂号：川S4639挂
司机：陈绪锋
电话：13778361082
身份证:513029198109146655
司机：李代洪
电话：15983893689</t>
  </si>
  <si>
    <t>XSDD000596</t>
  </si>
  <si>
    <t>兔子家族</t>
  </si>
  <si>
    <t>XSDD000608</t>
  </si>
  <si>
    <t>XSDD000553</t>
  </si>
  <si>
    <t>猫家族</t>
  </si>
  <si>
    <t>1002375/47033</t>
  </si>
  <si>
    <t>盲盒系列</t>
  </si>
  <si>
    <t>树屋</t>
  </si>
  <si>
    <t>车牌：川S80435
挂号：川S4486
司机：秦学川513029199201142731
电话：18080698059</t>
  </si>
  <si>
    <t>POHK-26-09689</t>
  </si>
  <si>
    <t>XSDD000388</t>
  </si>
  <si>
    <t>00181-R0-SPA</t>
  </si>
  <si>
    <t>假日小鸭</t>
  </si>
  <si>
    <t>Bensons-Australia</t>
  </si>
  <si>
    <t>POHK-26-10367</t>
  </si>
  <si>
    <t>XSDD000564</t>
  </si>
  <si>
    <t>B516414</t>
  </si>
  <si>
    <t>鸭子</t>
  </si>
  <si>
    <t>搪胶小鸭子系列</t>
  </si>
  <si>
    <t>POHK-26-09460</t>
  </si>
  <si>
    <t>XSDD000462</t>
  </si>
  <si>
    <t>0995883325</t>
  </si>
  <si>
    <t>骰子</t>
  </si>
  <si>
    <t>POHK-26-09465</t>
  </si>
  <si>
    <t>XSDD000461</t>
  </si>
  <si>
    <t>0995883329</t>
  </si>
  <si>
    <t>POHK-26-09462</t>
  </si>
  <si>
    <t>XSDD000460</t>
  </si>
  <si>
    <t>0995883381</t>
  </si>
  <si>
    <t>POHK-26-09466</t>
  </si>
  <si>
    <t>XSDD000459</t>
  </si>
  <si>
    <t>0995883424</t>
  </si>
  <si>
    <t>POHK-26-09467</t>
  </si>
  <si>
    <t>XSDD000464</t>
  </si>
  <si>
    <t>0995883485</t>
  </si>
  <si>
    <t>1002375/46743</t>
  </si>
  <si>
    <t>1002375/46744</t>
  </si>
  <si>
    <t>1002375/46745</t>
  </si>
  <si>
    <t>1002375/47027</t>
  </si>
  <si>
    <t>1002375/47031</t>
  </si>
  <si>
    <t>1002375/47032</t>
  </si>
  <si>
    <t>XSDD000554</t>
  </si>
  <si>
    <t>校车</t>
  </si>
  <si>
    <t>1002233/45897</t>
  </si>
  <si>
    <t>大型自卸车</t>
  </si>
  <si>
    <t>补数</t>
  </si>
  <si>
    <t>搪夏</t>
  </si>
  <si>
    <t>工程样办</t>
  </si>
  <si>
    <t>12369（1）</t>
  </si>
  <si>
    <t>工程</t>
  </si>
  <si>
    <t>XSDD000575</t>
  </si>
  <si>
    <t>自卸车</t>
  </si>
  <si>
    <t>车牌：川S80435司机:   李世松
手机:   15182877435</t>
  </si>
  <si>
    <t>10001796539-3890</t>
  </si>
  <si>
    <t>振动球</t>
  </si>
  <si>
    <t>POHK-26-03042</t>
  </si>
  <si>
    <t>XSDD000141</t>
  </si>
  <si>
    <t>W-9667419</t>
  </si>
  <si>
    <t>Just Play</t>
  </si>
  <si>
    <t>POHK-26-10891</t>
  </si>
  <si>
    <t>XSDD000445</t>
  </si>
  <si>
    <t>史迪仔系列</t>
  </si>
  <si>
    <t>POHK-26-12309</t>
  </si>
  <si>
    <t>XSDD000541</t>
  </si>
  <si>
    <t xml:space="preserve"> L-9684418</t>
  </si>
  <si>
    <t>33631
美国队长</t>
  </si>
  <si>
    <t>33632
蜘蛛侠</t>
  </si>
  <si>
    <t>33642
钢铁侠</t>
  </si>
  <si>
    <t>车牌：川S80435挂
挂号：川S7549挂
司机:   李世松
手机:   15182877435
司机：何再洪
手机：18096259653</t>
  </si>
  <si>
    <t>XSDD000597</t>
  </si>
  <si>
    <t>狗家族</t>
  </si>
  <si>
    <t>XSDD000605</t>
  </si>
  <si>
    <t>独角兽家族</t>
  </si>
  <si>
    <t>XSDD000598</t>
  </si>
  <si>
    <t>生日趴对</t>
  </si>
  <si>
    <t>XSDD000691</t>
  </si>
  <si>
    <t>Wal-Mart Canada</t>
  </si>
  <si>
    <t>POHK-26-14617</t>
  </si>
  <si>
    <t>XSDD000656</t>
  </si>
  <si>
    <t>常平</t>
  </si>
  <si>
    <t>喇叭</t>
  </si>
  <si>
    <t>五金模具</t>
  </si>
  <si>
    <t>车牌：川S89465
挂号：川S7459挂
司机：王武国
电话：15881844777</t>
  </si>
  <si>
    <t>川A.HE025</t>
  </si>
  <si>
    <t>POHK-26-02893</t>
  </si>
  <si>
    <t>XSDD000134</t>
  </si>
  <si>
    <t>POHK-26-02906</t>
  </si>
  <si>
    <t xml:space="preserve">Wal-Mart </t>
  </si>
  <si>
    <t>POHK-26-10970</t>
  </si>
  <si>
    <t>XSDD000458</t>
  </si>
  <si>
    <t>已收SO，20号上柜</t>
  </si>
  <si>
    <t>车牌：皖LC4496
挂牌：豫NZQ60挂
车型：17.5五柱（180方）
电话：19161064003</t>
  </si>
  <si>
    <t>POHK-26-10971</t>
  </si>
  <si>
    <t>XSDD000457</t>
  </si>
  <si>
    <t>已收SO，必齐数走</t>
  </si>
  <si>
    <t>POHK-26-10975</t>
  </si>
  <si>
    <t>XSDD000454</t>
  </si>
  <si>
    <t>POHK-26-02916</t>
  </si>
  <si>
    <t>XSDD000129</t>
  </si>
  <si>
    <t>POHK-26-02924</t>
  </si>
  <si>
    <t>XSDD000243</t>
  </si>
  <si>
    <t>1002233/45893</t>
  </si>
  <si>
    <t>POHK-26-02868</t>
  </si>
  <si>
    <t>XSDD000255</t>
  </si>
  <si>
    <t>车牌：川AEG775
挂号：川ACL76挂
司机：黄维
电话：17783351565</t>
  </si>
  <si>
    <t>POHK-26-10924</t>
  </si>
  <si>
    <t>XSDD000578</t>
  </si>
  <si>
    <t>6873230</t>
  </si>
  <si>
    <t>POHK-26-12031</t>
  </si>
  <si>
    <t>XSDD000509</t>
  </si>
  <si>
    <t>00106-R0-UK</t>
  </si>
  <si>
    <t>33465（12）</t>
  </si>
  <si>
    <t>POHK-26-12310</t>
  </si>
  <si>
    <t>XSDD000540</t>
  </si>
  <si>
    <t>W-9684319</t>
  </si>
  <si>
    <t>PRENATAL</t>
  </si>
  <si>
    <t>POHK-26-09373</t>
  </si>
  <si>
    <t>XSDD000431</t>
  </si>
  <si>
    <t>Wal-Mart</t>
  </si>
  <si>
    <t>POHK-26-11513</t>
  </si>
  <si>
    <t>XSDD000635</t>
  </si>
  <si>
    <t>POHK-26-10294</t>
  </si>
  <si>
    <t>XSDD000684</t>
  </si>
  <si>
    <t>POHK-26-10297</t>
  </si>
  <si>
    <t>XSDD000683</t>
  </si>
  <si>
    <t xml:space="preserve">B&amp;M </t>
  </si>
  <si>
    <t>POHK-26-05189</t>
  </si>
  <si>
    <t>XSDD000436</t>
  </si>
  <si>
    <t>02467222/1</t>
  </si>
  <si>
    <t>Basile</t>
  </si>
  <si>
    <t>POHK-26-10441</t>
  </si>
  <si>
    <t>XSDD000478</t>
  </si>
  <si>
    <t>BASILE_MAY</t>
  </si>
  <si>
    <t>XSDD000654</t>
  </si>
  <si>
    <t>注塑机配件</t>
  </si>
  <si>
    <t>滑片纸</t>
  </si>
  <si>
    <t>车牌：川SB8852
挂号：川S7947挂
司机：杨吉凡-杨春雷
电话：18608182881</t>
  </si>
  <si>
    <t>车牌：川AHE025
车挂：川AFH75挂
车型：18米箱车5轴180方电话：18583706868</t>
  </si>
  <si>
    <t>POHK-26-10973</t>
  </si>
  <si>
    <t>XSDD000456</t>
  </si>
  <si>
    <t>0999612611</t>
  </si>
  <si>
    <t>POHK-26-10974</t>
  </si>
  <si>
    <t>XSDD000455</t>
  </si>
  <si>
    <t>0999612614</t>
  </si>
  <si>
    <t>JPLLC GROC</t>
  </si>
  <si>
    <t>POHK-26-13108</t>
  </si>
  <si>
    <t>XSDD000581</t>
  </si>
  <si>
    <t>6918-R0-GROC</t>
  </si>
  <si>
    <t>1002233/45894</t>
  </si>
  <si>
    <t>装车尾24号上柜</t>
  </si>
  <si>
    <t>1002268/46120</t>
  </si>
  <si>
    <t>XSDD000587</t>
  </si>
  <si>
    <t>Amazon EU</t>
  </si>
  <si>
    <t>POHK-26-10832</t>
  </si>
  <si>
    <t>XSDD000655</t>
  </si>
  <si>
    <t>00193-R0-AMZ</t>
  </si>
  <si>
    <t>车牌：川S81407
挂号：川S4486
司机：19983746475</t>
  </si>
  <si>
    <t>XSDD000447</t>
  </si>
  <si>
    <t>1002397/47022</t>
  </si>
  <si>
    <t>XSDD000602</t>
  </si>
  <si>
    <t>POHK-26-10293</t>
  </si>
  <si>
    <t>XSDD000681</t>
  </si>
  <si>
    <t>POHK-26-10296</t>
  </si>
  <si>
    <t>XSDD000685</t>
  </si>
  <si>
    <t>Winners Canada</t>
  </si>
  <si>
    <t>POHK-26-12870</t>
  </si>
  <si>
    <t>XSDD000637</t>
  </si>
  <si>
    <t>40 015959</t>
  </si>
  <si>
    <t>POHK-26-12830</t>
  </si>
  <si>
    <t>XSDD000636</t>
  </si>
  <si>
    <t>40 015475</t>
  </si>
  <si>
    <t>Winners
Canada</t>
  </si>
  <si>
    <t>POHK-26-12768</t>
  </si>
  <si>
    <t>XSDD000580</t>
  </si>
  <si>
    <t>45 080547</t>
  </si>
  <si>
    <t>POHK-26-12873</t>
  </si>
  <si>
    <t>XSDD000639</t>
  </si>
  <si>
    <t>40 015929</t>
  </si>
  <si>
    <t>POHK-26-12832</t>
  </si>
  <si>
    <t>XSDD000638</t>
  </si>
  <si>
    <t>40 015471</t>
  </si>
  <si>
    <t>POHK-26-12770</t>
  </si>
  <si>
    <t>XSDD000579</t>
  </si>
  <si>
    <t>45 080545</t>
  </si>
  <si>
    <t>Moustakas</t>
  </si>
  <si>
    <t>POHK-26-10363</t>
  </si>
  <si>
    <t>XSDD000651</t>
  </si>
  <si>
    <t>POHK-26-10838</t>
  </si>
  <si>
    <t>XSDD000589</t>
  </si>
  <si>
    <t>00194-R0-AMZ</t>
  </si>
  <si>
    <t>29号上柜必走</t>
  </si>
  <si>
    <t>Fortorama</t>
  </si>
  <si>
    <t>XSDD000822</t>
  </si>
  <si>
    <t>OC00005673-2</t>
  </si>
  <si>
    <t>398/400/401/400</t>
  </si>
  <si>
    <t>车牌：川S81342
挂号：川S7947挂
司机：蒋朝映
电话：15908482413</t>
  </si>
  <si>
    <t>OC00005675</t>
  </si>
  <si>
    <t>XSDD000820</t>
  </si>
  <si>
    <t>XSDD000828</t>
  </si>
  <si>
    <t>OC00005707</t>
  </si>
  <si>
    <t xml:space="preserve">Fortorama </t>
  </si>
  <si>
    <t>XSDD000823</t>
  </si>
  <si>
    <t>1324-MXPT000</t>
  </si>
  <si>
    <t>Woolworths</t>
  </si>
  <si>
    <t>POHK-26-09514</t>
  </si>
  <si>
    <t>XSDD000371</t>
  </si>
  <si>
    <t>POHK-26-09520</t>
  </si>
  <si>
    <t>XSDD000370</t>
  </si>
  <si>
    <t>POHK-26-09524</t>
  </si>
  <si>
    <t>XSDD000369</t>
  </si>
  <si>
    <t>POHK-26-09527</t>
  </si>
  <si>
    <t>XSDD000368</t>
  </si>
  <si>
    <t>POHK-26-11518</t>
  </si>
  <si>
    <t>XSDD000618</t>
  </si>
  <si>
    <t>POHK-26-11519</t>
  </si>
  <si>
    <t>XSDD000619</t>
  </si>
  <si>
    <t>POHK-26-11520</t>
  </si>
  <si>
    <t>XSDD000620</t>
  </si>
  <si>
    <t>POHK-26-11521</t>
  </si>
  <si>
    <t>XSDD000621</t>
  </si>
  <si>
    <t>POHK-26-11522</t>
  </si>
  <si>
    <t>XSDD000622</t>
  </si>
  <si>
    <t>POHK-26-06033</t>
  </si>
  <si>
    <t>XSDD000438</t>
  </si>
  <si>
    <t>POHK-26-11517</t>
  </si>
  <si>
    <t>XSDD000612</t>
  </si>
  <si>
    <t>POHK-26-09459</t>
  </si>
  <si>
    <t>XSDD000465</t>
  </si>
  <si>
    <t>POHK-26-09463</t>
  </si>
  <si>
    <t>XSDD000463</t>
  </si>
  <si>
    <t>POHK-26-11515</t>
  </si>
  <si>
    <t>XSDD000610</t>
  </si>
  <si>
    <t>POHK-26-09154</t>
  </si>
  <si>
    <t>XSDD000361</t>
  </si>
  <si>
    <t>POHK-26-10295</t>
  </si>
  <si>
    <t>XSDD000686</t>
  </si>
  <si>
    <t>POHK-26-08142</t>
  </si>
  <si>
    <t>XSDD000777</t>
  </si>
  <si>
    <t>754457-01112026-UK</t>
  </si>
  <si>
    <t>车牌:川ISB1976挂号:川IS9476挂姓名:田之波:电话:189 8280 0115</t>
  </si>
  <si>
    <t>Amazon CA</t>
  </si>
  <si>
    <t>POHK-26-14278</t>
  </si>
  <si>
    <t>XSDD000606</t>
  </si>
  <si>
    <t>0004-R0-AMZCA</t>
  </si>
  <si>
    <t>XSDD000657</t>
  </si>
  <si>
    <t>车牌：川SC4420
挂号：川S9476挂
司机：周明康
电话：18682822739</t>
  </si>
  <si>
    <t>XSDD000678</t>
  </si>
  <si>
    <t>POHK-26-08143</t>
  </si>
  <si>
    <t>XSDD000778</t>
  </si>
  <si>
    <t>754457-01112026-IE</t>
  </si>
  <si>
    <t>Wish Chile</t>
  </si>
  <si>
    <t>POHK-26-08561</t>
  </si>
  <si>
    <t>XSDD000752</t>
  </si>
  <si>
    <t>WTC-2623</t>
  </si>
  <si>
    <t>POHK-26-09153</t>
  </si>
  <si>
    <t>XSDD000362</t>
  </si>
  <si>
    <t>0993059947</t>
  </si>
  <si>
    <t>POHK-26-15244</t>
  </si>
  <si>
    <t>XSDD000659</t>
  </si>
  <si>
    <t>2551020325</t>
  </si>
  <si>
    <t>POHK-26-11388</t>
  </si>
  <si>
    <t>XSDD000565</t>
  </si>
  <si>
    <t>16296977</t>
  </si>
  <si>
    <t>POHK-26-03047</t>
  </si>
  <si>
    <t>XSDD000142</t>
  </si>
  <si>
    <t>L-9666977</t>
  </si>
  <si>
    <t>#33484
黑魔后</t>
  </si>
  <si>
    <t>POHK-26-16135</t>
  </si>
  <si>
    <t>XSDD000762</t>
  </si>
  <si>
    <t>0002569491</t>
  </si>
  <si>
    <t>已收SO，10号上柜</t>
  </si>
  <si>
    <t>0999523185</t>
  </si>
  <si>
    <t>0999523525</t>
  </si>
  <si>
    <t>POHK-26-02917</t>
  </si>
  <si>
    <t>XSDD000128</t>
  </si>
  <si>
    <t>POHK-26-02926</t>
  </si>
  <si>
    <t>XSDD000242</t>
  </si>
  <si>
    <t>POHK-26-11514</t>
  </si>
  <si>
    <t>XSDD000609</t>
  </si>
  <si>
    <t>0999523212</t>
  </si>
  <si>
    <t>POHK-26-11524</t>
  </si>
  <si>
    <t>XSDD000613</t>
  </si>
  <si>
    <t>0999523351</t>
  </si>
  <si>
    <t>POHK-26-11526</t>
  </si>
  <si>
    <t>XSDD000615</t>
  </si>
  <si>
    <t>0999523407</t>
  </si>
  <si>
    <t>POHK-26-11527</t>
  </si>
  <si>
    <t>XSDD000616</t>
  </si>
  <si>
    <t>0999523409</t>
  </si>
  <si>
    <t>POHK-26-11528</t>
  </si>
  <si>
    <t>XSDD000617</t>
  </si>
  <si>
    <t>0999523433</t>
  </si>
  <si>
    <t>POHK-26-11525</t>
  </si>
  <si>
    <t>XSDD000614</t>
  </si>
  <si>
    <t>0999523486</t>
  </si>
  <si>
    <t>POHK-26-02869</t>
  </si>
  <si>
    <t>XSDD000257</t>
  </si>
  <si>
    <t>POHK-26-16133</t>
  </si>
  <si>
    <t>XSDD000761</t>
  </si>
  <si>
    <t>0002569452</t>
  </si>
  <si>
    <t>车牌：川SC7032
挂号：川SB910挂
司机：刘克均
电话：19138579319</t>
  </si>
  <si>
    <t>POHK-26-16134</t>
  </si>
  <si>
    <t>XSDD000763</t>
  </si>
  <si>
    <t>0002569471</t>
  </si>
  <si>
    <t>0999523204</t>
  </si>
  <si>
    <t>已收SO，14号上柜</t>
  </si>
  <si>
    <t>0999523215</t>
  </si>
  <si>
    <t>POHK-26-02895</t>
  </si>
  <si>
    <t>XSDD000135</t>
  </si>
  <si>
    <t>POHK-26-02908</t>
  </si>
  <si>
    <t>XSDD000249</t>
  </si>
  <si>
    <t>POHK-26-11484</t>
  </si>
  <si>
    <t>XSDD000718</t>
  </si>
  <si>
    <t>0999643956</t>
  </si>
  <si>
    <t>POHK-26-11485</t>
  </si>
  <si>
    <t>XSDD000719</t>
  </si>
  <si>
    <t>0999643933</t>
  </si>
  <si>
    <t>POHK-26-11487</t>
  </si>
  <si>
    <t>XSDD000721</t>
  </si>
  <si>
    <t>0999647958</t>
  </si>
  <si>
    <t>8/17常平上柜</t>
  </si>
  <si>
    <t>POHK-26-10292</t>
  </si>
  <si>
    <t>XSDD000682</t>
  </si>
  <si>
    <t>0996634762</t>
  </si>
  <si>
    <t>XSDD000821</t>
  </si>
  <si>
    <t>OC00005673</t>
  </si>
  <si>
    <t>470026-2L</t>
  </si>
  <si>
    <t>XSDD000825</t>
  </si>
  <si>
    <t>SMYTHS GERMANY</t>
  </si>
  <si>
    <t>POHK-26-09237</t>
  </si>
  <si>
    <t>XSDD000603</t>
  </si>
  <si>
    <t>线路： 渠县常平
车牌：川SB8852
挂号：川S7947挂
司机：杨吉凡-杨春雷
电话：18608182881</t>
  </si>
  <si>
    <t>XSDD000827</t>
  </si>
  <si>
    <t>XSDD000826</t>
  </si>
  <si>
    <t>XSDD000824</t>
  </si>
  <si>
    <t>POHK-26-11481</t>
  </si>
  <si>
    <t>XSDD000715</t>
  </si>
  <si>
    <t>0999644009</t>
  </si>
  <si>
    <t>POHK-26-11508</t>
  </si>
  <si>
    <t>XSDD000742</t>
  </si>
  <si>
    <t>0999647860</t>
  </si>
  <si>
    <t>深圳</t>
  </si>
  <si>
    <t>PO202600005</t>
  </si>
  <si>
    <t>PO202600009</t>
  </si>
  <si>
    <t>PO202600001</t>
  </si>
  <si>
    <t>PO202600010</t>
  </si>
  <si>
    <t>PO202600008</t>
  </si>
  <si>
    <t>PO202600012</t>
  </si>
  <si>
    <t>POHK-26-16128</t>
  </si>
  <si>
    <t>XSDD000758</t>
  </si>
  <si>
    <t>0002569387</t>
  </si>
  <si>
    <t>POHK-26-16129</t>
  </si>
  <si>
    <t>XSDD000759</t>
  </si>
  <si>
    <t>0002569391</t>
  </si>
  <si>
    <t>POHK-26-16130</t>
  </si>
  <si>
    <t>XSDD000760</t>
  </si>
  <si>
    <t>0002569427</t>
  </si>
  <si>
    <t>0999523459</t>
  </si>
  <si>
    <t>POHK-26-16138</t>
  </si>
  <si>
    <t>XSDD000765</t>
  </si>
  <si>
    <t>0002569257</t>
  </si>
  <si>
    <t>Spain ECI</t>
  </si>
  <si>
    <t>POHK-26-13235</t>
  </si>
  <si>
    <t>XSDD000593</t>
  </si>
  <si>
    <t>POHK-26-13237</t>
  </si>
  <si>
    <t>XSDD000590</t>
  </si>
  <si>
    <t>XSDD000812</t>
  </si>
  <si>
    <t>车号：川SF9856
挂号：川s8849
电话：13629061008
司机：陈金桥</t>
  </si>
  <si>
    <t>POHK-26-11480</t>
  </si>
  <si>
    <t>XSDD000714</t>
  </si>
  <si>
    <t>0999644005</t>
  </si>
  <si>
    <t>POHK-26-11495</t>
  </si>
  <si>
    <t>XSDD000729</t>
  </si>
  <si>
    <t>0999647761</t>
  </si>
  <si>
    <t>8/20装柜</t>
  </si>
  <si>
    <t>POHK-26-11498</t>
  </si>
  <si>
    <t>XSDD000732</t>
  </si>
  <si>
    <t>0999648170</t>
  </si>
  <si>
    <t>POHK-26-11500</t>
  </si>
  <si>
    <t>XSDD000734</t>
  </si>
  <si>
    <t>0999644053</t>
  </si>
  <si>
    <t>PO202600013</t>
  </si>
  <si>
    <t>PO202600011</t>
  </si>
  <si>
    <t>PO202600014</t>
  </si>
  <si>
    <t>PO202600006</t>
  </si>
  <si>
    <t>PO202600002</t>
  </si>
  <si>
    <t>PO202600015</t>
  </si>
  <si>
    <t>XSDD000677</t>
  </si>
  <si>
    <t>XSDD000806</t>
  </si>
  <si>
    <t>POHK-26-16139</t>
  </si>
  <si>
    <t>XSDD000766</t>
  </si>
  <si>
    <t>0002569262</t>
  </si>
  <si>
    <t>车号：川SB1976
挂号：川S9476挂
司机：王泽勇
电话：17780983911</t>
  </si>
  <si>
    <t>POHK-26-16137</t>
  </si>
  <si>
    <t>XSDD000764</t>
  </si>
  <si>
    <t>POHK-26-11479</t>
  </si>
  <si>
    <t>XSDD000713</t>
  </si>
  <si>
    <t>POHK-26-11493</t>
  </si>
  <si>
    <t>XSDD000727</t>
  </si>
  <si>
    <t>8/24上柜</t>
  </si>
  <si>
    <t>POHK-26-11494</t>
  </si>
  <si>
    <t>XSDD000728</t>
  </si>
  <si>
    <t>POHK-26-11510</t>
  </si>
  <si>
    <t>XSDD000744</t>
  </si>
  <si>
    <t>8/27上柜</t>
  </si>
  <si>
    <t>POHK-26-09049</t>
  </si>
  <si>
    <t>XSDD000489</t>
  </si>
  <si>
    <t>02511867/1</t>
  </si>
  <si>
    <t>8/21上柜</t>
  </si>
  <si>
    <t>Toys Centre</t>
  </si>
  <si>
    <t>POHK-26-12388</t>
  </si>
  <si>
    <t>XSDD000567</t>
  </si>
  <si>
    <t>TOYSCENTRE_FA26</t>
  </si>
  <si>
    <t>PO202600007</t>
  </si>
  <si>
    <t>PO202600003</t>
  </si>
  <si>
    <t>PO202600017</t>
  </si>
  <si>
    <t>Asia Goal HK</t>
  </si>
  <si>
    <t>POHK-26-13369</t>
  </si>
  <si>
    <t>XSDD000644</t>
  </si>
  <si>
    <t>PO-AG260098</t>
  </si>
  <si>
    <t>安能物流，直达大朗</t>
  </si>
  <si>
    <t>车牌：川S81407
挂号：川S9801挂
司机  秦学川
手机:18080698059</t>
  </si>
  <si>
    <t>POHK-26-16149</t>
  </si>
  <si>
    <t>XSDD000775</t>
  </si>
  <si>
    <t>0002569533</t>
  </si>
  <si>
    <t>8/25上柜</t>
  </si>
  <si>
    <t>车牌：川SB5181
挂号：川S4639挂
司机：陈绪锋
电话：13778361082</t>
  </si>
  <si>
    <t>车牌：川S86094
挂号：川S8451挂
司机:向春强
手机:15983853215</t>
  </si>
  <si>
    <t>POHK-26-09272</t>
  </si>
  <si>
    <t>XSDD000604</t>
  </si>
  <si>
    <t>POHK-26-11497</t>
  </si>
  <si>
    <t>XSDD000731</t>
  </si>
  <si>
    <t>0999647943</t>
  </si>
  <si>
    <t>POHK-26-11491</t>
  </si>
  <si>
    <t>XSDD000725</t>
  </si>
  <si>
    <t>0999644387</t>
  </si>
  <si>
    <t>POHK-26-11492</t>
  </si>
  <si>
    <t>XSDD000726</t>
  </si>
  <si>
    <t>0999643650</t>
  </si>
  <si>
    <t>POHK-26-11499</t>
  </si>
  <si>
    <t>XSDD000733</t>
  </si>
  <si>
    <t>0999643680</t>
  </si>
  <si>
    <t>POHK-26-11501</t>
  </si>
  <si>
    <t>XSDD000735</t>
  </si>
  <si>
    <t>0999644094</t>
  </si>
  <si>
    <t>POHK-26-11502</t>
  </si>
  <si>
    <t>XSDD000736</t>
  </si>
  <si>
    <t>0999647773</t>
  </si>
  <si>
    <t>POHK-26-11504</t>
  </si>
  <si>
    <t>XSDD000738</t>
  </si>
  <si>
    <t>0999648572</t>
  </si>
  <si>
    <t>POHK-26-11505</t>
  </si>
  <si>
    <t>XSDD000739</t>
  </si>
  <si>
    <t>0999643697</t>
  </si>
  <si>
    <t>POHK-26-11509</t>
  </si>
  <si>
    <t>XSDD000743</t>
  </si>
  <si>
    <t>0999648335</t>
  </si>
  <si>
    <t>牌:川S.F2020姓名:田之波:电话:18728798198</t>
  </si>
  <si>
    <t>Kohls-Ecom</t>
  </si>
  <si>
    <t>XSDD000829</t>
  </si>
  <si>
    <t>POHK-26-15235</t>
  </si>
  <si>
    <t>XSDD000671</t>
  </si>
  <si>
    <t>6933-R0-MACYS</t>
  </si>
  <si>
    <t>退星海</t>
  </si>
  <si>
    <t>袋</t>
  </si>
  <si>
    <t>POHK-26-03485</t>
  </si>
  <si>
    <t>XSDD000260</t>
  </si>
  <si>
    <t>02460296/1</t>
  </si>
  <si>
    <t>POHK-26-11535</t>
  </si>
  <si>
    <t>XSDD000628</t>
  </si>
  <si>
    <t>0999522761</t>
  </si>
  <si>
    <t>9/1上柜</t>
  </si>
  <si>
    <t>POHK-26-11529</t>
  </si>
  <si>
    <t>XSDD000623</t>
  </si>
  <si>
    <t>0999523239</t>
  </si>
  <si>
    <t>POHK-26-11530</t>
  </si>
  <si>
    <t>XSDD000624</t>
  </si>
  <si>
    <t>0999523241</t>
  </si>
  <si>
    <t>POHK-26-11531</t>
  </si>
  <si>
    <t>XSDD000625</t>
  </si>
  <si>
    <t>0999523264</t>
  </si>
  <si>
    <t>POHK-26-11532</t>
  </si>
  <si>
    <t>XSDD000626</t>
  </si>
  <si>
    <t>0999523270</t>
  </si>
  <si>
    <t>POHK-26-11534</t>
  </si>
  <si>
    <t>XSDD000627</t>
  </si>
  <si>
    <t>0999523346</t>
  </si>
  <si>
    <t>Disney</t>
  </si>
  <si>
    <t>POHK-26-06978</t>
  </si>
  <si>
    <t>XSDD000480</t>
  </si>
  <si>
    <t>W-9684411</t>
  </si>
  <si>
    <t>33517
飞哥</t>
  </si>
  <si>
    <t>33518
小佛</t>
  </si>
  <si>
    <t>POHK-26-12312</t>
  </si>
  <si>
    <t>XSDD000538</t>
  </si>
  <si>
    <t>W-9684321</t>
  </si>
  <si>
    <t>#33423
桑妮</t>
  </si>
  <si>
    <t>#33622
迈克</t>
  </si>
  <si>
    <t>POHK-26-14339</t>
  </si>
  <si>
    <t>XSDD000680</t>
  </si>
  <si>
    <t>W0774643</t>
  </si>
  <si>
    <t>POHK-26-03481</t>
  </si>
  <si>
    <t>02460160/1</t>
  </si>
  <si>
    <t>POHK-26-16146</t>
  </si>
  <si>
    <t>XSDD000772</t>
  </si>
  <si>
    <t>0002569495</t>
  </si>
  <si>
    <t>POHK-26-16141</t>
  </si>
  <si>
    <t>XSDD000767</t>
  </si>
  <si>
    <t>0002569295</t>
  </si>
  <si>
    <t>8/29上柜</t>
  </si>
  <si>
    <t>POHK-26-16142</t>
  </si>
  <si>
    <t>XSDD000768</t>
  </si>
  <si>
    <t>0002569304</t>
  </si>
  <si>
    <t>8/31柜</t>
  </si>
  <si>
    <t>HWW手提包</t>
  </si>
  <si>
    <t>22*10*18</t>
  </si>
  <si>
    <t>43*43*32</t>
  </si>
  <si>
    <t>48*14*35</t>
  </si>
  <si>
    <t>PO202600007 </t>
  </si>
  <si>
    <t>XSDD000805</t>
  </si>
  <si>
    <t>XSD000807</t>
  </si>
  <si>
    <t>XSDD000807</t>
  </si>
  <si>
    <t>车牌：川SF9220
挂号：川SB121挂
司机：刘张尧
电话：18011241818
司机：石辉国
电话：18384844706</t>
  </si>
  <si>
    <t>POHK-26-16143</t>
  </si>
  <si>
    <t>XSDD000769</t>
  </si>
  <si>
    <t>0002569317</t>
  </si>
  <si>
    <t>快递1箱</t>
  </si>
  <si>
    <t>XSDD000871</t>
  </si>
  <si>
    <t>8/29A</t>
  </si>
  <si>
    <t>POHK-26-11536</t>
  </si>
  <si>
    <t>XSDD000629</t>
  </si>
  <si>
    <t>0999522871</t>
  </si>
  <si>
    <t>POHK-26-03066</t>
  </si>
  <si>
    <t>XSDD000144</t>
  </si>
  <si>
    <t>CG568</t>
  </si>
  <si>
    <t>POHK-26-10925</t>
  </si>
  <si>
    <t>XSDD000577</t>
  </si>
  <si>
    <t>6869604</t>
  </si>
  <si>
    <t>33865（36）</t>
  </si>
  <si>
    <t>丑丑鸭</t>
  </si>
  <si>
    <t>车牌：川SB5181
挂号：川S8849挂
司机：陈绪锋
电话：13778361082</t>
  </si>
  <si>
    <t>POHK-26-13530</t>
  </si>
  <si>
    <t>XSDD000707</t>
  </si>
  <si>
    <t>POHK-26-16148</t>
  </si>
  <si>
    <t>XSDD000774</t>
  </si>
  <si>
    <t>0002569531</t>
  </si>
  <si>
    <t>POHK-26-16144</t>
  </si>
  <si>
    <t>XSDD000770</t>
  </si>
  <si>
    <t>0002569457</t>
  </si>
  <si>
    <t>铆钉</t>
  </si>
  <si>
    <t>POHK-26-11537</t>
  </si>
  <si>
    <t>XSDD000630</t>
  </si>
  <si>
    <t>0999522925</t>
  </si>
  <si>
    <t>POHK-26-11538</t>
  </si>
  <si>
    <t>XSDD000631</t>
  </si>
  <si>
    <t>0999522968</t>
  </si>
  <si>
    <t>POHK-26-11540</t>
  </si>
  <si>
    <t>XSDD000633</t>
  </si>
  <si>
    <t>0999523008</t>
  </si>
  <si>
    <t>POHK-26-11541</t>
  </si>
  <si>
    <t>XSDD000634</t>
  </si>
  <si>
    <t>0999523013</t>
  </si>
  <si>
    <t>POHK-26-11539</t>
  </si>
  <si>
    <t>XSDD000632</t>
  </si>
  <si>
    <t>0999522987</t>
  </si>
  <si>
    <t>POHK-26-11516</t>
  </si>
  <si>
    <t>XSDD000611</t>
  </si>
  <si>
    <t>0999523216</t>
  </si>
  <si>
    <t>POHK-26-11496</t>
  </si>
  <si>
    <t>XSDD000730</t>
  </si>
  <si>
    <t>0999647799</t>
  </si>
  <si>
    <t>9/2上柜</t>
  </si>
  <si>
    <t>POHK-26-11506</t>
  </si>
  <si>
    <t>XSDD000740</t>
  </si>
  <si>
    <t>0999647579</t>
  </si>
  <si>
    <t>POHK-26-11512</t>
  </si>
  <si>
    <t>XSDD000746</t>
  </si>
  <si>
    <t>TOMY AU</t>
  </si>
  <si>
    <t>1002445/47482</t>
  </si>
  <si>
    <t>XSDD00653</t>
  </si>
  <si>
    <t>POHK-26-16145</t>
  </si>
  <si>
    <t>XSDD000771</t>
  </si>
  <si>
    <t>0002569473</t>
  </si>
  <si>
    <t>POHK-26-16147</t>
  </si>
  <si>
    <t>XSDD000773</t>
  </si>
  <si>
    <t>0002569506</t>
  </si>
  <si>
    <t>POHK-26-13533</t>
  </si>
  <si>
    <t>XSDD000712</t>
  </si>
  <si>
    <t>POHK-26-13532</t>
  </si>
  <si>
    <t>XSDD000705</t>
  </si>
  <si>
    <t>POHK-26-13531</t>
  </si>
  <si>
    <t>XSDD000708</t>
  </si>
  <si>
    <t>POHK-26-13534</t>
  </si>
  <si>
    <t>XSDD000700</t>
  </si>
  <si>
    <t>POHK-26-11503</t>
  </si>
  <si>
    <t>XSDD000737</t>
  </si>
  <si>
    <t>0999647844</t>
  </si>
  <si>
    <t>车牌：川SB5181
挂号：川S8849挂
司机：陈绪锋
电话：13778361082
身份证:513029198109146655
王小兵
13982838968</t>
  </si>
  <si>
    <t>车牌：川SF9220
挂号：川SB121挂
司机：刘张尧
电话：18011241818
司机:   石辉国
电话：18384844706
箱型：18.5米（180方）</t>
  </si>
  <si>
    <t>1002397/47017</t>
  </si>
  <si>
    <t>车牌；川S97852
电话147266712864</t>
  </si>
  <si>
    <t>POHK-26-13535</t>
  </si>
  <si>
    <t>XSDD000711</t>
  </si>
  <si>
    <t>POHK-26-13536</t>
  </si>
  <si>
    <t>XSDD000706</t>
  </si>
  <si>
    <t>POHK-26-09966</t>
  </si>
  <si>
    <t>XSDD000854</t>
  </si>
  <si>
    <t>33812/33808</t>
  </si>
  <si>
    <t>不良胶袋</t>
  </si>
  <si>
    <t>件</t>
  </si>
  <si>
    <t>1002397/47020</t>
  </si>
  <si>
    <t>POHK-26-16546</t>
  </si>
  <si>
    <t>XSDD000838</t>
  </si>
  <si>
    <t>84DQWWSY -DC#KUK2</t>
  </si>
  <si>
    <t>Emway</t>
  </si>
  <si>
    <t>POHK-26-14488</t>
  </si>
  <si>
    <t>XSDD000833</t>
  </si>
  <si>
    <t>EMWAY</t>
  </si>
  <si>
    <t>磁铁肩膀海棉宝宝&amp;派大星</t>
  </si>
  <si>
    <t>9/10上柜</t>
  </si>
  <si>
    <t>POHK-26-11511</t>
  </si>
  <si>
    <t>XSDD000745</t>
  </si>
  <si>
    <t>POHK-26-13529</t>
  </si>
  <si>
    <t>XSDD000748</t>
  </si>
  <si>
    <t>PO202600016</t>
  </si>
  <si>
    <t>PO202600018</t>
  </si>
  <si>
    <t>安能空运至江北机场</t>
  </si>
  <si>
    <t>Whitcoulls</t>
  </si>
  <si>
    <t>POHK-26-10886</t>
  </si>
  <si>
    <t>XSDD000897</t>
  </si>
  <si>
    <t>47470</t>
  </si>
  <si>
    <t>车牌：川S C7032
渠县塘厦
拖挂： 川S 6604挂
车型：17.5米
姓名：杜平
电话: 18784838138</t>
  </si>
  <si>
    <t>POHK-26-14586</t>
  </si>
  <si>
    <t>XSDD000889</t>
  </si>
  <si>
    <t>5849</t>
  </si>
  <si>
    <t>POHK-26-11507</t>
  </si>
  <si>
    <t>XSDD000741</t>
  </si>
  <si>
    <t>9/11上柜</t>
  </si>
  <si>
    <t>PO202600019</t>
  </si>
  <si>
    <t>客签板</t>
  </si>
  <si>
    <t>POHK-26-11389</t>
  </si>
  <si>
    <t>XSDD000566</t>
  </si>
  <si>
    <t>POHK-26-13537</t>
  </si>
  <si>
    <t>XSDD000703</t>
  </si>
  <si>
    <t>POHK-26-11482</t>
  </si>
  <si>
    <t>XSDD000716</t>
  </si>
  <si>
    <t>POHK-26-11488</t>
  </si>
  <si>
    <t>XSDD000722</t>
  </si>
  <si>
    <t>POHK-26-11489</t>
  </si>
  <si>
    <t>XSDD000723</t>
  </si>
  <si>
    <t>POHK-26-11483</t>
  </si>
  <si>
    <t>XSDD000717</t>
  </si>
  <si>
    <t>POHK-26-11486</t>
  </si>
  <si>
    <t>XSDD000720</t>
  </si>
  <si>
    <t>POHK-26-11490</t>
  </si>
  <si>
    <t>XSDD000724</t>
  </si>
  <si>
    <t>POHK-26-16151</t>
  </si>
  <si>
    <t>XSDD000780</t>
  </si>
  <si>
    <t>POHK-26-16152</t>
  </si>
  <si>
    <t>XSDD000779</t>
  </si>
  <si>
    <t>POHK-26-02886</t>
  </si>
  <si>
    <t>XSDD000256</t>
  </si>
  <si>
    <t>POHK-26-12311</t>
  </si>
  <si>
    <t>XSDD000539</t>
  </si>
  <si>
    <t>L-9684419</t>
  </si>
  <si>
    <t>Marshalls</t>
  </si>
  <si>
    <t>POHK-26-16876</t>
  </si>
  <si>
    <t>XSDD000862</t>
  </si>
  <si>
    <t>01-064749/06-064749/07-064749/08-064749</t>
  </si>
  <si>
    <t>POHK-26-16878</t>
  </si>
  <si>
    <t>XSDD000863</t>
  </si>
  <si>
    <t>10-064757/40-064757/60-064757/70-064757/80-064757</t>
  </si>
  <si>
    <t>POHK-26-02897</t>
  </si>
  <si>
    <t>XSDD000136</t>
  </si>
  <si>
    <t>POHK-26-16156</t>
  </si>
  <si>
    <t>XSDD000783</t>
  </si>
  <si>
    <t>14号上柜</t>
  </si>
  <si>
    <t>POHK-26-16157</t>
  </si>
  <si>
    <t>XSDD000784</t>
  </si>
  <si>
    <t>POHK-26-13541</t>
  </si>
  <si>
    <t>XSDD000701</t>
  </si>
  <si>
    <t>15号上柜</t>
  </si>
  <si>
    <t>POHK-26-16155</t>
  </si>
  <si>
    <t>XSDD000782</t>
  </si>
  <si>
    <t>POHK-26-13538</t>
  </si>
  <si>
    <t>XSDD000709</t>
  </si>
  <si>
    <t>POHK-26-13539</t>
  </si>
  <si>
    <t>XSDD000710</t>
  </si>
  <si>
    <t>POHK-26-13540</t>
  </si>
  <si>
    <t>XSDD000704</t>
  </si>
  <si>
    <t>POHK-26-16154</t>
  </si>
  <si>
    <t>XSDD000781</t>
  </si>
  <si>
    <t>9/16上柜</t>
  </si>
  <si>
    <t>POHK-26-02911</t>
  </si>
  <si>
    <t>XSDD000248</t>
  </si>
  <si>
    <t>POHK-26-13543</t>
  </si>
  <si>
    <t>XSDD000694</t>
  </si>
  <si>
    <t>POHK-26-13542</t>
  </si>
  <si>
    <t>XSDD000702</t>
  </si>
  <si>
    <t>POHK-26-13544</t>
  </si>
  <si>
    <t>XSDD000693</t>
  </si>
  <si>
    <t>POHK-26-14883</t>
  </si>
  <si>
    <t>XSDD000877</t>
  </si>
  <si>
    <t>1007875877</t>
  </si>
  <si>
    <t>POHK-26-14884</t>
  </si>
  <si>
    <t>XSDD000876</t>
  </si>
  <si>
    <t>1007876504</t>
  </si>
  <si>
    <t>POHK-26-14885</t>
  </si>
  <si>
    <t>XSDD000878</t>
  </si>
  <si>
    <t>1007876535</t>
  </si>
  <si>
    <t>POHK-26-14890</t>
  </si>
  <si>
    <t>XSDD000882</t>
  </si>
  <si>
    <t>1007876329</t>
  </si>
  <si>
    <t>XSDD000899</t>
  </si>
  <si>
    <t>POHK-26-02927</t>
  </si>
  <si>
    <t>XSDD000247</t>
  </si>
  <si>
    <t>POHK-26-13546</t>
  </si>
  <si>
    <t>XSDD000697</t>
  </si>
  <si>
    <t>XSDD000890</t>
  </si>
  <si>
    <t>车牌：川S86004
拖挂：川S9476挂
车型：17.5米
姓名：田道川
电话: 13882811838</t>
  </si>
  <si>
    <t>XSD000890</t>
  </si>
  <si>
    <t>POHK-26-13545</t>
  </si>
  <si>
    <t>XSDD000692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</si>
</sst>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 "/>
    <numFmt numFmtId="178" formatCode="0.00_ "/>
    <numFmt numFmtId="179" formatCode="0.0_ "/>
    <numFmt numFmtId="180" formatCode="#,##0_ "/>
    <numFmt numFmtId="181" formatCode="#,##0.00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4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theme="0"/>
      <name val="Arial"/>
      <charset val="134"/>
    </font>
    <font>
      <b/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1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177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8" fontId="4" fillId="2" borderId="4" xfId="0" applyNumberFormat="1" applyFont="1" applyFill="1" applyBorder="1" applyAlignment="1">
      <alignment horizontal="center" vertical="center" wrapText="1"/>
    </xf>
    <xf numFmtId="179" fontId="4" fillId="2" borderId="4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 shrinkToFit="1"/>
    </xf>
    <xf numFmtId="177" fontId="3" fillId="0" borderId="4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177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shrinkToFit="1"/>
    </xf>
    <xf numFmtId="177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shrinkToFit="1"/>
    </xf>
    <xf numFmtId="177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shrinkToFit="1"/>
    </xf>
    <xf numFmtId="177" fontId="1" fillId="0" borderId="7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 shrinkToFit="1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Fill="1" applyBorder="1" applyAlignment="1">
      <alignment horizontal="center" vertical="center" shrinkToFit="1"/>
    </xf>
    <xf numFmtId="177" fontId="1" fillId="0" borderId="4" xfId="0" applyNumberFormat="1" applyFont="1" applyFill="1" applyBorder="1" applyAlignment="1">
      <alignment horizontal="center" vertical="center" shrinkToFit="1"/>
    </xf>
    <xf numFmtId="0" fontId="1" fillId="0" borderId="4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77" fontId="1" fillId="3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 wrapText="1" shrinkToFit="1"/>
    </xf>
    <xf numFmtId="176" fontId="1" fillId="3" borderId="4" xfId="0" applyNumberFormat="1" applyFont="1" applyFill="1" applyBorder="1" applyAlignment="1">
      <alignment horizontal="center" vertical="center" shrinkToFit="1"/>
    </xf>
    <xf numFmtId="49" fontId="1" fillId="3" borderId="4" xfId="0" applyNumberFormat="1" applyFont="1" applyFill="1" applyBorder="1" applyAlignment="1">
      <alignment horizontal="center" vertical="center" shrinkToFit="1"/>
    </xf>
    <xf numFmtId="177" fontId="1" fillId="3" borderId="4" xfId="0" applyNumberFormat="1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4" xfId="0" applyNumberFormat="1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shrinkToFit="1"/>
    </xf>
    <xf numFmtId="0" fontId="1" fillId="0" borderId="4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horizontal="center" vertical="center" shrinkToFit="1"/>
    </xf>
    <xf numFmtId="176" fontId="1" fillId="0" borderId="4" xfId="0" applyNumberFormat="1" applyFont="1" applyFill="1" applyBorder="1" applyAlignment="1">
      <alignment horizontal="center" vertical="center" wrapText="1" shrinkToFit="1"/>
    </xf>
    <xf numFmtId="0" fontId="1" fillId="0" borderId="5" xfId="0" applyFont="1" applyFill="1" applyBorder="1" applyAlignment="1">
      <alignment horizontal="center" vertical="center" shrinkToFit="1"/>
    </xf>
    <xf numFmtId="177" fontId="1" fillId="0" borderId="5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shrinkToFit="1"/>
    </xf>
    <xf numFmtId="177" fontId="1" fillId="0" borderId="6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76" fontId="1" fillId="0" borderId="7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 shrinkToFit="1"/>
    </xf>
    <xf numFmtId="49" fontId="1" fillId="0" borderId="7" xfId="0" applyNumberFormat="1" applyFont="1" applyFill="1" applyBorder="1" applyAlignment="1">
      <alignment horizontal="center" vertical="center" shrinkToFit="1"/>
    </xf>
    <xf numFmtId="0" fontId="1" fillId="0" borderId="7" xfId="0" applyNumberFormat="1" applyFont="1" applyFill="1" applyBorder="1" applyAlignment="1">
      <alignment horizontal="center" vertical="center" shrinkToFit="1"/>
    </xf>
    <xf numFmtId="0" fontId="1" fillId="0" borderId="7" xfId="0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wrapText="1" shrinkToFit="1"/>
    </xf>
    <xf numFmtId="177" fontId="1" fillId="4" borderId="4" xfId="0" applyNumberFormat="1" applyFont="1" applyFill="1" applyBorder="1" applyAlignment="1">
      <alignment horizontal="center" vertical="center"/>
    </xf>
    <xf numFmtId="180" fontId="1" fillId="0" borderId="4" xfId="0" applyNumberFormat="1" applyFont="1" applyFill="1" applyBorder="1" applyAlignment="1">
      <alignment horizontal="center" vertical="center"/>
    </xf>
    <xf numFmtId="180" fontId="1" fillId="0" borderId="4" xfId="0" applyNumberFormat="1" applyFont="1" applyFill="1" applyBorder="1" applyAlignment="1">
      <alignment horizontal="center" vertical="center" shrinkToFit="1"/>
    </xf>
    <xf numFmtId="181" fontId="1" fillId="0" borderId="0" xfId="0" applyNumberFormat="1" applyFont="1" applyFill="1" applyAlignment="1">
      <alignment horizontal="center" vertical="center"/>
    </xf>
    <xf numFmtId="0" fontId="7" fillId="0" borderId="8" xfId="0" applyFont="1" applyBorder="1" applyAlignment="1">
      <alignment horizontal="center" vertical="center" wrapText="1" shrinkToFit="1"/>
    </xf>
    <xf numFmtId="180" fontId="1" fillId="0" borderId="5" xfId="0" applyNumberFormat="1" applyFont="1" applyFill="1" applyBorder="1" applyAlignment="1">
      <alignment horizontal="center" vertical="center"/>
    </xf>
    <xf numFmtId="180" fontId="1" fillId="0" borderId="5" xfId="0" applyNumberFormat="1" applyFont="1" applyFill="1" applyBorder="1" applyAlignment="1">
      <alignment horizontal="center" vertical="center" shrinkToFit="1"/>
    </xf>
    <xf numFmtId="180" fontId="1" fillId="0" borderId="6" xfId="0" applyNumberFormat="1" applyFont="1" applyFill="1" applyBorder="1" applyAlignment="1">
      <alignment horizontal="center" vertical="center"/>
    </xf>
    <xf numFmtId="180" fontId="1" fillId="0" borderId="6" xfId="0" applyNumberFormat="1" applyFont="1" applyFill="1" applyBorder="1" applyAlignment="1">
      <alignment horizontal="center" vertical="center" shrinkToFit="1"/>
    </xf>
    <xf numFmtId="180" fontId="1" fillId="0" borderId="7" xfId="0" applyNumberFormat="1" applyFont="1" applyFill="1" applyBorder="1" applyAlignment="1">
      <alignment horizontal="center" vertical="center"/>
    </xf>
    <xf numFmtId="180" fontId="1" fillId="0" borderId="7" xfId="0" applyNumberFormat="1" applyFont="1" applyFill="1" applyBorder="1" applyAlignment="1">
      <alignment horizontal="center" vertical="center" shrinkToFit="1"/>
    </xf>
    <xf numFmtId="180" fontId="1" fillId="3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 shrinkToFit="1"/>
    </xf>
    <xf numFmtId="178" fontId="1" fillId="0" borderId="4" xfId="0" applyNumberFormat="1" applyFont="1" applyFill="1" applyBorder="1" applyAlignment="1">
      <alignment horizontal="center" vertical="center" wrapText="1" shrinkToFi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wrapText="1" shrinkToFit="1"/>
    </xf>
    <xf numFmtId="177" fontId="1" fillId="0" borderId="7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 shrinkToFit="1"/>
    </xf>
    <xf numFmtId="177" fontId="1" fillId="0" borderId="7" xfId="0" applyNumberFormat="1" applyFont="1" applyBorder="1" applyAlignment="1">
      <alignment vertical="center" shrinkToFit="1"/>
    </xf>
    <xf numFmtId="177" fontId="1" fillId="0" borderId="5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 wrapText="1"/>
    </xf>
    <xf numFmtId="177" fontId="1" fillId="0" borderId="7" xfId="0" applyNumberFormat="1" applyFont="1" applyBorder="1" applyAlignment="1">
      <alignment horizontal="center" vertical="center" wrapText="1"/>
    </xf>
    <xf numFmtId="177" fontId="1" fillId="3" borderId="5" xfId="0" applyNumberFormat="1" applyFont="1" applyFill="1" applyBorder="1" applyAlignment="1">
      <alignment horizontal="center" vertical="center" wrapText="1"/>
    </xf>
    <xf numFmtId="177" fontId="1" fillId="3" borderId="6" xfId="0" applyNumberFormat="1" applyFont="1" applyFill="1" applyBorder="1" applyAlignment="1">
      <alignment horizontal="center" vertical="center" wrapText="1"/>
    </xf>
    <xf numFmtId="177" fontId="1" fillId="3" borderId="7" xfId="0" applyNumberFormat="1" applyFont="1" applyFill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wrapText="1" shrinkToFit="1"/>
    </xf>
    <xf numFmtId="177" fontId="1" fillId="0" borderId="6" xfId="0" applyNumberFormat="1" applyFont="1" applyBorder="1" applyAlignment="1">
      <alignment horizontal="center" vertical="center" wrapText="1" shrinkToFit="1"/>
    </xf>
    <xf numFmtId="177" fontId="1" fillId="0" borderId="7" xfId="0" applyNumberFormat="1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 shrinkToFit="1"/>
    </xf>
    <xf numFmtId="0" fontId="1" fillId="0" borderId="4" xfId="0" applyFont="1" applyBorder="1" applyAlignment="1" quotePrefix="1">
      <alignment horizontal="center" vertical="center" shrinkToFit="1"/>
    </xf>
    <xf numFmtId="0" fontId="1" fillId="0" borderId="4" xfId="0" applyFont="1" applyFill="1" applyBorder="1" applyAlignment="1" quotePrefix="1">
      <alignment horizontal="center" vertical="center" shrinkToFit="1"/>
    </xf>
    <xf numFmtId="0" fontId="1" fillId="0" borderId="4" xfId="0" applyNumberFormat="1" applyFont="1" applyFill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24180;&#21457;&#36135;&#33267;&#19996;&#33694;&#35760;&#24405;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24180;&#21457;&#36135;&#35745;&#210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362;&#26524;&#20113;\&#21508;&#31867;&#25253;&#34920;\&#20849;&#20139;&#36164;&#26009;\&#21457;&#36135;&#35760;&#24405;\2026&#24180;&#21457;&#36135;&#35745;&#21010;.2026061518565644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AppData\Roaming\Kingsoft\office6\backup\2026&#24180;&#21457;&#36135;&#35745;&#21010;.20260615185656442.202606181611193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AppData\Roaming\kingsoft\office6\backup\[&#21482;&#35835;]2026&#24180;%20&#21487;&#22270;&#38597;&#28192;&#21439;&#32929;&#20221;&#26377;&#38480;&#20844;&#21496;SDE&#35746;&#21333;&#20998;&#31867;&#25490;&#26399;&#27719;&#24635;&#65288;06-06&#26356;&#26032;&#65289;.xlsx.CA793612656547875927A2715C2F3CDE.20260613175858672.et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2026&#24180;&#21457;&#36135;&#35745;&#21010;.2026082616140752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装箱单"/>
      <sheetName val="计划"/>
      <sheetName val="实发车"/>
      <sheetName val="塑胶半成品"/>
      <sheetName val="4-25的搪胶鸭子欠数"/>
      <sheetName val="33410"/>
      <sheetName val="2025年底余数出货"/>
      <sheetName val="Sheet2"/>
      <sheetName val="120款搪胶货"/>
      <sheetName val="Sheet1"/>
    </sheetNames>
    <sheetDataSet>
      <sheetData sheetId="0">
        <row r="1">
          <cell r="A1" t="str">
            <v>WM Item#</v>
          </cell>
          <cell r="B1" t="str">
            <v>Description</v>
          </cell>
        </row>
        <row r="1">
          <cell r="D1" t="str">
            <v>Qty/Ctn</v>
          </cell>
          <cell r="E1" t="str">
            <v>Measurement/ctn 
(L/W/H ) (cm)</v>
          </cell>
        </row>
        <row r="1">
          <cell r="H1" t="str">
            <v>NW/CTN</v>
          </cell>
          <cell r="I1" t="str">
            <v>GW/CTN</v>
          </cell>
          <cell r="J1" t="str">
            <v>CBM/CTN</v>
          </cell>
        </row>
        <row r="2">
          <cell r="A2">
            <v>320398</v>
          </cell>
          <cell r="B2" t="str">
            <v>HONEY BEE ACRES BUNNY FAMILY 4-PACK</v>
          </cell>
          <cell r="C2" t="str">
            <v>兔子家族</v>
          </cell>
          <cell r="D2">
            <v>4</v>
          </cell>
          <cell r="E2">
            <v>24.5</v>
          </cell>
          <cell r="F2">
            <v>21</v>
          </cell>
          <cell r="G2">
            <v>20</v>
          </cell>
          <cell r="H2">
            <v>0.52</v>
          </cell>
          <cell r="I2">
            <v>0.71</v>
          </cell>
          <cell r="J2">
            <v>0.01029</v>
          </cell>
        </row>
        <row r="3">
          <cell r="A3" t="str">
            <v>320398-X</v>
          </cell>
          <cell r="B3" t="str">
            <v>HONEY BEE ACRES BUNNY FAMILY 4-PACK</v>
          </cell>
          <cell r="C3" t="str">
            <v>兔子家族</v>
          </cell>
          <cell r="D3">
            <v>4</v>
          </cell>
          <cell r="E3">
            <v>24.5</v>
          </cell>
          <cell r="F3">
            <v>21</v>
          </cell>
          <cell r="G3">
            <v>20</v>
          </cell>
          <cell r="H3">
            <v>0.52</v>
          </cell>
          <cell r="I3">
            <v>0.71</v>
          </cell>
          <cell r="J3">
            <v>0.01029</v>
          </cell>
        </row>
        <row r="4">
          <cell r="A4">
            <v>320399</v>
          </cell>
          <cell r="B4" t="str">
            <v>HONEY BEE ACRES CAT FAMILY 4-PACK</v>
          </cell>
          <cell r="C4" t="str">
            <v>猫家族</v>
          </cell>
          <cell r="D4">
            <v>4</v>
          </cell>
          <cell r="E4">
            <v>24.5</v>
          </cell>
          <cell r="F4">
            <v>21</v>
          </cell>
          <cell r="G4">
            <v>20</v>
          </cell>
          <cell r="H4">
            <v>0.5</v>
          </cell>
          <cell r="I4">
            <v>0.68</v>
          </cell>
          <cell r="J4">
            <v>0.01029</v>
          </cell>
        </row>
        <row r="5">
          <cell r="A5" t="str">
            <v>320399-X</v>
          </cell>
          <cell r="B5" t="str">
            <v>HONEY BEE ACRES CAT FAMILY 4-PACK</v>
          </cell>
          <cell r="C5" t="str">
            <v>猫家族</v>
          </cell>
          <cell r="D5">
            <v>4</v>
          </cell>
          <cell r="E5">
            <v>24.5</v>
          </cell>
          <cell r="F5">
            <v>21</v>
          </cell>
          <cell r="G5">
            <v>20</v>
          </cell>
          <cell r="H5">
            <v>0.5</v>
          </cell>
          <cell r="I5">
            <v>0.68</v>
          </cell>
          <cell r="J5">
            <v>0.01029</v>
          </cell>
        </row>
        <row r="6">
          <cell r="A6">
            <v>320400</v>
          </cell>
          <cell r="B6" t="str">
            <v>HONEY BEE ACRES BEAR FAMILY 4-PACK</v>
          </cell>
          <cell r="C6" t="str">
            <v>熊家族</v>
          </cell>
          <cell r="D6">
            <v>4</v>
          </cell>
          <cell r="E6">
            <v>24.5</v>
          </cell>
          <cell r="F6">
            <v>21</v>
          </cell>
          <cell r="G6">
            <v>20</v>
          </cell>
          <cell r="H6">
            <v>0.47</v>
          </cell>
          <cell r="I6">
            <v>0.68</v>
          </cell>
          <cell r="J6">
            <v>0.01029</v>
          </cell>
        </row>
        <row r="7">
          <cell r="A7" t="str">
            <v>320400-X</v>
          </cell>
          <cell r="B7" t="str">
            <v>HONEY BEE ACRES BEAR FAMILY 4-PACK</v>
          </cell>
          <cell r="C7" t="str">
            <v>熊家族</v>
          </cell>
          <cell r="D7">
            <v>4</v>
          </cell>
          <cell r="E7">
            <v>24.5</v>
          </cell>
          <cell r="F7">
            <v>21</v>
          </cell>
          <cell r="G7">
            <v>20</v>
          </cell>
          <cell r="H7">
            <v>0.47</v>
          </cell>
          <cell r="I7">
            <v>0.68</v>
          </cell>
          <cell r="J7">
            <v>0.01029</v>
          </cell>
        </row>
        <row r="8">
          <cell r="A8">
            <v>320401</v>
          </cell>
          <cell r="B8" t="str">
            <v>HONEY BEE ACRES DOG FAMILY 4-PACK</v>
          </cell>
          <cell r="C8" t="str">
            <v>狗家族</v>
          </cell>
          <cell r="D8">
            <v>4</v>
          </cell>
          <cell r="E8">
            <v>24.5</v>
          </cell>
          <cell r="F8">
            <v>21</v>
          </cell>
          <cell r="G8">
            <v>20</v>
          </cell>
          <cell r="H8">
            <v>0.51</v>
          </cell>
          <cell r="I8">
            <v>0.71</v>
          </cell>
          <cell r="J8">
            <v>0.01029</v>
          </cell>
        </row>
        <row r="9">
          <cell r="A9" t="str">
            <v>320401-X</v>
          </cell>
          <cell r="B9" t="str">
            <v>HONEY BEE ACRES DOG FAMILY 4-PACK</v>
          </cell>
          <cell r="C9" t="str">
            <v>狗家族</v>
          </cell>
          <cell r="D9">
            <v>4</v>
          </cell>
          <cell r="E9">
            <v>24.5</v>
          </cell>
          <cell r="F9">
            <v>21</v>
          </cell>
          <cell r="G9">
            <v>20</v>
          </cell>
          <cell r="H9">
            <v>0.51</v>
          </cell>
          <cell r="I9">
            <v>0.71</v>
          </cell>
          <cell r="J9">
            <v>0.01029</v>
          </cell>
        </row>
        <row r="10">
          <cell r="A10">
            <v>320918</v>
          </cell>
          <cell r="B10" t="str">
            <v>HONEY BEE ACRES DOG FAMILY 4-PACK</v>
          </cell>
          <cell r="C10" t="str">
            <v>狗家族</v>
          </cell>
          <cell r="D10">
            <v>4</v>
          </cell>
          <cell r="E10">
            <v>24.5</v>
          </cell>
          <cell r="F10">
            <v>21</v>
          </cell>
          <cell r="G10">
            <v>20</v>
          </cell>
          <cell r="H10">
            <v>0.51</v>
          </cell>
          <cell r="I10">
            <v>0.71</v>
          </cell>
          <cell r="J10">
            <v>0.01029</v>
          </cell>
        </row>
        <row r="11">
          <cell r="A11">
            <v>320735</v>
          </cell>
        </row>
        <row r="11">
          <cell r="C11" t="str">
            <v>混装</v>
          </cell>
          <cell r="D11">
            <v>4</v>
          </cell>
          <cell r="E11">
            <v>24.5</v>
          </cell>
          <cell r="F11">
            <v>21</v>
          </cell>
          <cell r="G11">
            <v>20</v>
          </cell>
          <cell r="H11">
            <v>0.51</v>
          </cell>
          <cell r="I11">
            <v>0.71</v>
          </cell>
          <cell r="J11">
            <v>0.01029</v>
          </cell>
        </row>
        <row r="12">
          <cell r="A12">
            <v>320403</v>
          </cell>
          <cell r="B12" t="str">
            <v>HONEY BEE ACRES ASSORTED CHARACTERS</v>
          </cell>
          <cell r="C12" t="str">
            <v>各种角色公仔组合</v>
          </cell>
          <cell r="D12">
            <v>16</v>
          </cell>
          <cell r="E12">
            <v>22</v>
          </cell>
          <cell r="F12">
            <v>17</v>
          </cell>
          <cell r="G12">
            <v>20.5</v>
          </cell>
          <cell r="H12">
            <v>0.75</v>
          </cell>
          <cell r="I12">
            <v>0.93</v>
          </cell>
          <cell r="J12">
            <v>0.007667</v>
          </cell>
        </row>
        <row r="13">
          <cell r="A13" t="str">
            <v>320403-X</v>
          </cell>
          <cell r="B13" t="str">
            <v>HONEY BEE ACRES ASSORTED CHARACTERS</v>
          </cell>
          <cell r="C13" t="str">
            <v>各种角色公仔组合</v>
          </cell>
          <cell r="D13">
            <v>16</v>
          </cell>
          <cell r="E13">
            <v>22</v>
          </cell>
          <cell r="F13">
            <v>17</v>
          </cell>
          <cell r="G13">
            <v>20.5</v>
          </cell>
          <cell r="H13">
            <v>0.75</v>
          </cell>
          <cell r="I13">
            <v>0.93</v>
          </cell>
          <cell r="J13">
            <v>0.007667</v>
          </cell>
        </row>
        <row r="14">
          <cell r="A14">
            <v>320402</v>
          </cell>
          <cell r="B14" t="str">
            <v>HONEY BEE ACRES PLAYGROUND PALS</v>
          </cell>
          <cell r="C14" t="str">
            <v>游乐场伙伴</v>
          </cell>
          <cell r="D14">
            <v>4</v>
          </cell>
          <cell r="E14">
            <v>31.5</v>
          </cell>
          <cell r="F14">
            <v>25</v>
          </cell>
          <cell r="G14">
            <v>20.5</v>
          </cell>
          <cell r="H14">
            <v>0.84</v>
          </cell>
          <cell r="I14">
            <v>1.11</v>
          </cell>
          <cell r="J14">
            <v>0.01614375</v>
          </cell>
        </row>
        <row r="15">
          <cell r="A15" t="str">
            <v>320402-X</v>
          </cell>
          <cell r="B15" t="str">
            <v>HONEY BEE ACRES PLAYGROUND PALS</v>
          </cell>
          <cell r="C15" t="str">
            <v>游乐场伙伴</v>
          </cell>
          <cell r="D15">
            <v>4</v>
          </cell>
          <cell r="E15">
            <v>31.5</v>
          </cell>
          <cell r="F15">
            <v>25</v>
          </cell>
          <cell r="G15">
            <v>20.5</v>
          </cell>
          <cell r="H15">
            <v>0.84</v>
          </cell>
          <cell r="I15">
            <v>1.11</v>
          </cell>
          <cell r="J15">
            <v>0.01614375</v>
          </cell>
        </row>
        <row r="16">
          <cell r="A16">
            <v>320404</v>
          </cell>
          <cell r="B16" t="str">
            <v>HONEY BEE ACRES AROUND TOWN VAN</v>
          </cell>
          <cell r="C16" t="str">
            <v>城镇货车</v>
          </cell>
          <cell r="D16">
            <v>2</v>
          </cell>
          <cell r="E16">
            <v>31</v>
          </cell>
          <cell r="F16">
            <v>29.5</v>
          </cell>
          <cell r="G16">
            <v>20</v>
          </cell>
          <cell r="H16">
            <v>1.11</v>
          </cell>
          <cell r="I16">
            <v>1.43</v>
          </cell>
          <cell r="J16">
            <v>0.01829</v>
          </cell>
        </row>
        <row r="17">
          <cell r="A17">
            <v>320405</v>
          </cell>
          <cell r="B17" t="str">
            <v>HONEY BEE ACRES LIVING ROOM DECOR ACCESSORIES</v>
          </cell>
          <cell r="C17" t="str">
            <v>客厅装饰</v>
          </cell>
          <cell r="D17">
            <v>3</v>
          </cell>
          <cell r="E17">
            <v>31.5</v>
          </cell>
          <cell r="F17">
            <v>27</v>
          </cell>
          <cell r="G17">
            <v>20</v>
          </cell>
          <cell r="H17">
            <v>1.5</v>
          </cell>
          <cell r="I17">
            <v>1.83</v>
          </cell>
          <cell r="J17">
            <v>0.01701</v>
          </cell>
        </row>
        <row r="18">
          <cell r="A18" t="str">
            <v>320405-X</v>
          </cell>
          <cell r="B18" t="str">
            <v>HONEY BEE ACRES LIVING ROOM DECOR ACCESSORIES</v>
          </cell>
          <cell r="C18" t="str">
            <v>客厅装饰</v>
          </cell>
          <cell r="D18">
            <v>3</v>
          </cell>
          <cell r="E18">
            <v>31.5</v>
          </cell>
          <cell r="F18">
            <v>27</v>
          </cell>
          <cell r="G18">
            <v>20</v>
          </cell>
          <cell r="H18">
            <v>1.5</v>
          </cell>
          <cell r="I18">
            <v>1.83</v>
          </cell>
          <cell r="J18">
            <v>0.01701</v>
          </cell>
        </row>
        <row r="19">
          <cell r="A19">
            <v>320406</v>
          </cell>
          <cell r="B19" t="str">
            <v>HONEY BEE ACRES KITCHEN DECOR ACCESSORIES</v>
          </cell>
          <cell r="C19" t="str">
            <v>厨房装饰</v>
          </cell>
          <cell r="D19">
            <v>3</v>
          </cell>
          <cell r="E19">
            <v>31</v>
          </cell>
          <cell r="F19">
            <v>26.5</v>
          </cell>
          <cell r="G19">
            <v>20.5</v>
          </cell>
          <cell r="H19">
            <v>0.79</v>
          </cell>
          <cell r="I19">
            <v>1.07</v>
          </cell>
          <cell r="J19">
            <v>0.01684075</v>
          </cell>
        </row>
        <row r="20">
          <cell r="A20" t="str">
            <v>320406-X</v>
          </cell>
          <cell r="B20" t="str">
            <v>HONEY BEE ACRES KITCHEN DECOR ACCESSORIES</v>
          </cell>
          <cell r="C20" t="str">
            <v>厨房装饰</v>
          </cell>
          <cell r="D20">
            <v>3</v>
          </cell>
          <cell r="E20">
            <v>31</v>
          </cell>
          <cell r="F20">
            <v>26.5</v>
          </cell>
          <cell r="G20">
            <v>20.5</v>
          </cell>
          <cell r="H20">
            <v>0.79</v>
          </cell>
          <cell r="I20">
            <v>1.07</v>
          </cell>
          <cell r="J20">
            <v>0.01684075</v>
          </cell>
        </row>
        <row r="21">
          <cell r="A21">
            <v>320407</v>
          </cell>
          <cell r="B21" t="str">
            <v>HONEY BEE ACRES BATHROOM DECOR ACCESSORIES</v>
          </cell>
          <cell r="C21" t="str">
            <v>浴室装饰</v>
          </cell>
          <cell r="D21">
            <v>3</v>
          </cell>
          <cell r="E21">
            <v>31</v>
          </cell>
          <cell r="F21">
            <v>27</v>
          </cell>
          <cell r="G21">
            <v>20</v>
          </cell>
          <cell r="H21">
            <v>0.93</v>
          </cell>
          <cell r="I21">
            <v>1.21</v>
          </cell>
          <cell r="J21">
            <v>0.01674</v>
          </cell>
        </row>
        <row r="22">
          <cell r="A22" t="str">
            <v>320407-X</v>
          </cell>
          <cell r="B22" t="str">
            <v>HONEY BEE ACRES BATHROOM DECOR ACCESSORIES</v>
          </cell>
          <cell r="C22" t="str">
            <v>浴室装饰</v>
          </cell>
          <cell r="D22">
            <v>3</v>
          </cell>
          <cell r="E22">
            <v>31</v>
          </cell>
          <cell r="F22">
            <v>27</v>
          </cell>
          <cell r="G22">
            <v>20</v>
          </cell>
          <cell r="H22">
            <v>0.93</v>
          </cell>
          <cell r="I22">
            <v>1.21</v>
          </cell>
          <cell r="J22">
            <v>0.01674</v>
          </cell>
        </row>
        <row r="23">
          <cell r="A23">
            <v>320408</v>
          </cell>
          <cell r="B23" t="str">
            <v>HONEY BEE ACRES GENERAL STORE with Adult Figure</v>
          </cell>
          <cell r="C23" t="str">
            <v>普通商店</v>
          </cell>
          <cell r="D23">
            <v>2</v>
          </cell>
          <cell r="E23">
            <v>41.91</v>
          </cell>
          <cell r="F23">
            <v>31.75</v>
          </cell>
          <cell r="G23">
            <v>21.59</v>
          </cell>
          <cell r="H23">
            <v>1.97</v>
          </cell>
          <cell r="I23">
            <v>2.43</v>
          </cell>
          <cell r="J23">
            <v>0.028728571575</v>
          </cell>
        </row>
        <row r="24">
          <cell r="A24" t="str">
            <v>320408-X</v>
          </cell>
          <cell r="B24" t="str">
            <v>HONEY BEE ACRES GENERAL STORE with Adult Figure</v>
          </cell>
          <cell r="C24" t="str">
            <v>普通商店</v>
          </cell>
          <cell r="D24">
            <v>2</v>
          </cell>
          <cell r="E24">
            <v>39.5</v>
          </cell>
          <cell r="F24">
            <v>30</v>
          </cell>
          <cell r="G24">
            <v>21.5</v>
          </cell>
          <cell r="H24">
            <v>1.97</v>
          </cell>
          <cell r="I24">
            <v>2.43</v>
          </cell>
          <cell r="J24">
            <v>0.0254775</v>
          </cell>
        </row>
        <row r="25">
          <cell r="A25">
            <v>320409</v>
          </cell>
          <cell r="B25" t="str">
            <v>HONEY BEE ACRES SUNFLOWER COUNTRY COTTAGE with Adult Figure</v>
          </cell>
          <cell r="C25" t="str">
            <v>向日葵家</v>
          </cell>
          <cell r="D25">
            <v>2</v>
          </cell>
          <cell r="E25">
            <v>43</v>
          </cell>
          <cell r="F25">
            <v>32.5</v>
          </cell>
          <cell r="G25">
            <v>30.5</v>
          </cell>
          <cell r="H25">
            <v>2.34</v>
          </cell>
          <cell r="I25">
            <v>3</v>
          </cell>
          <cell r="J25">
            <v>0.04262375</v>
          </cell>
        </row>
        <row r="26">
          <cell r="A26">
            <v>320410</v>
          </cell>
          <cell r="B26" t="str">
            <v>HONEY BEE ACRES BUZZBY FARM HOUSE  with 2 FIGURES (Adult &amp;Child)</v>
          </cell>
          <cell r="C26" t="str">
            <v>巴比斯农舍</v>
          </cell>
          <cell r="D26">
            <v>1</v>
          </cell>
          <cell r="E26">
            <v>62</v>
          </cell>
          <cell r="F26">
            <v>25</v>
          </cell>
          <cell r="G26">
            <v>40.5</v>
          </cell>
          <cell r="H26">
            <v>4.9</v>
          </cell>
          <cell r="I26">
            <v>5.56</v>
          </cell>
          <cell r="J26">
            <v>0.062775</v>
          </cell>
        </row>
        <row r="27">
          <cell r="A27">
            <v>470191</v>
          </cell>
          <cell r="B27" t="str">
            <v>HONEY BEE ACRES BUZZBY FARM HOUSE  with 2 FIGURES (Adult &amp;Child)</v>
          </cell>
          <cell r="C27" t="str">
            <v>巴比斯农舍</v>
          </cell>
          <cell r="D27">
            <v>1</v>
          </cell>
          <cell r="E27">
            <v>62</v>
          </cell>
          <cell r="F27">
            <v>25</v>
          </cell>
          <cell r="G27">
            <v>40.5</v>
          </cell>
          <cell r="H27">
            <v>4.9</v>
          </cell>
          <cell r="I27">
            <v>5.56</v>
          </cell>
          <cell r="J27">
            <v>0.062775</v>
          </cell>
        </row>
        <row r="28">
          <cell r="A28">
            <v>320626</v>
          </cell>
          <cell r="B28" t="str">
            <v>HONEY BEE ACRES RAINBOW RIDGE BABIES with ACCESSOR</v>
          </cell>
          <cell r="C28" t="str">
            <v>彩虹岭婴儿与配件系列</v>
          </cell>
          <cell r="D28">
            <v>16</v>
          </cell>
          <cell r="E28">
            <v>21</v>
          </cell>
          <cell r="F28">
            <v>17</v>
          </cell>
          <cell r="G28">
            <v>20</v>
          </cell>
          <cell r="H28">
            <v>0.74</v>
          </cell>
          <cell r="I28">
            <v>0.9</v>
          </cell>
          <cell r="J28">
            <v>0.00714</v>
          </cell>
        </row>
        <row r="29">
          <cell r="A29">
            <v>320627</v>
          </cell>
          <cell r="B29" t="str">
            <v>HONEY BEE ACRES PAINT and COLOR ART FUN</v>
          </cell>
          <cell r="C29" t="str">
            <v>画画装扮</v>
          </cell>
          <cell r="D29">
            <v>4</v>
          </cell>
          <cell r="E29">
            <v>25.5</v>
          </cell>
          <cell r="F29">
            <v>17.5</v>
          </cell>
          <cell r="G29">
            <v>20</v>
          </cell>
          <cell r="H29">
            <v>0.34</v>
          </cell>
          <cell r="I29">
            <v>0.52</v>
          </cell>
          <cell r="J29">
            <v>0.008925</v>
          </cell>
        </row>
        <row r="30">
          <cell r="A30">
            <v>320629</v>
          </cell>
          <cell r="B30" t="str">
            <v>HONEY BEE ACRES PAINT and COLOR ART FUN</v>
          </cell>
          <cell r="C30" t="str">
            <v>画画装扮</v>
          </cell>
          <cell r="D30">
            <v>4</v>
          </cell>
          <cell r="E30">
            <v>33</v>
          </cell>
          <cell r="F30">
            <v>20</v>
          </cell>
          <cell r="G30">
            <v>20</v>
          </cell>
          <cell r="H30">
            <v>0.34</v>
          </cell>
          <cell r="I30">
            <v>0.52</v>
          </cell>
          <cell r="J30">
            <v>0.0132</v>
          </cell>
        </row>
        <row r="31">
          <cell r="A31">
            <v>320785</v>
          </cell>
          <cell r="B31" t="str">
            <v>HONEY BEE ACRES PAINT and COLOR ART FUN</v>
          </cell>
          <cell r="C31" t="str">
            <v>画画装扮</v>
          </cell>
          <cell r="D31">
            <v>4</v>
          </cell>
          <cell r="E31">
            <v>25.5</v>
          </cell>
          <cell r="F31">
            <v>17.5</v>
          </cell>
          <cell r="G31">
            <v>20</v>
          </cell>
          <cell r="H31">
            <v>0.34</v>
          </cell>
          <cell r="I31">
            <v>0.52</v>
          </cell>
          <cell r="J31">
            <v>0.008925</v>
          </cell>
        </row>
        <row r="32">
          <cell r="A32">
            <v>320630</v>
          </cell>
          <cell r="B32" t="str">
            <v>HONEY BEE ACRES CLOVERBERRIES COW FAMILY</v>
          </cell>
          <cell r="C32" t="str">
            <v>牛家族</v>
          </cell>
          <cell r="D32">
            <v>4</v>
          </cell>
          <cell r="E32">
            <v>25</v>
          </cell>
          <cell r="F32">
            <v>20.5</v>
          </cell>
          <cell r="G32">
            <v>20</v>
          </cell>
          <cell r="H32">
            <v>0.46</v>
          </cell>
          <cell r="I32">
            <v>0.67</v>
          </cell>
          <cell r="J32">
            <v>0.01025</v>
          </cell>
        </row>
        <row r="33">
          <cell r="A33">
            <v>320631</v>
          </cell>
          <cell r="B33" t="str">
            <v>HONEY BEE ACRES CHEDDARS MOUSE FAMILY</v>
          </cell>
          <cell r="C33" t="str">
            <v>老鼠家族</v>
          </cell>
          <cell r="D33">
            <v>4</v>
          </cell>
          <cell r="E33">
            <v>25.5</v>
          </cell>
          <cell r="F33">
            <v>21</v>
          </cell>
          <cell r="G33">
            <v>20</v>
          </cell>
          <cell r="H33">
            <v>0.47</v>
          </cell>
          <cell r="I33">
            <v>0.7</v>
          </cell>
          <cell r="J33">
            <v>0.01071</v>
          </cell>
        </row>
        <row r="34">
          <cell r="A34">
            <v>320632</v>
          </cell>
          <cell r="B34" t="str">
            <v>HONEY BEE ACRES BACK to SCHOOL PALS - 8 
STYLES</v>
          </cell>
          <cell r="C34" t="str">
            <v>学校队友</v>
          </cell>
          <cell r="D34">
            <v>4</v>
          </cell>
          <cell r="E34">
            <v>31.5</v>
          </cell>
          <cell r="F34">
            <v>25</v>
          </cell>
          <cell r="G34">
            <v>20</v>
          </cell>
          <cell r="H34">
            <v>0.83</v>
          </cell>
          <cell r="I34">
            <v>1.09</v>
          </cell>
          <cell r="J34">
            <v>0.01575</v>
          </cell>
        </row>
        <row r="35">
          <cell r="A35">
            <v>320634</v>
          </cell>
          <cell r="B35" t="str">
            <v>HONEY BEE ACRES RAINBOW RIDGE - 9 STYLES</v>
          </cell>
          <cell r="C35" t="str">
            <v>彩虹岭伙伴</v>
          </cell>
          <cell r="D35">
            <v>4</v>
          </cell>
          <cell r="E35">
            <v>31.5</v>
          </cell>
          <cell r="F35">
            <v>25</v>
          </cell>
          <cell r="G35">
            <v>20</v>
          </cell>
          <cell r="H35">
            <v>0.82</v>
          </cell>
          <cell r="I35">
            <v>1.08</v>
          </cell>
          <cell r="J35">
            <v>0.01575</v>
          </cell>
        </row>
        <row r="36">
          <cell r="A36">
            <v>320637</v>
          </cell>
          <cell r="B36" t="str">
            <v>HONEY BEE ACRES DAYDREAMERS UNICORN FAMILY</v>
          </cell>
          <cell r="C36" t="str">
            <v>独角兽家族</v>
          </cell>
          <cell r="D36">
            <v>4</v>
          </cell>
          <cell r="E36">
            <v>25.5</v>
          </cell>
          <cell r="F36">
            <v>21</v>
          </cell>
          <cell r="G36">
            <v>20</v>
          </cell>
          <cell r="H36">
            <v>0.5</v>
          </cell>
          <cell r="I36">
            <v>0.7</v>
          </cell>
          <cell r="J36">
            <v>0.01071</v>
          </cell>
        </row>
        <row r="37">
          <cell r="A37">
            <v>320638</v>
          </cell>
          <cell r="B37" t="str">
            <v>HONEY BEE ACRES SWEET DREAMS PAJAMA 
PARTY</v>
          </cell>
          <cell r="C37" t="str">
            <v>露营派对装扮</v>
          </cell>
          <cell r="D37">
            <v>4</v>
          </cell>
          <cell r="E37">
            <v>25.5</v>
          </cell>
          <cell r="F37">
            <v>17.5</v>
          </cell>
          <cell r="G37">
            <v>20.5</v>
          </cell>
          <cell r="H37">
            <v>0.62</v>
          </cell>
          <cell r="I37">
            <v>0.8</v>
          </cell>
          <cell r="J37">
            <v>0.009148125</v>
          </cell>
        </row>
        <row r="38">
          <cell r="A38">
            <v>470195</v>
          </cell>
          <cell r="B38" t="str">
            <v>HONEY BEE ACRES SWEET DREAMS PAJAMA 
PARTY</v>
          </cell>
          <cell r="C38" t="str">
            <v>花园</v>
          </cell>
          <cell r="D38">
            <v>4</v>
          </cell>
          <cell r="E38">
            <v>19.05</v>
          </cell>
          <cell r="F38">
            <v>17.145</v>
          </cell>
          <cell r="G38">
            <v>19.05</v>
          </cell>
          <cell r="H38">
            <v>0.62</v>
          </cell>
          <cell r="I38">
            <v>0.8</v>
          </cell>
          <cell r="J38">
            <v>0.0062219633625</v>
          </cell>
        </row>
        <row r="39">
          <cell r="A39">
            <v>320639</v>
          </cell>
          <cell r="B39" t="str">
            <v>HONEY BEE ACRES FLOWER GROOVE VAN WITH CHARACTER</v>
          </cell>
          <cell r="C39" t="str">
            <v>新货车</v>
          </cell>
          <cell r="D39">
            <v>2</v>
          </cell>
          <cell r="E39">
            <v>29.4</v>
          </cell>
          <cell r="F39">
            <v>27.4</v>
          </cell>
          <cell r="G39">
            <v>20.3</v>
          </cell>
          <cell r="H39">
            <v>1.02</v>
          </cell>
          <cell r="I39">
            <v>1.29</v>
          </cell>
          <cell r="J39">
            <v>0.016352868</v>
          </cell>
        </row>
        <row r="40">
          <cell r="A40">
            <v>320640</v>
          </cell>
          <cell r="B40" t="str">
            <v>HONEY BEE ACRES SUNBURST ART STUDIO</v>
          </cell>
          <cell r="C40" t="str">
            <v>彩虹屋</v>
          </cell>
          <cell r="D40">
            <v>1</v>
          </cell>
          <cell r="E40">
            <v>53.5</v>
          </cell>
          <cell r="F40">
            <v>22.5</v>
          </cell>
          <cell r="G40">
            <v>32.5</v>
          </cell>
          <cell r="H40">
            <v>1.73</v>
          </cell>
          <cell r="I40">
            <v>2.2</v>
          </cell>
          <cell r="J40">
            <v>0.039121875</v>
          </cell>
        </row>
        <row r="41">
          <cell r="A41">
            <v>320641</v>
          </cell>
          <cell r="B41" t="str">
            <v>HONEY BEE ACRES CRYSTAL'S ICE CREAM SHOP PLAYSET</v>
          </cell>
          <cell r="C41" t="str">
            <v>冰淇淋屋</v>
          </cell>
          <cell r="D41">
            <v>2</v>
          </cell>
          <cell r="E41">
            <v>43</v>
          </cell>
          <cell r="F41">
            <v>32.5</v>
          </cell>
          <cell r="G41">
            <v>23</v>
          </cell>
          <cell r="H41">
            <v>1.68</v>
          </cell>
          <cell r="I41">
            <v>2.15</v>
          </cell>
          <cell r="J41">
            <v>0.0321425</v>
          </cell>
        </row>
        <row r="42">
          <cell r="A42">
            <v>320916</v>
          </cell>
          <cell r="B42" t="str">
            <v>HONEY BEE ACRES CRYSTAL'S ICE CREAM SHOP PLAYSET</v>
          </cell>
          <cell r="C42" t="str">
            <v>糕屋</v>
          </cell>
          <cell r="D42">
            <v>2</v>
          </cell>
          <cell r="E42">
            <v>38.1</v>
          </cell>
          <cell r="F42">
            <v>30.48</v>
          </cell>
          <cell r="G42">
            <v>22.225</v>
          </cell>
          <cell r="H42">
            <v>1.68</v>
          </cell>
          <cell r="I42">
            <v>2.15</v>
          </cell>
          <cell r="J42">
            <v>0.0258096258</v>
          </cell>
        </row>
        <row r="43">
          <cell r="A43">
            <v>320649</v>
          </cell>
          <cell r="B43" t="str">
            <v>FIDGIE FRIENDS WATERMELOW</v>
          </cell>
          <cell r="C43" t="str">
            <v>西瓜女孩</v>
          </cell>
          <cell r="D43">
            <v>2</v>
          </cell>
          <cell r="E43">
            <v>22.5</v>
          </cell>
          <cell r="F43">
            <v>22.5</v>
          </cell>
          <cell r="G43">
            <v>33</v>
          </cell>
          <cell r="H43">
            <v>0.822</v>
          </cell>
          <cell r="I43">
            <v>1.185</v>
          </cell>
          <cell r="J43">
            <v>0.01670625</v>
          </cell>
        </row>
        <row r="44">
          <cell r="A44">
            <v>320650</v>
          </cell>
          <cell r="B44" t="str">
            <v>FIDGIE FRIENDS BOBA BUBBLES</v>
          </cell>
          <cell r="C44" t="str">
            <v>波巴女孩</v>
          </cell>
          <cell r="D44">
            <v>2</v>
          </cell>
          <cell r="E44">
            <v>22.5</v>
          </cell>
          <cell r="F44">
            <v>22.5</v>
          </cell>
          <cell r="G44">
            <v>33</v>
          </cell>
          <cell r="H44">
            <v>0.957</v>
          </cell>
          <cell r="I44">
            <v>1.32</v>
          </cell>
          <cell r="J44">
            <v>0.01670625</v>
          </cell>
        </row>
        <row r="45">
          <cell r="A45">
            <v>320651</v>
          </cell>
          <cell r="B45" t="str">
            <v>FIDGIE FRIENDS DANDELION WISHES</v>
          </cell>
          <cell r="C45" t="str">
            <v>蒲公英女孩</v>
          </cell>
          <cell r="D45">
            <v>2</v>
          </cell>
          <cell r="E45">
            <v>22.5</v>
          </cell>
          <cell r="F45">
            <v>22.5</v>
          </cell>
          <cell r="G45">
            <v>33</v>
          </cell>
          <cell r="H45">
            <v>1.276</v>
          </cell>
          <cell r="I45">
            <v>1.645</v>
          </cell>
          <cell r="J45">
            <v>0.01670625</v>
          </cell>
        </row>
        <row r="46">
          <cell r="A46">
            <v>320652</v>
          </cell>
          <cell r="B46" t="str">
            <v>FIDGIE FRIENDS UNICORN SPRINKLES</v>
          </cell>
          <cell r="C46" t="str">
            <v>独角女孩</v>
          </cell>
          <cell r="D46">
            <v>2</v>
          </cell>
          <cell r="E46">
            <v>22.5</v>
          </cell>
          <cell r="F46">
            <v>22.5</v>
          </cell>
          <cell r="G46">
            <v>33</v>
          </cell>
          <cell r="H46">
            <v>0.894</v>
          </cell>
          <cell r="I46">
            <v>1.262</v>
          </cell>
          <cell r="J46">
            <v>0.01670625</v>
          </cell>
        </row>
        <row r="47">
          <cell r="A47">
            <v>320839</v>
          </cell>
        </row>
        <row r="47">
          <cell r="C47" t="str">
            <v>面条女孩</v>
          </cell>
          <cell r="D47">
            <v>2</v>
          </cell>
          <cell r="E47">
            <v>22.5</v>
          </cell>
          <cell r="F47">
            <v>22.5</v>
          </cell>
          <cell r="G47">
            <v>33</v>
          </cell>
          <cell r="H47">
            <v>0.894</v>
          </cell>
          <cell r="I47">
            <v>1.262</v>
          </cell>
          <cell r="J47">
            <v>0.01670625</v>
          </cell>
        </row>
        <row r="48">
          <cell r="A48">
            <v>320840</v>
          </cell>
        </row>
        <row r="48">
          <cell r="C48" t="str">
            <v>披萨女孩</v>
          </cell>
          <cell r="D48">
            <v>2</v>
          </cell>
          <cell r="E48">
            <v>22.5</v>
          </cell>
          <cell r="F48">
            <v>22.5</v>
          </cell>
          <cell r="G48">
            <v>33</v>
          </cell>
          <cell r="H48">
            <v>0.894</v>
          </cell>
          <cell r="I48">
            <v>1.262</v>
          </cell>
          <cell r="J48">
            <v>0.01670625</v>
          </cell>
        </row>
        <row r="49">
          <cell r="A49">
            <v>320841</v>
          </cell>
          <cell r="B49" t="str">
            <v>FIDGIE FRIENDS UNICORN SPRINKLES</v>
          </cell>
          <cell r="C49" t="str">
            <v>独角女孩</v>
          </cell>
          <cell r="D49">
            <v>2</v>
          </cell>
          <cell r="E49">
            <v>22.5</v>
          </cell>
          <cell r="F49">
            <v>22.5</v>
          </cell>
          <cell r="G49">
            <v>33</v>
          </cell>
          <cell r="H49">
            <v>0.894</v>
          </cell>
          <cell r="I49">
            <v>1.262</v>
          </cell>
          <cell r="J49">
            <v>0.01670625</v>
          </cell>
        </row>
        <row r="50">
          <cell r="A50">
            <v>320915</v>
          </cell>
          <cell r="B50" t="str">
            <v>HONEY BEE ACRES RAINBOW RIDGE - 9 STYLES</v>
          </cell>
          <cell r="C50" t="str">
            <v>圣装伙伴</v>
          </cell>
          <cell r="D50">
            <v>4</v>
          </cell>
          <cell r="E50">
            <v>31.5</v>
          </cell>
          <cell r="F50">
            <v>25</v>
          </cell>
          <cell r="G50">
            <v>20</v>
          </cell>
          <cell r="H50">
            <v>0.82</v>
          </cell>
          <cell r="I50">
            <v>1.08</v>
          </cell>
          <cell r="J50">
            <v>0.01575</v>
          </cell>
        </row>
        <row r="51">
          <cell r="A51">
            <v>320643</v>
          </cell>
        </row>
        <row r="51">
          <cell r="C51" t="str">
            <v>复活节彩蛋</v>
          </cell>
          <cell r="D51">
            <v>24</v>
          </cell>
          <cell r="E51">
            <v>62.3316</v>
          </cell>
          <cell r="F51">
            <v>37.465</v>
          </cell>
          <cell r="G51">
            <v>14.605</v>
          </cell>
        </row>
        <row r="51">
          <cell r="J51">
            <v>0.03410637581937</v>
          </cell>
        </row>
        <row r="52">
          <cell r="A52">
            <v>320993</v>
          </cell>
        </row>
        <row r="52">
          <cell r="C52" t="str">
            <v>健身房</v>
          </cell>
          <cell r="D52">
            <v>5</v>
          </cell>
          <cell r="E52">
            <v>59.69</v>
          </cell>
          <cell r="F52">
            <v>39.37</v>
          </cell>
          <cell r="G52">
            <v>44.45</v>
          </cell>
        </row>
        <row r="52">
          <cell r="J52">
            <v>0.104457291085</v>
          </cell>
        </row>
        <row r="53">
          <cell r="A53" t="str">
            <v>12369（1）</v>
          </cell>
        </row>
        <row r="53">
          <cell r="C53" t="str">
            <v>摇摆米奇</v>
          </cell>
          <cell r="D53">
            <v>1</v>
          </cell>
          <cell r="E53">
            <v>37.084</v>
          </cell>
          <cell r="F53">
            <v>16.51</v>
          </cell>
          <cell r="G53">
            <v>42.545</v>
          </cell>
        </row>
        <row r="53">
          <cell r="J53">
            <v>0.0260484672578</v>
          </cell>
        </row>
        <row r="54">
          <cell r="A54" t="str">
            <v>12369（2）</v>
          </cell>
        </row>
        <row r="54">
          <cell r="C54" t="str">
            <v>摇摆米奇</v>
          </cell>
          <cell r="D54">
            <v>2</v>
          </cell>
          <cell r="E54">
            <v>37.084</v>
          </cell>
          <cell r="F54">
            <v>31.75</v>
          </cell>
          <cell r="G54">
            <v>42.545</v>
          </cell>
        </row>
        <row r="54">
          <cell r="J54">
            <v>0.050093206265</v>
          </cell>
        </row>
        <row r="55">
          <cell r="A55" t="str">
            <v>12369（3）</v>
          </cell>
        </row>
        <row r="55">
          <cell r="C55" t="str">
            <v>摇摆米奇</v>
          </cell>
          <cell r="D55">
            <v>3</v>
          </cell>
          <cell r="E55">
            <v>48.26</v>
          </cell>
          <cell r="F55">
            <v>36.83</v>
          </cell>
          <cell r="G55">
            <v>42.545</v>
          </cell>
        </row>
        <row r="55">
          <cell r="J55">
            <v>0.075620155211</v>
          </cell>
        </row>
        <row r="56">
          <cell r="A56" t="str">
            <v>12369（4）</v>
          </cell>
          <cell r="B56" t="str">
            <v>纸箱（4个装）</v>
          </cell>
          <cell r="C56" t="str">
            <v>摇摆米奇</v>
          </cell>
          <cell r="D56">
            <v>4</v>
          </cell>
          <cell r="E56">
            <v>64.135</v>
          </cell>
          <cell r="F56">
            <v>36.83</v>
          </cell>
          <cell r="G56">
            <v>42.545</v>
          </cell>
        </row>
        <row r="56">
          <cell r="J56">
            <v>0.10049520626725</v>
          </cell>
        </row>
        <row r="57">
          <cell r="A57" t="str">
            <v>96112（1）</v>
          </cell>
          <cell r="B57" t="str">
            <v>纸箱（1个装有彩盒）</v>
          </cell>
          <cell r="C57" t="str">
            <v>JJ大头娃娃</v>
          </cell>
        </row>
        <row r="57">
          <cell r="E57">
            <v>30</v>
          </cell>
          <cell r="F57">
            <v>28</v>
          </cell>
          <cell r="G57">
            <v>18.5</v>
          </cell>
        </row>
        <row r="57">
          <cell r="J57">
            <v>0.01554</v>
          </cell>
        </row>
        <row r="58">
          <cell r="A58" t="str">
            <v>96112（9）</v>
          </cell>
          <cell r="B58" t="str">
            <v>纸箱（9个装无彩盒）</v>
          </cell>
          <cell r="C58" t="str">
            <v>JJ大头娃娃</v>
          </cell>
        </row>
        <row r="58">
          <cell r="E58">
            <v>53.34</v>
          </cell>
          <cell r="F58">
            <v>45.72</v>
          </cell>
          <cell r="G58">
            <v>27.94</v>
          </cell>
        </row>
        <row r="58">
          <cell r="J58">
            <v>0.068137412112</v>
          </cell>
        </row>
        <row r="59">
          <cell r="A59" t="str">
            <v>96112（4）</v>
          </cell>
          <cell r="B59" t="str">
            <v>纸箱（4个装有彩盒）</v>
          </cell>
          <cell r="C59" t="str">
            <v>JJ大头娃娃</v>
          </cell>
        </row>
        <row r="59">
          <cell r="E59">
            <v>54</v>
          </cell>
          <cell r="F59">
            <v>35</v>
          </cell>
          <cell r="G59">
            <v>31</v>
          </cell>
        </row>
        <row r="59">
          <cell r="J59">
            <v>0.05859</v>
          </cell>
        </row>
        <row r="60">
          <cell r="A60" t="str">
            <v>96112（6）</v>
          </cell>
          <cell r="B60" t="str">
            <v>纸箱（6个装有彩盒）</v>
          </cell>
          <cell r="C60" t="str">
            <v>JJ大头娃娃</v>
          </cell>
        </row>
        <row r="60">
          <cell r="E60">
            <v>52.705</v>
          </cell>
          <cell r="F60">
            <v>52.07</v>
          </cell>
          <cell r="G60">
            <v>29.845</v>
          </cell>
        </row>
        <row r="60">
          <cell r="J60">
            <v>0.08190510635075</v>
          </cell>
        </row>
        <row r="61">
          <cell r="A61">
            <v>96112</v>
          </cell>
          <cell r="B61" t="str">
            <v>邮包盒无彩盒</v>
          </cell>
          <cell r="C61" t="str">
            <v>JJ大头娃娃</v>
          </cell>
        </row>
        <row r="61">
          <cell r="E61">
            <v>26.67</v>
          </cell>
          <cell r="F61">
            <v>14.605</v>
          </cell>
          <cell r="G61">
            <v>27.94</v>
          </cell>
        </row>
        <row r="61">
          <cell r="J61">
            <v>0.010883058879</v>
          </cell>
        </row>
        <row r="62">
          <cell r="A62" t="str">
            <v>96112（邮包）</v>
          </cell>
          <cell r="B62" t="str">
            <v>6个邮包盒纸箱</v>
          </cell>
          <cell r="C62" t="str">
            <v>JJ大头娃娃</v>
          </cell>
        </row>
        <row r="62">
          <cell r="E62">
            <v>54.61</v>
          </cell>
          <cell r="F62">
            <v>45.72</v>
          </cell>
          <cell r="G62">
            <v>29.21</v>
          </cell>
        </row>
        <row r="62">
          <cell r="J62">
            <v>0.072930628332</v>
          </cell>
        </row>
        <row r="63">
          <cell r="A63" t="str">
            <v>96112（PDQ）</v>
          </cell>
          <cell r="B63" t="str">
            <v>纸箱（6个装BJ版PDQ）</v>
          </cell>
          <cell r="C63" t="str">
            <v>JJ大头娃娃</v>
          </cell>
        </row>
        <row r="63">
          <cell r="E63">
            <v>54.61</v>
          </cell>
          <cell r="F63">
            <v>52.705</v>
          </cell>
          <cell r="G63">
            <v>30.48</v>
          </cell>
        </row>
        <row r="63">
          <cell r="J63">
            <v>0.087728147124</v>
          </cell>
        </row>
        <row r="64">
          <cell r="A64" t="str">
            <v>96112（39）</v>
          </cell>
          <cell r="B64" t="str">
            <v>纸箱（39个装有彩盒）</v>
          </cell>
          <cell r="C64" t="str">
            <v>JJ大头娃娃</v>
          </cell>
        </row>
        <row r="64">
          <cell r="E64">
            <v>124</v>
          </cell>
          <cell r="F64">
            <v>54</v>
          </cell>
          <cell r="G64">
            <v>88</v>
          </cell>
        </row>
        <row r="64">
          <cell r="J64">
            <v>0.589248</v>
          </cell>
        </row>
        <row r="65">
          <cell r="A65" t="str">
            <v>88188（3）</v>
          </cell>
          <cell r="B65" t="str">
            <v>纸箱（3个装）</v>
          </cell>
          <cell r="C65" t="str">
            <v>背包狗</v>
          </cell>
        </row>
        <row r="65">
          <cell r="E65">
            <v>55.245</v>
          </cell>
          <cell r="F65">
            <v>24.765</v>
          </cell>
          <cell r="G65">
            <v>35.56</v>
          </cell>
        </row>
        <row r="65">
          <cell r="J65">
            <v>0.048651144633</v>
          </cell>
        </row>
        <row r="66">
          <cell r="A66" t="str">
            <v>88188（1）</v>
          </cell>
          <cell r="B66" t="str">
            <v>纸箱（1个装）</v>
          </cell>
          <cell r="C66" t="str">
            <v>背包狗</v>
          </cell>
        </row>
        <row r="66">
          <cell r="E66">
            <v>24.13</v>
          </cell>
          <cell r="F66">
            <v>19.05</v>
          </cell>
          <cell r="G66">
            <v>34.29</v>
          </cell>
        </row>
        <row r="66">
          <cell r="J66">
            <v>0.015762307185</v>
          </cell>
        </row>
        <row r="67">
          <cell r="A67">
            <v>95526</v>
          </cell>
          <cell r="B67" t="str">
            <v>纸箱（18个装）</v>
          </cell>
        </row>
        <row r="67">
          <cell r="E67">
            <v>24</v>
          </cell>
          <cell r="F67">
            <v>22</v>
          </cell>
          <cell r="G67">
            <v>39.5</v>
          </cell>
        </row>
        <row r="67">
          <cell r="J67">
            <v>0.020856</v>
          </cell>
        </row>
        <row r="68">
          <cell r="A68" t="str">
            <v>42062（2）</v>
          </cell>
          <cell r="B68" t="str">
            <v>纸箱（2个装）</v>
          </cell>
          <cell r="C68" t="str">
            <v>大狗</v>
          </cell>
        </row>
        <row r="68">
          <cell r="E68">
            <v>35</v>
          </cell>
          <cell r="F68">
            <v>32.5</v>
          </cell>
          <cell r="G68">
            <v>29.5</v>
          </cell>
        </row>
        <row r="68">
          <cell r="J68">
            <v>0.03355625</v>
          </cell>
        </row>
        <row r="69">
          <cell r="A69" t="str">
            <v>42064（2）</v>
          </cell>
          <cell r="B69" t="str">
            <v>纸箱（2个装）</v>
          </cell>
          <cell r="C69" t="str">
            <v>大马</v>
          </cell>
        </row>
        <row r="69">
          <cell r="E69">
            <v>35</v>
          </cell>
          <cell r="F69">
            <v>32.5</v>
          </cell>
          <cell r="G69">
            <v>29.5</v>
          </cell>
        </row>
        <row r="69">
          <cell r="J69">
            <v>0.03355625</v>
          </cell>
        </row>
        <row r="70">
          <cell r="A70" t="str">
            <v>42062（6）</v>
          </cell>
          <cell r="B70" t="str">
            <v>纸箱（6个装）</v>
          </cell>
          <cell r="C70" t="str">
            <v>大狗</v>
          </cell>
        </row>
        <row r="70">
          <cell r="E70">
            <v>57.15</v>
          </cell>
          <cell r="F70">
            <v>51.435</v>
          </cell>
          <cell r="G70">
            <v>31.75</v>
          </cell>
        </row>
        <row r="70">
          <cell r="J70">
            <v>0.0933294504375</v>
          </cell>
        </row>
        <row r="71">
          <cell r="A71" t="str">
            <v>42064（6）</v>
          </cell>
          <cell r="B71" t="str">
            <v>纸箱（6个装）</v>
          </cell>
          <cell r="C71" t="str">
            <v>大马</v>
          </cell>
        </row>
        <row r="71">
          <cell r="E71">
            <v>57.15</v>
          </cell>
          <cell r="F71">
            <v>51.435</v>
          </cell>
          <cell r="G71">
            <v>31.75</v>
          </cell>
        </row>
        <row r="71">
          <cell r="J71">
            <v>0.0933294504375</v>
          </cell>
        </row>
        <row r="72">
          <cell r="A72" t="str">
            <v>42069(6)</v>
          </cell>
          <cell r="B72" t="str">
            <v>纸箱（6个装）</v>
          </cell>
          <cell r="C72" t="str">
            <v>大狗</v>
          </cell>
        </row>
        <row r="72">
          <cell r="E72">
            <v>57.15</v>
          </cell>
          <cell r="F72">
            <v>51.435</v>
          </cell>
          <cell r="G72">
            <v>31.75</v>
          </cell>
        </row>
        <row r="72">
          <cell r="J72">
            <v>0.0933294504375</v>
          </cell>
        </row>
        <row r="73">
          <cell r="A73" t="str">
            <v>42068(6)</v>
          </cell>
          <cell r="B73" t="str">
            <v>纸箱（6个装）</v>
          </cell>
          <cell r="C73" t="str">
            <v>大马</v>
          </cell>
        </row>
        <row r="73">
          <cell r="E73">
            <v>57.15</v>
          </cell>
          <cell r="F73">
            <v>51.435</v>
          </cell>
          <cell r="G73">
            <v>31.75</v>
          </cell>
        </row>
        <row r="73">
          <cell r="J73">
            <v>0.0933294504375</v>
          </cell>
        </row>
        <row r="74">
          <cell r="A74" t="str">
            <v>42087(6)</v>
          </cell>
          <cell r="B74" t="str">
            <v>纸箱（6个装）</v>
          </cell>
          <cell r="C74" t="str">
            <v>大马</v>
          </cell>
        </row>
        <row r="74">
          <cell r="E74">
            <v>57.15</v>
          </cell>
          <cell r="F74">
            <v>51.435</v>
          </cell>
          <cell r="G74">
            <v>31.75</v>
          </cell>
        </row>
        <row r="74">
          <cell r="J74">
            <v>0.0933294504375</v>
          </cell>
        </row>
        <row r="75">
          <cell r="A75" t="str">
            <v>42069/87</v>
          </cell>
          <cell r="B75" t="str">
            <v>纸箱（6个装）</v>
          </cell>
          <cell r="C75" t="str">
            <v>大狗/大马混装</v>
          </cell>
        </row>
        <row r="75">
          <cell r="E75">
            <v>57.15</v>
          </cell>
          <cell r="F75">
            <v>51.435</v>
          </cell>
          <cell r="G75">
            <v>31.75</v>
          </cell>
        </row>
        <row r="75">
          <cell r="J75">
            <v>0.0933294504375</v>
          </cell>
        </row>
        <row r="76">
          <cell r="A76" t="str">
            <v>470111（4）</v>
          </cell>
          <cell r="B76" t="str">
            <v>纸箱（4个装）</v>
          </cell>
          <cell r="C76" t="str">
            <v>卷发女孩</v>
          </cell>
        </row>
        <row r="76">
          <cell r="E76">
            <v>27.94</v>
          </cell>
          <cell r="F76">
            <v>16.51</v>
          </cell>
          <cell r="G76">
            <v>33</v>
          </cell>
        </row>
        <row r="76">
          <cell r="J76">
            <v>0.0152225502</v>
          </cell>
        </row>
        <row r="77">
          <cell r="A77" t="str">
            <v>470112（4）</v>
          </cell>
          <cell r="B77" t="str">
            <v>纸箱（4个装）</v>
          </cell>
          <cell r="C77" t="str">
            <v>黄色狗</v>
          </cell>
        </row>
        <row r="77">
          <cell r="E77">
            <v>27.94</v>
          </cell>
          <cell r="F77">
            <v>16.51</v>
          </cell>
          <cell r="G77">
            <v>33</v>
          </cell>
        </row>
        <row r="77">
          <cell r="J77">
            <v>0.0152225502</v>
          </cell>
        </row>
        <row r="78">
          <cell r="A78" t="str">
            <v>470113（4）</v>
          </cell>
          <cell r="B78" t="str">
            <v>纸箱（4个装）</v>
          </cell>
          <cell r="C78" t="str">
            <v>直发女孩</v>
          </cell>
        </row>
        <row r="78">
          <cell r="E78">
            <v>27.94</v>
          </cell>
          <cell r="F78">
            <v>16.51</v>
          </cell>
          <cell r="G78">
            <v>33</v>
          </cell>
        </row>
        <row r="78">
          <cell r="J78">
            <v>0.0152225502</v>
          </cell>
        </row>
        <row r="79">
          <cell r="A79" t="str">
            <v>470114（4）</v>
          </cell>
          <cell r="B79" t="str">
            <v>纸箱（4个装）</v>
          </cell>
          <cell r="C79" t="str">
            <v>粉色兔子</v>
          </cell>
        </row>
        <row r="79">
          <cell r="E79">
            <v>27.94</v>
          </cell>
          <cell r="F79">
            <v>16.51</v>
          </cell>
          <cell r="G79">
            <v>33</v>
          </cell>
        </row>
        <row r="79">
          <cell r="J79">
            <v>0.0152225502</v>
          </cell>
        </row>
        <row r="80">
          <cell r="A80" t="str">
            <v>470111（18）</v>
          </cell>
          <cell r="B80" t="str">
            <v>纸箱（18个装）</v>
          </cell>
          <cell r="C80" t="str">
            <v>卷发女孩</v>
          </cell>
        </row>
        <row r="80">
          <cell r="E80">
            <v>48.26</v>
          </cell>
          <cell r="F80">
            <v>40.64</v>
          </cell>
          <cell r="G80">
            <v>31.75</v>
          </cell>
        </row>
        <row r="80">
          <cell r="J80">
            <v>0.0622708432</v>
          </cell>
        </row>
        <row r="81">
          <cell r="A81" t="str">
            <v>470112（18）</v>
          </cell>
          <cell r="B81" t="str">
            <v>纸箱（18个装）</v>
          </cell>
          <cell r="C81" t="str">
            <v>黄色狗</v>
          </cell>
        </row>
        <row r="81">
          <cell r="E81">
            <v>48.26</v>
          </cell>
          <cell r="F81">
            <v>40.64</v>
          </cell>
          <cell r="G81">
            <v>31.75</v>
          </cell>
        </row>
        <row r="81">
          <cell r="J81">
            <v>0.0622708432</v>
          </cell>
        </row>
        <row r="82">
          <cell r="A82" t="str">
            <v>470113（18）</v>
          </cell>
          <cell r="B82" t="str">
            <v>纸箱（18个装）</v>
          </cell>
          <cell r="C82" t="str">
            <v>直发女孩</v>
          </cell>
        </row>
        <row r="82">
          <cell r="E82">
            <v>48.26</v>
          </cell>
          <cell r="F82">
            <v>40.64</v>
          </cell>
          <cell r="G82">
            <v>31.75</v>
          </cell>
        </row>
        <row r="82">
          <cell r="J82">
            <v>0.0622708432</v>
          </cell>
        </row>
        <row r="83">
          <cell r="A83" t="str">
            <v>470114（18）</v>
          </cell>
          <cell r="B83" t="str">
            <v>纸箱（18个装）</v>
          </cell>
          <cell r="C83" t="str">
            <v>粉色兔子</v>
          </cell>
        </row>
        <row r="83">
          <cell r="E83">
            <v>48.26</v>
          </cell>
          <cell r="F83">
            <v>40.64</v>
          </cell>
          <cell r="G83">
            <v>31.75</v>
          </cell>
        </row>
        <row r="83">
          <cell r="J83">
            <v>0.0622708432</v>
          </cell>
        </row>
        <row r="84">
          <cell r="A84" t="str">
            <v>470616（4）</v>
          </cell>
          <cell r="B84" t="str">
            <v>纸箱（4个装）</v>
          </cell>
          <cell r="C84" t="str">
            <v>直发仙女</v>
          </cell>
        </row>
        <row r="84">
          <cell r="E84">
            <v>33</v>
          </cell>
          <cell r="F84">
            <v>17.2</v>
          </cell>
          <cell r="G84">
            <v>28</v>
          </cell>
        </row>
        <row r="84">
          <cell r="J84">
            <v>0.0158928</v>
          </cell>
        </row>
        <row r="85">
          <cell r="A85" t="str">
            <v>12136（1）</v>
          </cell>
          <cell r="B85" t="str">
            <v>1个装纸箱</v>
          </cell>
          <cell r="C85" t="str">
            <v>爬爬米奇</v>
          </cell>
        </row>
        <row r="85">
          <cell r="E85">
            <v>30.48</v>
          </cell>
          <cell r="F85">
            <v>14.605</v>
          </cell>
          <cell r="G85">
            <v>24.13</v>
          </cell>
        </row>
        <row r="85">
          <cell r="J85">
            <v>0.010741720452</v>
          </cell>
        </row>
        <row r="86">
          <cell r="A86" t="str">
            <v>12136（2）</v>
          </cell>
          <cell r="B86" t="str">
            <v>2个装纸箱</v>
          </cell>
          <cell r="C86" t="str">
            <v>爬爬米奇</v>
          </cell>
        </row>
        <row r="86">
          <cell r="E86">
            <v>30.48</v>
          </cell>
          <cell r="F86">
            <v>27.94</v>
          </cell>
          <cell r="G86">
            <v>24.13</v>
          </cell>
        </row>
        <row r="86">
          <cell r="J86">
            <v>0.020549378256</v>
          </cell>
        </row>
        <row r="87">
          <cell r="A87" t="str">
            <v>12136（4）</v>
          </cell>
          <cell r="B87" t="str">
            <v>4个装纸箱</v>
          </cell>
          <cell r="C87" t="str">
            <v>爬爬米奇</v>
          </cell>
        </row>
        <row r="87">
          <cell r="E87">
            <v>57.785</v>
          </cell>
          <cell r="F87">
            <v>27.94</v>
          </cell>
          <cell r="G87">
            <v>24.13</v>
          </cell>
        </row>
        <row r="87">
          <cell r="J87">
            <v>0.038958196277</v>
          </cell>
        </row>
        <row r="88">
          <cell r="A88" t="str">
            <v>12136（8）</v>
          </cell>
          <cell r="B88" t="str">
            <v>8个装纸箱</v>
          </cell>
          <cell r="C88" t="str">
            <v>爬爬米奇</v>
          </cell>
        </row>
        <row r="88">
          <cell r="E88">
            <v>57.785</v>
          </cell>
          <cell r="F88">
            <v>57.15</v>
          </cell>
          <cell r="G88">
            <v>25.4</v>
          </cell>
        </row>
        <row r="88">
          <cell r="J88">
            <v>0.08388128385</v>
          </cell>
        </row>
        <row r="89">
          <cell r="A89" t="str">
            <v>12137（1）</v>
          </cell>
          <cell r="B89" t="str">
            <v>1个装纸箱</v>
          </cell>
          <cell r="C89" t="str">
            <v>爬爬米妮</v>
          </cell>
        </row>
        <row r="89">
          <cell r="E89">
            <v>30.48</v>
          </cell>
          <cell r="F89">
            <v>14.605</v>
          </cell>
          <cell r="G89">
            <v>24.13</v>
          </cell>
        </row>
        <row r="89">
          <cell r="J89">
            <v>0.010741720452</v>
          </cell>
        </row>
        <row r="90">
          <cell r="A90" t="str">
            <v>12137（2）</v>
          </cell>
          <cell r="B90" t="str">
            <v>2个装纸箱</v>
          </cell>
          <cell r="C90" t="str">
            <v>爬爬米妮</v>
          </cell>
        </row>
        <row r="90">
          <cell r="E90">
            <v>30.48</v>
          </cell>
          <cell r="F90">
            <v>27.94</v>
          </cell>
          <cell r="G90">
            <v>24.13</v>
          </cell>
        </row>
        <row r="90">
          <cell r="J90">
            <v>0.020549378256</v>
          </cell>
        </row>
        <row r="91">
          <cell r="A91" t="str">
            <v>12137（4）</v>
          </cell>
          <cell r="B91" t="str">
            <v>4个装纸箱</v>
          </cell>
          <cell r="C91" t="str">
            <v>爬爬米妮</v>
          </cell>
        </row>
        <row r="91">
          <cell r="E91">
            <v>57.785</v>
          </cell>
          <cell r="F91">
            <v>27.94</v>
          </cell>
          <cell r="G91">
            <v>24.13</v>
          </cell>
        </row>
        <row r="91">
          <cell r="J91">
            <v>0.038958196277</v>
          </cell>
        </row>
        <row r="92">
          <cell r="A92" t="str">
            <v>12137（8）</v>
          </cell>
          <cell r="B92" t="str">
            <v>8个装纸箱</v>
          </cell>
          <cell r="C92" t="str">
            <v>爬爬米妮</v>
          </cell>
        </row>
        <row r="92">
          <cell r="E92">
            <v>57.785</v>
          </cell>
          <cell r="F92">
            <v>57.15</v>
          </cell>
          <cell r="G92">
            <v>25.4</v>
          </cell>
        </row>
        <row r="92">
          <cell r="J92">
            <v>0.08388128385</v>
          </cell>
        </row>
        <row r="93">
          <cell r="A93" t="str">
            <v>12125（4）</v>
          </cell>
          <cell r="B93" t="str">
            <v>4个装纸箱</v>
          </cell>
          <cell r="C93" t="str">
            <v>爬爬系列</v>
          </cell>
        </row>
        <row r="93">
          <cell r="E93">
            <v>57.785</v>
          </cell>
          <cell r="F93">
            <v>27.94</v>
          </cell>
          <cell r="G93">
            <v>24.13</v>
          </cell>
        </row>
        <row r="93">
          <cell r="J93">
            <v>0.038958196277</v>
          </cell>
        </row>
        <row r="94">
          <cell r="A94" t="str">
            <v>320398（14）</v>
          </cell>
          <cell r="B94" t="str">
            <v>14个装纸箱</v>
          </cell>
          <cell r="C94" t="str">
            <v>兔子家族</v>
          </cell>
        </row>
        <row r="94">
          <cell r="E94">
            <v>42</v>
          </cell>
          <cell r="F94">
            <v>36</v>
          </cell>
          <cell r="G94">
            <v>22.5</v>
          </cell>
        </row>
        <row r="94">
          <cell r="J94">
            <v>0.03402</v>
          </cell>
        </row>
        <row r="95">
          <cell r="A95">
            <v>320635</v>
          </cell>
          <cell r="B95" t="str">
            <v>2个装纸箱</v>
          </cell>
          <cell r="C95" t="str">
            <v>校车</v>
          </cell>
        </row>
        <row r="95">
          <cell r="E95">
            <v>35.18</v>
          </cell>
          <cell r="F95">
            <v>27.18</v>
          </cell>
          <cell r="G95">
            <v>16.51</v>
          </cell>
        </row>
        <row r="95">
          <cell r="J95">
            <v>0.015786736524</v>
          </cell>
        </row>
        <row r="96">
          <cell r="A96">
            <v>470230</v>
          </cell>
          <cell r="B96" t="str">
            <v>2个装纸箱</v>
          </cell>
          <cell r="C96" t="str">
            <v>转面公仔</v>
          </cell>
        </row>
        <row r="96">
          <cell r="E96">
            <v>35.56</v>
          </cell>
          <cell r="F96">
            <v>22.86</v>
          </cell>
          <cell r="G96">
            <v>30</v>
          </cell>
        </row>
        <row r="96">
          <cell r="J96">
            <v>0.024387048</v>
          </cell>
        </row>
        <row r="97">
          <cell r="A97">
            <v>470231</v>
          </cell>
          <cell r="B97" t="str">
            <v>2个装纸箱</v>
          </cell>
          <cell r="C97" t="str">
            <v>转面公仔</v>
          </cell>
        </row>
        <row r="97">
          <cell r="E97">
            <v>35.56</v>
          </cell>
          <cell r="F97">
            <v>22.86</v>
          </cell>
          <cell r="G97">
            <v>31.75</v>
          </cell>
        </row>
        <row r="97">
          <cell r="J97">
            <v>0.0258096258</v>
          </cell>
        </row>
        <row r="98">
          <cell r="A98" t="str">
            <v>470232-KH</v>
          </cell>
          <cell r="B98" t="str">
            <v>2个装纸箱</v>
          </cell>
          <cell r="C98" t="str">
            <v>转面公仔</v>
          </cell>
        </row>
        <row r="98">
          <cell r="E98">
            <v>35.56</v>
          </cell>
          <cell r="F98">
            <v>22.86</v>
          </cell>
          <cell r="G98">
            <v>31.75</v>
          </cell>
        </row>
        <row r="98">
          <cell r="J98">
            <v>0.0258096258</v>
          </cell>
        </row>
        <row r="99">
          <cell r="A99">
            <v>470232</v>
          </cell>
          <cell r="B99" t="str">
            <v>2个装纸箱</v>
          </cell>
          <cell r="C99" t="str">
            <v>转面公仔</v>
          </cell>
        </row>
        <row r="99">
          <cell r="E99">
            <v>35.56</v>
          </cell>
          <cell r="F99">
            <v>22.86</v>
          </cell>
          <cell r="G99">
            <v>31.75</v>
          </cell>
        </row>
        <row r="99">
          <cell r="J99">
            <v>0.0258096258</v>
          </cell>
        </row>
        <row r="100">
          <cell r="A100">
            <v>470227</v>
          </cell>
          <cell r="B100" t="str">
            <v>2个装纸箱</v>
          </cell>
          <cell r="C100" t="str">
            <v>转面公仔</v>
          </cell>
        </row>
        <row r="100">
          <cell r="E100">
            <v>35.56</v>
          </cell>
          <cell r="F100">
            <v>22.86</v>
          </cell>
          <cell r="G100">
            <v>31.75</v>
          </cell>
        </row>
        <row r="100">
          <cell r="J100">
            <v>0.0258096258</v>
          </cell>
        </row>
        <row r="101">
          <cell r="A101">
            <v>470228</v>
          </cell>
          <cell r="B101" t="str">
            <v>2个装纸箱</v>
          </cell>
          <cell r="C101" t="str">
            <v>转面公仔</v>
          </cell>
        </row>
        <row r="101">
          <cell r="E101">
            <v>35.56</v>
          </cell>
          <cell r="F101">
            <v>22.86</v>
          </cell>
          <cell r="G101">
            <v>31.75</v>
          </cell>
        </row>
        <row r="101">
          <cell r="J101">
            <v>0.0258096258</v>
          </cell>
        </row>
        <row r="102">
          <cell r="A102">
            <v>86330</v>
          </cell>
          <cell r="B102" t="str">
            <v>2个装纸箱</v>
          </cell>
          <cell r="C102" t="str">
            <v>搪胶小鸭</v>
          </cell>
        </row>
        <row r="102">
          <cell r="E102">
            <v>25</v>
          </cell>
          <cell r="F102">
            <v>36</v>
          </cell>
          <cell r="G102">
            <v>39</v>
          </cell>
        </row>
        <row r="102">
          <cell r="J102">
            <v>0.0351</v>
          </cell>
        </row>
        <row r="103">
          <cell r="A103" t="str">
            <v>58725(48)</v>
          </cell>
          <cell r="B103" t="str">
            <v>48个装纸箱</v>
          </cell>
          <cell r="C103" t="str">
            <v>搪胶小鸭</v>
          </cell>
        </row>
        <row r="103">
          <cell r="E103">
            <v>34.925</v>
          </cell>
          <cell r="F103">
            <v>22.225</v>
          </cell>
          <cell r="G103">
            <v>19.05</v>
          </cell>
        </row>
        <row r="103">
          <cell r="J103">
            <v>0.01478676478125</v>
          </cell>
        </row>
        <row r="104">
          <cell r="A104">
            <v>26850</v>
          </cell>
          <cell r="B104" t="str">
            <v>48个装纸箱</v>
          </cell>
          <cell r="C104" t="str">
            <v>搪胶小鸭</v>
          </cell>
        </row>
        <row r="104">
          <cell r="E104">
            <v>34.925</v>
          </cell>
          <cell r="F104">
            <v>22.225</v>
          </cell>
          <cell r="G104">
            <v>19.05</v>
          </cell>
        </row>
        <row r="104">
          <cell r="J104">
            <v>0.01478676478125</v>
          </cell>
        </row>
        <row r="105">
          <cell r="A105" t="str">
            <v>33415（48）</v>
          </cell>
          <cell r="B105" t="str">
            <v>48个装纸箱</v>
          </cell>
          <cell r="C105" t="str">
            <v>搪胶小鸭</v>
          </cell>
          <cell r="D105">
            <v>48</v>
          </cell>
          <cell r="E105">
            <v>34.925</v>
          </cell>
          <cell r="F105">
            <v>22.225</v>
          </cell>
          <cell r="G105">
            <v>19.05</v>
          </cell>
        </row>
        <row r="105">
          <cell r="J105">
            <v>0.01478676478125</v>
          </cell>
        </row>
        <row r="106">
          <cell r="A106" t="str">
            <v>33415（24）</v>
          </cell>
          <cell r="B106" t="str">
            <v>24个装纸箱</v>
          </cell>
          <cell r="C106" t="str">
            <v>搪胶小鸭</v>
          </cell>
          <cell r="D106">
            <v>24</v>
          </cell>
          <cell r="E106">
            <v>28.575</v>
          </cell>
          <cell r="F106">
            <v>19.05</v>
          </cell>
          <cell r="G106">
            <v>16.51</v>
          </cell>
        </row>
        <row r="106">
          <cell r="J106">
            <v>0.0089872804125</v>
          </cell>
        </row>
        <row r="107">
          <cell r="A107" t="str">
            <v>33415（18）</v>
          </cell>
          <cell r="B107" t="str">
            <v>18个装纸箱</v>
          </cell>
          <cell r="C107" t="str">
            <v>搪胶小鸭</v>
          </cell>
          <cell r="D107">
            <v>18</v>
          </cell>
          <cell r="E107">
            <v>32.385</v>
          </cell>
          <cell r="F107">
            <v>17.78</v>
          </cell>
          <cell r="G107">
            <v>10.16</v>
          </cell>
        </row>
        <row r="107">
          <cell r="J107">
            <v>0.005850181848</v>
          </cell>
        </row>
        <row r="108">
          <cell r="A108" t="str">
            <v>33415（36）</v>
          </cell>
          <cell r="B108" t="str">
            <v>36个装纸箱</v>
          </cell>
          <cell r="C108" t="str">
            <v>搪胶小鸭</v>
          </cell>
          <cell r="D108">
            <v>36</v>
          </cell>
          <cell r="E108">
            <v>31.75</v>
          </cell>
          <cell r="F108">
            <v>17.145</v>
          </cell>
          <cell r="G108">
            <v>19.05</v>
          </cell>
        </row>
        <row r="108">
          <cell r="J108">
            <v>0.0103699389375</v>
          </cell>
        </row>
        <row r="109">
          <cell r="A109" t="str">
            <v>33465（24）</v>
          </cell>
          <cell r="B109" t="str">
            <v>24个装纸箱</v>
          </cell>
          <cell r="C109" t="str">
            <v>搪胶小鸭</v>
          </cell>
        </row>
        <row r="109">
          <cell r="E109">
            <v>31</v>
          </cell>
          <cell r="F109">
            <v>22</v>
          </cell>
          <cell r="G109">
            <v>19.5</v>
          </cell>
        </row>
        <row r="109">
          <cell r="J109">
            <v>0.013299</v>
          </cell>
        </row>
        <row r="110">
          <cell r="A110">
            <v>33440</v>
          </cell>
          <cell r="B110" t="str">
            <v>36个装纸箱</v>
          </cell>
          <cell r="C110" t="str">
            <v>搪胶小鸭</v>
          </cell>
        </row>
        <row r="110">
          <cell r="E110">
            <v>37</v>
          </cell>
          <cell r="F110">
            <v>30</v>
          </cell>
          <cell r="G110">
            <v>13.5</v>
          </cell>
        </row>
        <row r="110">
          <cell r="J110">
            <v>0.014985</v>
          </cell>
        </row>
        <row r="111">
          <cell r="A111">
            <v>92058</v>
          </cell>
          <cell r="B111" t="str">
            <v>2个装纸箱</v>
          </cell>
        </row>
        <row r="111">
          <cell r="E111">
            <v>47.625</v>
          </cell>
          <cell r="F111">
            <v>34.925</v>
          </cell>
          <cell r="G111">
            <v>38.1</v>
          </cell>
        </row>
        <row r="111">
          <cell r="J111">
            <v>0.0633718490625</v>
          </cell>
        </row>
        <row r="112">
          <cell r="A112">
            <v>42803</v>
          </cell>
          <cell r="B112" t="str">
            <v>4个装纸箱</v>
          </cell>
        </row>
        <row r="112">
          <cell r="E112">
            <v>32.385</v>
          </cell>
          <cell r="F112">
            <v>11.43</v>
          </cell>
          <cell r="G112">
            <v>16.51</v>
          </cell>
        </row>
        <row r="112">
          <cell r="J112">
            <v>0.0061113506805</v>
          </cell>
        </row>
        <row r="113">
          <cell r="A113">
            <v>470194</v>
          </cell>
          <cell r="B113" t="str">
            <v>2个装纸箱</v>
          </cell>
          <cell r="C113" t="str">
            <v>树屋</v>
          </cell>
        </row>
        <row r="113">
          <cell r="E113">
            <v>41.91</v>
          </cell>
          <cell r="F113">
            <v>31.75</v>
          </cell>
          <cell r="G113">
            <v>30.48</v>
          </cell>
        </row>
        <row r="113">
          <cell r="J113">
            <v>0.0405579834</v>
          </cell>
        </row>
        <row r="114">
          <cell r="A114" t="str">
            <v>14746(3)</v>
          </cell>
          <cell r="B114" t="str">
            <v>3个装纸箱</v>
          </cell>
          <cell r="C114" t="str">
            <v>坐姿米奇</v>
          </cell>
        </row>
        <row r="114">
          <cell r="E114">
            <v>51.435</v>
          </cell>
          <cell r="F114">
            <v>22.225</v>
          </cell>
          <cell r="G114">
            <v>34.925</v>
          </cell>
        </row>
        <row r="114">
          <cell r="J114">
            <v>0.039924264909375</v>
          </cell>
        </row>
        <row r="115">
          <cell r="A115" t="str">
            <v>14747(3)</v>
          </cell>
          <cell r="B115" t="str">
            <v>3个装纸箱</v>
          </cell>
          <cell r="C115" t="str">
            <v>坐姿米妮</v>
          </cell>
        </row>
        <row r="115">
          <cell r="E115">
            <v>51.435</v>
          </cell>
          <cell r="F115">
            <v>22.225</v>
          </cell>
          <cell r="G115">
            <v>34.925</v>
          </cell>
        </row>
        <row r="115">
          <cell r="J115">
            <v>0.039924264909375</v>
          </cell>
        </row>
        <row r="116">
          <cell r="A116" t="str">
            <v>14745(3)</v>
          </cell>
          <cell r="B116" t="str">
            <v>3个装纸箱</v>
          </cell>
          <cell r="C116" t="str">
            <v>坐姿米奇&amp;米妮</v>
          </cell>
        </row>
        <row r="116">
          <cell r="E116">
            <v>51.435</v>
          </cell>
          <cell r="F116">
            <v>22.225</v>
          </cell>
          <cell r="G116">
            <v>34.925</v>
          </cell>
        </row>
        <row r="116">
          <cell r="J116">
            <v>0.039924264909375</v>
          </cell>
        </row>
        <row r="117">
          <cell r="A117">
            <v>320738</v>
          </cell>
          <cell r="B117" t="str">
            <v>HOPSCOTCH LANE BOOSTER SEAT with TRAY</v>
          </cell>
          <cell r="C117" t="str">
            <v>跳伞车道座椅和托盘系列</v>
          </cell>
          <cell r="D117">
            <v>1</v>
          </cell>
          <cell r="E117">
            <v>35.56</v>
          </cell>
          <cell r="F117">
            <v>22</v>
          </cell>
          <cell r="G117">
            <v>40</v>
          </cell>
          <cell r="H117">
            <v>1.92</v>
          </cell>
          <cell r="I117">
            <v>2.22</v>
          </cell>
          <cell r="J117">
            <v>0.0312928</v>
          </cell>
        </row>
        <row r="118">
          <cell r="A118">
            <v>470448</v>
          </cell>
          <cell r="B118" t="str">
            <v>16装纸箱</v>
          </cell>
        </row>
        <row r="118">
          <cell r="E118">
            <v>33.02</v>
          </cell>
          <cell r="F118">
            <v>25.4</v>
          </cell>
          <cell r="G118">
            <v>14.605</v>
          </cell>
        </row>
        <row r="118">
          <cell r="J118">
            <v>0.01224933034</v>
          </cell>
        </row>
        <row r="119">
          <cell r="A119">
            <v>470449</v>
          </cell>
          <cell r="B119" t="str">
            <v>16装纸箱</v>
          </cell>
        </row>
        <row r="119">
          <cell r="E119">
            <v>33.02</v>
          </cell>
          <cell r="F119">
            <v>25.4</v>
          </cell>
          <cell r="G119">
            <v>14.605</v>
          </cell>
        </row>
        <row r="119">
          <cell r="J119">
            <v>0.01224933034</v>
          </cell>
        </row>
        <row r="120">
          <cell r="A120">
            <v>470450</v>
          </cell>
          <cell r="B120" t="str">
            <v>16装纸箱</v>
          </cell>
        </row>
        <row r="120">
          <cell r="E120">
            <v>33.02</v>
          </cell>
          <cell r="F120">
            <v>25.4</v>
          </cell>
          <cell r="G120">
            <v>14.605</v>
          </cell>
        </row>
        <row r="120">
          <cell r="J120">
            <v>0.01224933034</v>
          </cell>
        </row>
        <row r="121">
          <cell r="A121">
            <v>470451</v>
          </cell>
          <cell r="B121" t="str">
            <v>16装纸箱</v>
          </cell>
        </row>
        <row r="121">
          <cell r="E121">
            <v>33.02</v>
          </cell>
          <cell r="F121">
            <v>25.4</v>
          </cell>
          <cell r="G121">
            <v>14.605</v>
          </cell>
        </row>
        <row r="121">
          <cell r="J121">
            <v>0.01224933034</v>
          </cell>
        </row>
        <row r="122">
          <cell r="A122">
            <v>470453</v>
          </cell>
          <cell r="B122" t="str">
            <v>16装纸箱</v>
          </cell>
        </row>
        <row r="122">
          <cell r="E122">
            <v>39.37</v>
          </cell>
          <cell r="F122">
            <v>24.765</v>
          </cell>
          <cell r="G122">
            <v>17.145</v>
          </cell>
        </row>
        <row r="122">
          <cell r="J122">
            <v>0.01671634156725</v>
          </cell>
        </row>
        <row r="123">
          <cell r="A123">
            <v>470454</v>
          </cell>
          <cell r="B123" t="str">
            <v>16装纸箱</v>
          </cell>
        </row>
        <row r="123">
          <cell r="E123">
            <v>39.37</v>
          </cell>
          <cell r="F123">
            <v>24.765</v>
          </cell>
          <cell r="G123">
            <v>17.145</v>
          </cell>
        </row>
        <row r="123">
          <cell r="J123">
            <v>0.01671634156725</v>
          </cell>
        </row>
        <row r="124">
          <cell r="A124">
            <v>470455</v>
          </cell>
          <cell r="B124" t="str">
            <v>16装纸箱</v>
          </cell>
        </row>
        <row r="124">
          <cell r="E124">
            <v>39.37</v>
          </cell>
          <cell r="F124">
            <v>25.4</v>
          </cell>
          <cell r="G124">
            <v>25.4</v>
          </cell>
        </row>
        <row r="124">
          <cell r="J124">
            <v>0.0253999492</v>
          </cell>
        </row>
        <row r="125">
          <cell r="A125">
            <v>470456</v>
          </cell>
          <cell r="B125" t="str">
            <v>16装纸箱</v>
          </cell>
        </row>
        <row r="125">
          <cell r="E125">
            <v>39.37</v>
          </cell>
          <cell r="F125">
            <v>24.765</v>
          </cell>
          <cell r="G125">
            <v>17.145</v>
          </cell>
        </row>
        <row r="125">
          <cell r="J125">
            <v>0.01671634156725</v>
          </cell>
        </row>
        <row r="126">
          <cell r="A126">
            <v>470457</v>
          </cell>
          <cell r="B126" t="str">
            <v>16装纸箱</v>
          </cell>
        </row>
        <row r="126">
          <cell r="E126">
            <v>26.67</v>
          </cell>
          <cell r="F126">
            <v>17.78</v>
          </cell>
          <cell r="G126">
            <v>14.605</v>
          </cell>
        </row>
        <row r="126">
          <cell r="J126">
            <v>0.006925582923</v>
          </cell>
        </row>
        <row r="127">
          <cell r="A127">
            <v>470458</v>
          </cell>
          <cell r="B127" t="str">
            <v>16装纸箱</v>
          </cell>
        </row>
        <row r="127">
          <cell r="E127">
            <v>26.67</v>
          </cell>
          <cell r="F127">
            <v>17.78</v>
          </cell>
          <cell r="G127">
            <v>12.7</v>
          </cell>
        </row>
        <row r="127">
          <cell r="J127">
            <v>0.00602224602</v>
          </cell>
        </row>
        <row r="128">
          <cell r="A128">
            <v>470459</v>
          </cell>
          <cell r="B128" t="str">
            <v>16装纸箱</v>
          </cell>
        </row>
        <row r="128">
          <cell r="E128">
            <v>26.67</v>
          </cell>
          <cell r="F128">
            <v>17.78</v>
          </cell>
          <cell r="G128">
            <v>14.605</v>
          </cell>
        </row>
        <row r="128">
          <cell r="J128">
            <v>0.006925582923</v>
          </cell>
        </row>
        <row r="129">
          <cell r="A129">
            <v>470460</v>
          </cell>
          <cell r="B129" t="str">
            <v>16装纸箱</v>
          </cell>
        </row>
        <row r="129">
          <cell r="E129">
            <v>26.67</v>
          </cell>
          <cell r="F129">
            <v>17.78</v>
          </cell>
          <cell r="G129">
            <v>11.43</v>
          </cell>
        </row>
        <row r="129">
          <cell r="J129">
            <v>0.005420021418</v>
          </cell>
        </row>
        <row r="130">
          <cell r="A130">
            <v>470461</v>
          </cell>
          <cell r="B130" t="str">
            <v>16装纸箱</v>
          </cell>
        </row>
        <row r="130">
          <cell r="E130">
            <v>21.59</v>
          </cell>
          <cell r="F130">
            <v>16.51</v>
          </cell>
          <cell r="G130">
            <v>19.05</v>
          </cell>
        </row>
        <row r="130">
          <cell r="J130">
            <v>0.006790389645</v>
          </cell>
        </row>
        <row r="131">
          <cell r="A131">
            <v>470462</v>
          </cell>
          <cell r="B131" t="str">
            <v>16装纸箱</v>
          </cell>
        </row>
        <row r="131">
          <cell r="E131">
            <v>21.59</v>
          </cell>
          <cell r="F131">
            <v>16.51</v>
          </cell>
          <cell r="G131">
            <v>13.97</v>
          </cell>
        </row>
        <row r="131">
          <cell r="J131">
            <v>0.004979619073</v>
          </cell>
        </row>
        <row r="132">
          <cell r="A132">
            <v>470463</v>
          </cell>
          <cell r="B132" t="str">
            <v>16装纸箱</v>
          </cell>
        </row>
        <row r="132">
          <cell r="E132">
            <v>21.59</v>
          </cell>
          <cell r="F132">
            <v>16.51</v>
          </cell>
          <cell r="G132">
            <v>13.97</v>
          </cell>
        </row>
        <row r="132">
          <cell r="J132">
            <v>0.004979619073</v>
          </cell>
        </row>
        <row r="133">
          <cell r="A133">
            <v>470464</v>
          </cell>
          <cell r="B133" t="str">
            <v>16装纸箱</v>
          </cell>
        </row>
        <row r="133">
          <cell r="E133">
            <v>21.59</v>
          </cell>
          <cell r="F133">
            <v>16.51</v>
          </cell>
          <cell r="G133">
            <v>20.32</v>
          </cell>
        </row>
        <row r="133">
          <cell r="J133">
            <v>0.007243082288</v>
          </cell>
        </row>
        <row r="134">
          <cell r="A134">
            <v>11356</v>
          </cell>
          <cell r="B134" t="str">
            <v>6装纸箱</v>
          </cell>
          <cell r="C134" t="str">
            <v>米奇</v>
          </cell>
        </row>
        <row r="134">
          <cell r="E134">
            <v>36.83</v>
          </cell>
          <cell r="F134">
            <v>29.21</v>
          </cell>
          <cell r="G134">
            <v>17.78</v>
          </cell>
        </row>
        <row r="134">
          <cell r="J134">
            <v>0.019127800454</v>
          </cell>
        </row>
        <row r="135">
          <cell r="A135" t="str">
            <v>12136(4)</v>
          </cell>
          <cell r="B135" t="str">
            <v>4个装纸箱</v>
          </cell>
        </row>
        <row r="135">
          <cell r="E135">
            <v>57.785</v>
          </cell>
          <cell r="F135">
            <v>27.94</v>
          </cell>
          <cell r="G135">
            <v>24.13</v>
          </cell>
        </row>
        <row r="135">
          <cell r="J135">
            <v>0.038958196277</v>
          </cell>
        </row>
        <row r="136">
          <cell r="A136" t="str">
            <v>12137(4)</v>
          </cell>
          <cell r="B136" t="str">
            <v>4个装纸箱</v>
          </cell>
        </row>
        <row r="136">
          <cell r="E136">
            <v>57.785</v>
          </cell>
          <cell r="F136">
            <v>27.94</v>
          </cell>
          <cell r="G136">
            <v>24.13</v>
          </cell>
        </row>
        <row r="136">
          <cell r="J136">
            <v>0.038958196277</v>
          </cell>
        </row>
        <row r="137">
          <cell r="A137" t="str">
            <v>14878(4)</v>
          </cell>
          <cell r="B137" t="str">
            <v>4个装纸箱</v>
          </cell>
        </row>
        <row r="137">
          <cell r="E137">
            <v>57.785</v>
          </cell>
          <cell r="F137">
            <v>27.94</v>
          </cell>
          <cell r="G137">
            <v>24.13</v>
          </cell>
        </row>
        <row r="137">
          <cell r="J137">
            <v>0.038958196277</v>
          </cell>
        </row>
        <row r="138">
          <cell r="A138">
            <v>11356</v>
          </cell>
          <cell r="B138" t="str">
            <v>6装纸箱</v>
          </cell>
          <cell r="C138" t="str">
            <v>米奇</v>
          </cell>
        </row>
        <row r="138">
          <cell r="E138">
            <v>36.83</v>
          </cell>
          <cell r="F138">
            <v>29.21</v>
          </cell>
          <cell r="G138">
            <v>17.78</v>
          </cell>
        </row>
        <row r="138">
          <cell r="J138">
            <v>0.019127800454</v>
          </cell>
        </row>
        <row r="139">
          <cell r="A139">
            <v>11357</v>
          </cell>
          <cell r="B139" t="str">
            <v>6装纸箱</v>
          </cell>
          <cell r="C139" t="str">
            <v>米妮</v>
          </cell>
        </row>
        <row r="139">
          <cell r="E139">
            <v>36.83</v>
          </cell>
          <cell r="F139">
            <v>29.21</v>
          </cell>
          <cell r="G139">
            <v>17.78</v>
          </cell>
        </row>
        <row r="139">
          <cell r="J139">
            <v>0.019127800454</v>
          </cell>
        </row>
        <row r="140">
          <cell r="A140">
            <v>11358</v>
          </cell>
          <cell r="B140" t="str">
            <v>6装纸箱</v>
          </cell>
          <cell r="C140" t="str">
            <v>史迪仔</v>
          </cell>
        </row>
        <row r="140">
          <cell r="E140">
            <v>36.83</v>
          </cell>
          <cell r="F140">
            <v>29.21</v>
          </cell>
          <cell r="G140">
            <v>17.78</v>
          </cell>
        </row>
        <row r="140">
          <cell r="J140">
            <v>0.019127800454</v>
          </cell>
        </row>
        <row r="141">
          <cell r="A141">
            <v>11359</v>
          </cell>
          <cell r="B141" t="str">
            <v>6装纸箱</v>
          </cell>
          <cell r="C141" t="str">
            <v>辛巴</v>
          </cell>
        </row>
        <row r="141">
          <cell r="E141">
            <v>36.83</v>
          </cell>
          <cell r="F141">
            <v>29.21</v>
          </cell>
          <cell r="G141">
            <v>17.78</v>
          </cell>
        </row>
        <row r="141">
          <cell r="J141">
            <v>0.019127800454</v>
          </cell>
        </row>
        <row r="142">
          <cell r="A142">
            <v>11361</v>
          </cell>
          <cell r="B142" t="str">
            <v>6装纸箱</v>
          </cell>
          <cell r="C142" t="str">
            <v>冥王狗</v>
          </cell>
        </row>
        <row r="142">
          <cell r="E142">
            <v>36.83</v>
          </cell>
          <cell r="F142">
            <v>29.21</v>
          </cell>
          <cell r="G142">
            <v>17.78</v>
          </cell>
        </row>
        <row r="142">
          <cell r="J142">
            <v>0.019127800454</v>
          </cell>
        </row>
        <row r="143">
          <cell r="A143">
            <v>11362</v>
          </cell>
          <cell r="B143" t="str">
            <v>6装纸箱</v>
          </cell>
          <cell r="C143" t="str">
            <v>小飞象</v>
          </cell>
        </row>
        <row r="143">
          <cell r="E143">
            <v>36.83</v>
          </cell>
          <cell r="F143">
            <v>29.21</v>
          </cell>
          <cell r="G143">
            <v>17.78</v>
          </cell>
        </row>
        <row r="143">
          <cell r="J143">
            <v>0.019127800454</v>
          </cell>
        </row>
        <row r="144">
          <cell r="A144">
            <v>11363</v>
          </cell>
          <cell r="B144" t="str">
            <v>6装纸箱</v>
          </cell>
          <cell r="C144" t="str">
            <v>维尼熊</v>
          </cell>
        </row>
        <row r="144">
          <cell r="E144">
            <v>36.83</v>
          </cell>
          <cell r="F144">
            <v>29.21</v>
          </cell>
          <cell r="G144">
            <v>17.78</v>
          </cell>
        </row>
        <row r="144">
          <cell r="J144">
            <v>0.019127800454</v>
          </cell>
        </row>
        <row r="145">
          <cell r="A145">
            <v>11364</v>
          </cell>
          <cell r="B145" t="str">
            <v>6装纸箱</v>
          </cell>
          <cell r="C145" t="str">
            <v>玛丽猫</v>
          </cell>
        </row>
        <row r="145">
          <cell r="E145">
            <v>36.83</v>
          </cell>
          <cell r="F145">
            <v>29.21</v>
          </cell>
          <cell r="G145">
            <v>17.78</v>
          </cell>
        </row>
        <row r="145">
          <cell r="J145">
            <v>0.019127800454</v>
          </cell>
        </row>
        <row r="146">
          <cell r="A146">
            <v>26870</v>
          </cell>
          <cell r="B146" t="str">
            <v>48个装纸箱</v>
          </cell>
          <cell r="C146" t="str">
            <v>搪胶小鸭</v>
          </cell>
        </row>
        <row r="146">
          <cell r="E146">
            <v>34.925</v>
          </cell>
          <cell r="F146">
            <v>22.225</v>
          </cell>
          <cell r="G146">
            <v>19.05</v>
          </cell>
        </row>
        <row r="146">
          <cell r="J146">
            <v>0.01478676478125</v>
          </cell>
        </row>
        <row r="147">
          <cell r="A147">
            <v>320752</v>
          </cell>
          <cell r="B147" t="str">
            <v>BATMAN BOOSTER SEAT WITH TABLE</v>
          </cell>
          <cell r="C147" t="str">
            <v>蝙蝠侠座椅和托盘系列</v>
          </cell>
          <cell r="D147">
            <v>1</v>
          </cell>
          <cell r="E147">
            <v>35.56</v>
          </cell>
          <cell r="F147">
            <v>22</v>
          </cell>
          <cell r="G147">
            <v>40</v>
          </cell>
        </row>
        <row r="147">
          <cell r="J147">
            <v>0.0312928</v>
          </cell>
        </row>
        <row r="148">
          <cell r="A148">
            <v>320753</v>
          </cell>
          <cell r="B148" t="str">
            <v>COCOMELON BOOSTER SEAT with TRAY</v>
          </cell>
          <cell r="C148" t="str">
            <v>JJ座椅和托盘系列</v>
          </cell>
          <cell r="D148">
            <v>1</v>
          </cell>
          <cell r="E148">
            <v>35.56</v>
          </cell>
          <cell r="F148">
            <v>22</v>
          </cell>
          <cell r="G148">
            <v>40</v>
          </cell>
        </row>
        <row r="148">
          <cell r="J148">
            <v>0.0312928</v>
          </cell>
        </row>
        <row r="149">
          <cell r="A149">
            <v>470631</v>
          </cell>
        </row>
        <row r="149">
          <cell r="C149" t="str">
            <v>圣代雪糕树</v>
          </cell>
          <cell r="D149">
            <v>8</v>
          </cell>
          <cell r="E149">
            <v>30.7</v>
          </cell>
          <cell r="F149">
            <v>26.3</v>
          </cell>
          <cell r="G149">
            <v>18.8</v>
          </cell>
        </row>
        <row r="149">
          <cell r="J149">
            <v>0.015179308</v>
          </cell>
        </row>
        <row r="150">
          <cell r="A150">
            <v>470632</v>
          </cell>
        </row>
        <row r="150">
          <cell r="C150" t="str">
            <v>草莓吊饰</v>
          </cell>
          <cell r="D150">
            <v>8</v>
          </cell>
          <cell r="E150">
            <v>30.7</v>
          </cell>
          <cell r="F150">
            <v>26.3</v>
          </cell>
          <cell r="G150">
            <v>18.8</v>
          </cell>
        </row>
        <row r="150">
          <cell r="J150">
            <v>0.015179308</v>
          </cell>
        </row>
        <row r="151">
          <cell r="A151">
            <v>470633</v>
          </cell>
        </row>
        <row r="151">
          <cell r="C151" t="str">
            <v>粉色爱心书本</v>
          </cell>
          <cell r="D151">
            <v>8</v>
          </cell>
          <cell r="E151">
            <v>25.7</v>
          </cell>
          <cell r="F151">
            <v>21.2</v>
          </cell>
          <cell r="G151">
            <v>19.8</v>
          </cell>
        </row>
        <row r="151">
          <cell r="J151">
            <v>0.010787832</v>
          </cell>
        </row>
        <row r="152">
          <cell r="A152">
            <v>470634</v>
          </cell>
        </row>
        <row r="152">
          <cell r="C152" t="str">
            <v>书本糖果盒</v>
          </cell>
          <cell r="D152">
            <v>8</v>
          </cell>
          <cell r="E152">
            <v>25.7</v>
          </cell>
          <cell r="F152">
            <v>21.2</v>
          </cell>
          <cell r="G152">
            <v>19.8</v>
          </cell>
        </row>
        <row r="152">
          <cell r="J152">
            <v>0.010787832</v>
          </cell>
        </row>
        <row r="153">
          <cell r="A153" t="str">
            <v>16390（12）</v>
          </cell>
          <cell r="B153" t="str">
            <v>12个装纸箱</v>
          </cell>
          <cell r="C153" t="str">
            <v>情人节系列</v>
          </cell>
          <cell r="D153">
            <v>12</v>
          </cell>
          <cell r="E153">
            <v>20.955</v>
          </cell>
          <cell r="F153">
            <v>17.51</v>
          </cell>
          <cell r="G153">
            <v>8.255</v>
          </cell>
        </row>
        <row r="153">
          <cell r="J153">
            <v>0.00302894152275</v>
          </cell>
        </row>
        <row r="154">
          <cell r="A154" t="str">
            <v>16390（54）</v>
          </cell>
          <cell r="B154" t="str">
            <v>54个装纸箱</v>
          </cell>
          <cell r="C154" t="str">
            <v>情人节系列</v>
          </cell>
          <cell r="D154">
            <v>54</v>
          </cell>
          <cell r="E154">
            <v>35.29</v>
          </cell>
          <cell r="F154">
            <v>20.685</v>
          </cell>
          <cell r="G154">
            <v>34.29</v>
          </cell>
        </row>
        <row r="154">
          <cell r="J154">
            <v>0.0250307964585</v>
          </cell>
        </row>
        <row r="155">
          <cell r="A155" t="str">
            <v>16390（18）</v>
          </cell>
          <cell r="B155" t="str">
            <v>18个装纸箱</v>
          </cell>
          <cell r="C155" t="str">
            <v>情人节系列</v>
          </cell>
          <cell r="D155">
            <v>18</v>
          </cell>
          <cell r="E155">
            <v>32.385</v>
          </cell>
          <cell r="F155">
            <v>18.78</v>
          </cell>
          <cell r="G155">
            <v>9.525</v>
          </cell>
        </row>
        <row r="155">
          <cell r="J155">
            <v>0.0057930126075</v>
          </cell>
        </row>
        <row r="156">
          <cell r="A156" t="str">
            <v>33465（24）</v>
          </cell>
          <cell r="B156" t="str">
            <v>24个装纸箱</v>
          </cell>
          <cell r="C156" t="str">
            <v>WM小搪胶鸭子系列</v>
          </cell>
          <cell r="D156">
            <v>24</v>
          </cell>
          <cell r="E156">
            <v>28.575</v>
          </cell>
          <cell r="F156">
            <v>19.05</v>
          </cell>
          <cell r="G156">
            <v>16.51</v>
          </cell>
        </row>
        <row r="156">
          <cell r="J156">
            <v>0.0089872804125</v>
          </cell>
        </row>
        <row r="157">
          <cell r="A157" t="str">
            <v>36015（12）</v>
          </cell>
          <cell r="B157" t="str">
            <v>12个装纸箱</v>
          </cell>
          <cell r="C157" t="str">
            <v>复活节小鸭</v>
          </cell>
          <cell r="D157">
            <v>12</v>
          </cell>
          <cell r="E157">
            <v>22.7</v>
          </cell>
          <cell r="F157">
            <v>18.6</v>
          </cell>
          <cell r="G157">
            <v>9.8</v>
          </cell>
        </row>
        <row r="157">
          <cell r="J157">
            <v>0.004137756</v>
          </cell>
        </row>
        <row r="158">
          <cell r="A158" t="str">
            <v>36015（18）</v>
          </cell>
          <cell r="B158" t="str">
            <v>18个装纸箱</v>
          </cell>
          <cell r="C158" t="str">
            <v>复活节小鸭</v>
          </cell>
          <cell r="D158">
            <v>18</v>
          </cell>
          <cell r="E158">
            <v>32.385</v>
          </cell>
          <cell r="F158">
            <v>18.78</v>
          </cell>
          <cell r="G158">
            <v>9.525</v>
          </cell>
        </row>
        <row r="158">
          <cell r="J158">
            <v>0.0057930126075</v>
          </cell>
        </row>
        <row r="159">
          <cell r="A159" t="str">
            <v>36015（36）</v>
          </cell>
          <cell r="B159" t="str">
            <v>36个装纸箱</v>
          </cell>
          <cell r="C159" t="str">
            <v>复活节小鸭</v>
          </cell>
          <cell r="D159">
            <v>36</v>
          </cell>
          <cell r="E159">
            <v>22.225</v>
          </cell>
          <cell r="F159">
            <v>18.78</v>
          </cell>
          <cell r="G159">
            <v>26.035</v>
          </cell>
        </row>
        <row r="159">
          <cell r="J159">
            <v>0.0108666314925</v>
          </cell>
        </row>
        <row r="160">
          <cell r="A160" t="str">
            <v>36015（54）</v>
          </cell>
          <cell r="B160" t="str">
            <v>54个装纸箱</v>
          </cell>
          <cell r="C160" t="str">
            <v>复活节小鸭</v>
          </cell>
          <cell r="D160">
            <v>54</v>
          </cell>
          <cell r="E160">
            <v>34.29</v>
          </cell>
          <cell r="F160">
            <v>20.685</v>
          </cell>
          <cell r="G160">
            <v>34.29</v>
          </cell>
        </row>
        <row r="160">
          <cell r="J160">
            <v>0.0243215078085</v>
          </cell>
        </row>
        <row r="161">
          <cell r="A161" t="str">
            <v>470662（14）</v>
          </cell>
          <cell r="B161" t="str">
            <v>17个装纸箱</v>
          </cell>
        </row>
        <row r="161">
          <cell r="D161">
            <v>14</v>
          </cell>
          <cell r="E161">
            <v>46.99</v>
          </cell>
          <cell r="F161">
            <v>33.385</v>
          </cell>
          <cell r="G161">
            <v>31.75</v>
          </cell>
        </row>
        <row r="161">
          <cell r="J161">
            <v>0.0498081665125</v>
          </cell>
        </row>
        <row r="162">
          <cell r="A162">
            <v>320770</v>
          </cell>
          <cell r="B162" t="str">
            <v>3个装纸箱</v>
          </cell>
          <cell r="C162" t="str">
            <v>320405、406、407混装</v>
          </cell>
          <cell r="D162">
            <v>3</v>
          </cell>
          <cell r="E162">
            <v>31.5</v>
          </cell>
          <cell r="F162">
            <v>27</v>
          </cell>
          <cell r="G162">
            <v>20</v>
          </cell>
          <cell r="H162">
            <v>1.5</v>
          </cell>
          <cell r="I162">
            <v>1.83</v>
          </cell>
          <cell r="J162">
            <v>0.01701</v>
          </cell>
        </row>
        <row r="163">
          <cell r="A163" t="str">
            <v>470615（4）</v>
          </cell>
          <cell r="B163" t="str">
            <v>纸箱（4个装）</v>
          </cell>
        </row>
        <row r="163">
          <cell r="E163">
            <v>33</v>
          </cell>
          <cell r="F163">
            <v>17.2</v>
          </cell>
          <cell r="G163">
            <v>28</v>
          </cell>
        </row>
        <row r="163">
          <cell r="J163">
            <v>0.0158928</v>
          </cell>
        </row>
        <row r="164">
          <cell r="A164">
            <v>320913</v>
          </cell>
        </row>
        <row r="164">
          <cell r="C164" t="str">
            <v>卡车</v>
          </cell>
        </row>
        <row r="165">
          <cell r="A165">
            <v>320920</v>
          </cell>
        </row>
        <row r="165">
          <cell r="C165" t="str">
            <v>学校</v>
          </cell>
        </row>
        <row r="166">
          <cell r="A166" t="str">
            <v>17185(36)</v>
          </cell>
          <cell r="B166" t="str">
            <v>36个装纸箱</v>
          </cell>
          <cell r="C166" t="str">
            <v>复活节小鸭</v>
          </cell>
          <cell r="D166">
            <v>36</v>
          </cell>
          <cell r="E166">
            <v>22.225</v>
          </cell>
          <cell r="F166">
            <v>18.78</v>
          </cell>
          <cell r="G166">
            <v>26.035</v>
          </cell>
        </row>
        <row r="166">
          <cell r="J166">
            <v>0.0108666314925</v>
          </cell>
        </row>
        <row r="167">
          <cell r="A167" t="str">
            <v>320409-X</v>
          </cell>
          <cell r="B167" t="str">
            <v>HONEY BEE ACRES SUNFLOWER COUNTRY COTTAGE with Adult Figure</v>
          </cell>
          <cell r="C167" t="str">
            <v>向日葵家</v>
          </cell>
          <cell r="D167">
            <v>2</v>
          </cell>
          <cell r="E167">
            <v>40.259</v>
          </cell>
          <cell r="F167">
            <v>26.543</v>
          </cell>
          <cell r="G167">
            <v>26.035</v>
          </cell>
          <cell r="H167">
            <v>2.34</v>
          </cell>
          <cell r="I167">
            <v>3</v>
          </cell>
          <cell r="J167">
            <v>0.027820861374295</v>
          </cell>
        </row>
        <row r="168">
          <cell r="A168" t="str">
            <v>46113(1)</v>
          </cell>
          <cell r="B168" t="str">
            <v>1个装纸箱</v>
          </cell>
        </row>
        <row r="168">
          <cell r="D168">
            <v>1</v>
          </cell>
          <cell r="E168">
            <v>36</v>
          </cell>
          <cell r="F168">
            <v>24.3</v>
          </cell>
          <cell r="G168">
            <v>44</v>
          </cell>
        </row>
        <row r="168">
          <cell r="J168">
            <v>0.0384912</v>
          </cell>
        </row>
        <row r="169">
          <cell r="A169">
            <v>92568</v>
          </cell>
        </row>
        <row r="169">
          <cell r="D169">
            <v>60</v>
          </cell>
          <cell r="E169">
            <v>70.485</v>
          </cell>
          <cell r="F169">
            <v>47.355</v>
          </cell>
          <cell r="G169">
            <v>42.545</v>
          </cell>
        </row>
        <row r="169">
          <cell r="J169">
            <v>0.142007431710375</v>
          </cell>
        </row>
        <row r="170">
          <cell r="A170">
            <v>92569</v>
          </cell>
        </row>
        <row r="170">
          <cell r="D170">
            <v>60</v>
          </cell>
          <cell r="E170">
            <v>70.485</v>
          </cell>
          <cell r="F170">
            <v>47.355</v>
          </cell>
          <cell r="G170">
            <v>42.545</v>
          </cell>
        </row>
        <row r="170">
          <cell r="J170">
            <v>0.142007431710375</v>
          </cell>
        </row>
        <row r="171">
          <cell r="A171" t="str">
            <v>26850（18）</v>
          </cell>
          <cell r="B171" t="str">
            <v>18个装纸箱</v>
          </cell>
          <cell r="C171" t="str">
            <v>假日小鸭</v>
          </cell>
          <cell r="D171">
            <v>18</v>
          </cell>
          <cell r="E171">
            <v>32.385</v>
          </cell>
          <cell r="F171">
            <v>18.78</v>
          </cell>
          <cell r="G171">
            <v>9.525</v>
          </cell>
        </row>
        <row r="171">
          <cell r="J171">
            <v>0.0057930126075</v>
          </cell>
        </row>
        <row r="172">
          <cell r="A172" t="str">
            <v>26870（48）</v>
          </cell>
          <cell r="B172" t="str">
            <v>48个装纸箱</v>
          </cell>
          <cell r="C172" t="str">
            <v>恐怖小鸭</v>
          </cell>
          <cell r="D172">
            <v>48</v>
          </cell>
          <cell r="E172">
            <v>34.925</v>
          </cell>
          <cell r="F172">
            <v>22.225</v>
          </cell>
          <cell r="G172">
            <v>19.05</v>
          </cell>
        </row>
        <row r="172">
          <cell r="J172">
            <v>0.01478676478125</v>
          </cell>
        </row>
        <row r="173">
          <cell r="A173" t="str">
            <v>26850（48）</v>
          </cell>
          <cell r="B173" t="str">
            <v>48个装纸箱</v>
          </cell>
          <cell r="C173" t="str">
            <v>假日小鸭</v>
          </cell>
          <cell r="D173">
            <v>48</v>
          </cell>
          <cell r="E173">
            <v>34.925</v>
          </cell>
          <cell r="F173">
            <v>22.225</v>
          </cell>
          <cell r="G173">
            <v>19.05</v>
          </cell>
        </row>
        <row r="173">
          <cell r="J173">
            <v>0.01478676478125</v>
          </cell>
        </row>
        <row r="174">
          <cell r="A174" t="str">
            <v>46113(2)</v>
          </cell>
          <cell r="B174" t="str">
            <v>1个装纸箱</v>
          </cell>
          <cell r="C174" t="str">
            <v>史迪仔</v>
          </cell>
          <cell r="D174">
            <v>2</v>
          </cell>
          <cell r="E174">
            <v>45.72</v>
          </cell>
          <cell r="F174">
            <v>36.56</v>
          </cell>
          <cell r="G174">
            <v>41.91</v>
          </cell>
        </row>
        <row r="174">
          <cell r="J174">
            <v>0.070053537312</v>
          </cell>
        </row>
        <row r="175">
          <cell r="A175">
            <v>470805</v>
          </cell>
          <cell r="B175" t="str">
            <v>12个装纸箱</v>
          </cell>
          <cell r="C175" t="str">
            <v>硅胶鹿</v>
          </cell>
          <cell r="D175">
            <v>12</v>
          </cell>
          <cell r="E175">
            <v>20.32</v>
          </cell>
          <cell r="F175">
            <v>13.7</v>
          </cell>
          <cell r="G175">
            <v>11.684</v>
          </cell>
        </row>
        <row r="175">
          <cell r="J175">
            <v>0.003252638656</v>
          </cell>
        </row>
        <row r="176">
          <cell r="A176" t="str">
            <v>33438（72）</v>
          </cell>
          <cell r="B176" t="str">
            <v>74个装纸箱</v>
          </cell>
          <cell r="C176" t="str">
            <v>眼镜鸭子</v>
          </cell>
          <cell r="D176">
            <v>72</v>
          </cell>
          <cell r="E176">
            <v>24.765</v>
          </cell>
          <cell r="F176">
            <v>25.765</v>
          </cell>
          <cell r="G176">
            <v>30.48</v>
          </cell>
        </row>
        <row r="176">
          <cell r="J176">
            <v>0.019448380458</v>
          </cell>
        </row>
        <row r="177">
          <cell r="A177" t="str">
            <v>11839（8）</v>
          </cell>
          <cell r="B177" t="str">
            <v>8个装纸箱</v>
          </cell>
          <cell r="C177" t="str">
            <v>磁铁肩膀史迪仔</v>
          </cell>
          <cell r="D177">
            <v>8</v>
          </cell>
          <cell r="E177">
            <v>30.48</v>
          </cell>
          <cell r="F177">
            <v>27.67</v>
          </cell>
          <cell r="G177">
            <v>15.24</v>
          </cell>
        </row>
        <row r="177">
          <cell r="J177">
            <v>0.012853135584</v>
          </cell>
        </row>
        <row r="178">
          <cell r="A178" t="str">
            <v>26870（36）</v>
          </cell>
          <cell r="B178" t="str">
            <v>36个装纸箱</v>
          </cell>
          <cell r="C178" t="str">
            <v>假日小鸭</v>
          </cell>
          <cell r="D178">
            <v>36</v>
          </cell>
          <cell r="E178">
            <v>22.225</v>
          </cell>
          <cell r="F178">
            <v>18.78</v>
          </cell>
          <cell r="G178">
            <v>26.035</v>
          </cell>
        </row>
        <row r="178">
          <cell r="J178">
            <v>0.0108666314925</v>
          </cell>
        </row>
        <row r="179">
          <cell r="A179">
            <v>470764</v>
          </cell>
          <cell r="B179" t="str">
            <v>1个装纸箱</v>
          </cell>
          <cell r="C179" t="str">
            <v>大型自卸车</v>
          </cell>
          <cell r="D179">
            <v>1</v>
          </cell>
          <cell r="E179">
            <v>42</v>
          </cell>
          <cell r="F179">
            <v>22</v>
          </cell>
          <cell r="G179">
            <v>29</v>
          </cell>
        </row>
        <row r="179">
          <cell r="J179">
            <v>0.026796</v>
          </cell>
        </row>
        <row r="180">
          <cell r="A180">
            <v>470813</v>
          </cell>
          <cell r="B180" t="str">
            <v>纸箱（4个装）</v>
          </cell>
        </row>
        <row r="180">
          <cell r="E180">
            <v>33</v>
          </cell>
          <cell r="F180">
            <v>17.2</v>
          </cell>
          <cell r="G180">
            <v>28</v>
          </cell>
        </row>
        <row r="180">
          <cell r="J180">
            <v>0.0158928</v>
          </cell>
        </row>
        <row r="181">
          <cell r="A181">
            <v>470814</v>
          </cell>
          <cell r="B181" t="str">
            <v>纸箱（4个装）</v>
          </cell>
        </row>
        <row r="181">
          <cell r="E181">
            <v>33</v>
          </cell>
          <cell r="F181">
            <v>17.2</v>
          </cell>
          <cell r="G181">
            <v>28</v>
          </cell>
        </row>
        <row r="181">
          <cell r="J181">
            <v>0.0158928</v>
          </cell>
        </row>
        <row r="182">
          <cell r="A182">
            <v>470725</v>
          </cell>
          <cell r="B182" t="str">
            <v>独角兽家族</v>
          </cell>
          <cell r="C182" t="str">
            <v>独角兽家族</v>
          </cell>
          <cell r="D182">
            <v>4</v>
          </cell>
          <cell r="E182">
            <v>25.5</v>
          </cell>
          <cell r="F182">
            <v>21</v>
          </cell>
          <cell r="G182">
            <v>20</v>
          </cell>
          <cell r="H182">
            <v>0.5</v>
          </cell>
          <cell r="I182">
            <v>0.7</v>
          </cell>
          <cell r="J182">
            <v>0.01071</v>
          </cell>
        </row>
        <row r="183">
          <cell r="A183" t="str">
            <v>33475（18）</v>
          </cell>
          <cell r="B183" t="str">
            <v>纸箱（18个装）</v>
          </cell>
          <cell r="C183" t="str">
            <v>鸭子</v>
          </cell>
          <cell r="D183">
            <v>18</v>
          </cell>
          <cell r="E183">
            <v>32.385</v>
          </cell>
          <cell r="F183">
            <v>18.78</v>
          </cell>
          <cell r="G183">
            <v>9.525</v>
          </cell>
        </row>
        <row r="183">
          <cell r="J183">
            <v>0.0057930126075</v>
          </cell>
        </row>
        <row r="184">
          <cell r="A184" t="str">
            <v>33395（36）</v>
          </cell>
          <cell r="B184" t="str">
            <v>纸箱（36个装）</v>
          </cell>
          <cell r="C184" t="str">
            <v>鸭子</v>
          </cell>
          <cell r="D184">
            <v>36</v>
          </cell>
          <cell r="E184">
            <v>22.225</v>
          </cell>
          <cell r="F184">
            <v>18.78</v>
          </cell>
          <cell r="G184">
            <v>26.035</v>
          </cell>
        </row>
        <row r="184">
          <cell r="J184">
            <v>0.0108666314925</v>
          </cell>
        </row>
        <row r="185">
          <cell r="A185" t="str">
            <v>26870（18）</v>
          </cell>
          <cell r="B185" t="str">
            <v>纸箱（18个装）</v>
          </cell>
          <cell r="C185" t="str">
            <v>鸭子</v>
          </cell>
          <cell r="D185">
            <v>18</v>
          </cell>
          <cell r="E185">
            <v>32.385</v>
          </cell>
          <cell r="F185">
            <v>18.78</v>
          </cell>
          <cell r="G185">
            <v>9.525</v>
          </cell>
        </row>
        <row r="185">
          <cell r="J185">
            <v>0.0057930126075</v>
          </cell>
        </row>
        <row r="186">
          <cell r="A186">
            <v>470534</v>
          </cell>
          <cell r="B186" t="str">
            <v>纸箱（3个装）</v>
          </cell>
          <cell r="C186" t="str">
            <v>搪胶公仔白种人</v>
          </cell>
          <cell r="D186">
            <v>3</v>
          </cell>
          <cell r="E186">
            <v>40.64</v>
          </cell>
          <cell r="F186">
            <v>21.701</v>
          </cell>
          <cell r="G186">
            <v>33.401</v>
          </cell>
        </row>
        <row r="186">
          <cell r="J186">
            <v>0.02945729850464</v>
          </cell>
        </row>
        <row r="187">
          <cell r="A187">
            <v>470535</v>
          </cell>
          <cell r="B187" t="str">
            <v>纸箱（3个装）</v>
          </cell>
          <cell r="C187" t="str">
            <v>搪胶公仔亚洲人</v>
          </cell>
          <cell r="D187">
            <v>3</v>
          </cell>
          <cell r="E187">
            <v>40.64</v>
          </cell>
          <cell r="F187">
            <v>21.701</v>
          </cell>
          <cell r="G187">
            <v>33.401</v>
          </cell>
        </row>
        <row r="187">
          <cell r="J187">
            <v>0.02945729850464</v>
          </cell>
        </row>
        <row r="188">
          <cell r="A188">
            <v>470536</v>
          </cell>
          <cell r="B188" t="str">
            <v>纸箱（3个装）</v>
          </cell>
          <cell r="C188" t="str">
            <v>搪胶公仔西班牙人</v>
          </cell>
          <cell r="D188">
            <v>3</v>
          </cell>
          <cell r="E188">
            <v>40.64</v>
          </cell>
          <cell r="F188">
            <v>21.701</v>
          </cell>
          <cell r="G188">
            <v>33.401</v>
          </cell>
        </row>
        <row r="188">
          <cell r="J188">
            <v>0.02945729850464</v>
          </cell>
        </row>
        <row r="189">
          <cell r="A189">
            <v>470537</v>
          </cell>
          <cell r="B189" t="str">
            <v>纸箱（3个装）</v>
          </cell>
          <cell r="C189" t="str">
            <v>搪胶公仔非洲人</v>
          </cell>
          <cell r="D189">
            <v>3</v>
          </cell>
          <cell r="E189">
            <v>40.64</v>
          </cell>
          <cell r="F189">
            <v>21.701</v>
          </cell>
          <cell r="G189">
            <v>33.401</v>
          </cell>
        </row>
        <row r="189">
          <cell r="J189">
            <v>0.02945729850464</v>
          </cell>
        </row>
        <row r="190">
          <cell r="A190" t="str">
            <v>33490（18）</v>
          </cell>
          <cell r="B190" t="str">
            <v>纸箱（18个装）</v>
          </cell>
          <cell r="C190" t="str">
            <v>鸭子</v>
          </cell>
          <cell r="D190">
            <v>18</v>
          </cell>
          <cell r="E190">
            <v>32.385</v>
          </cell>
          <cell r="F190">
            <v>18.78</v>
          </cell>
          <cell r="G190">
            <v>9.525</v>
          </cell>
        </row>
        <row r="190">
          <cell r="J190">
            <v>0.0057930126075</v>
          </cell>
        </row>
        <row r="191">
          <cell r="A191" t="str">
            <v>33465（12）</v>
          </cell>
          <cell r="B191" t="str">
            <v>纸箱（12个装）</v>
          </cell>
          <cell r="C191" t="str">
            <v>鸭子</v>
          </cell>
          <cell r="D191">
            <v>12</v>
          </cell>
          <cell r="E191">
            <v>20.955</v>
          </cell>
          <cell r="F191">
            <v>17.51</v>
          </cell>
          <cell r="G191">
            <v>8.255</v>
          </cell>
        </row>
        <row r="191">
          <cell r="J191">
            <v>0.00302894152275</v>
          </cell>
        </row>
        <row r="192">
          <cell r="A192">
            <v>470528</v>
          </cell>
          <cell r="B192" t="str">
            <v>纸箱（3个装）</v>
          </cell>
          <cell r="C192" t="str">
            <v>冰淇淋系列</v>
          </cell>
          <cell r="D192">
            <v>3</v>
          </cell>
          <cell r="E192">
            <v>32.7</v>
          </cell>
          <cell r="F192">
            <v>31.75</v>
          </cell>
          <cell r="G192">
            <v>33.35</v>
          </cell>
        </row>
        <row r="192">
          <cell r="J192">
            <v>0.03462480375</v>
          </cell>
        </row>
        <row r="193">
          <cell r="A193">
            <v>470688</v>
          </cell>
          <cell r="B193" t="str">
            <v>纸箱（3个装）</v>
          </cell>
          <cell r="C193" t="str">
            <v>生日蛋糕系列</v>
          </cell>
          <cell r="D193">
            <v>3</v>
          </cell>
          <cell r="E193">
            <v>31.43</v>
          </cell>
          <cell r="F193">
            <v>29.85</v>
          </cell>
          <cell r="G193">
            <v>33.35</v>
          </cell>
        </row>
        <row r="193">
          <cell r="J193">
            <v>0.031288486425</v>
          </cell>
        </row>
        <row r="194">
          <cell r="A194">
            <v>470689</v>
          </cell>
          <cell r="B194" t="str">
            <v>纸箱（3个装）</v>
          </cell>
          <cell r="C194" t="str">
            <v>甜品糕系列</v>
          </cell>
          <cell r="D194">
            <v>3</v>
          </cell>
          <cell r="E194">
            <v>31.43</v>
          </cell>
          <cell r="F194">
            <v>29.85</v>
          </cell>
          <cell r="G194">
            <v>33.35</v>
          </cell>
        </row>
        <row r="194">
          <cell r="J194">
            <v>0.031288486425</v>
          </cell>
        </row>
        <row r="195">
          <cell r="A195" t="str">
            <v>11369（1）</v>
          </cell>
          <cell r="B195" t="str">
            <v>纸箱（1个装）</v>
          </cell>
          <cell r="C195" t="str">
            <v>投影米奇</v>
          </cell>
          <cell r="D195">
            <v>1</v>
          </cell>
          <cell r="E195">
            <v>26.67</v>
          </cell>
          <cell r="F195">
            <v>18.78</v>
          </cell>
          <cell r="G195">
            <v>32.385</v>
          </cell>
        </row>
        <row r="195">
          <cell r="J195">
            <v>0.016220435301</v>
          </cell>
        </row>
        <row r="196">
          <cell r="A196" t="str">
            <v>33454(48)</v>
          </cell>
          <cell r="B196" t="str">
            <v>纸箱（48个装）</v>
          </cell>
          <cell r="C196" t="str">
            <v>鸭子</v>
          </cell>
          <cell r="D196">
            <v>48</v>
          </cell>
          <cell r="E196">
            <v>37.15</v>
          </cell>
          <cell r="F196">
            <v>33</v>
          </cell>
          <cell r="G196">
            <v>33.34</v>
          </cell>
        </row>
        <row r="196">
          <cell r="J196">
            <v>0.040873173</v>
          </cell>
        </row>
        <row r="197">
          <cell r="A197">
            <v>470529</v>
          </cell>
          <cell r="B197" t="str">
            <v>纸箱（3个装）</v>
          </cell>
          <cell r="C197" t="str">
            <v>搅拌机系列</v>
          </cell>
          <cell r="D197">
            <v>3</v>
          </cell>
          <cell r="E197">
            <v>41.59</v>
          </cell>
          <cell r="F197">
            <v>33</v>
          </cell>
          <cell r="G197">
            <v>33.35</v>
          </cell>
        </row>
        <row r="197">
          <cell r="J197">
            <v>0.0457718745</v>
          </cell>
        </row>
        <row r="198">
          <cell r="A198">
            <v>470690</v>
          </cell>
          <cell r="B198" t="str">
            <v>纸箱（3个装）</v>
          </cell>
          <cell r="C198" t="str">
            <v>电磁炉系列</v>
          </cell>
          <cell r="D198">
            <v>3</v>
          </cell>
          <cell r="E198">
            <v>41.59</v>
          </cell>
          <cell r="F198">
            <v>28.5</v>
          </cell>
          <cell r="G198">
            <v>33.35</v>
          </cell>
        </row>
        <row r="198">
          <cell r="J198">
            <v>0.03953025525</v>
          </cell>
        </row>
        <row r="199">
          <cell r="A199">
            <v>470691</v>
          </cell>
          <cell r="B199" t="str">
            <v>纸箱（3个装）</v>
          </cell>
          <cell r="C199" t="str">
            <v>华夫饼系列</v>
          </cell>
          <cell r="D199">
            <v>3</v>
          </cell>
          <cell r="E199">
            <v>41.59</v>
          </cell>
          <cell r="F199">
            <v>24.77</v>
          </cell>
          <cell r="G199">
            <v>33.35</v>
          </cell>
        </row>
        <row r="199">
          <cell r="J199">
            <v>0.034356646405</v>
          </cell>
        </row>
        <row r="200">
          <cell r="A200">
            <v>470692</v>
          </cell>
          <cell r="B200" t="str">
            <v>纸箱（3个装）</v>
          </cell>
          <cell r="C200" t="str">
            <v>酸奶系列</v>
          </cell>
          <cell r="D200">
            <v>3</v>
          </cell>
          <cell r="E200">
            <v>31.43</v>
          </cell>
          <cell r="F200">
            <v>26.9</v>
          </cell>
          <cell r="G200">
            <v>33.35</v>
          </cell>
        </row>
        <row r="200">
          <cell r="J200">
            <v>0.02819632445</v>
          </cell>
        </row>
        <row r="201">
          <cell r="A201" t="str">
            <v>33487（96）</v>
          </cell>
          <cell r="B201" t="str">
            <v>纸箱（96个装）</v>
          </cell>
          <cell r="C201" t="str">
            <v>盲盒小鸭</v>
          </cell>
          <cell r="D201">
            <v>96</v>
          </cell>
          <cell r="E201">
            <v>54.95</v>
          </cell>
          <cell r="F201">
            <v>34.95</v>
          </cell>
          <cell r="G201">
            <v>42.9</v>
          </cell>
        </row>
        <row r="201">
          <cell r="J201">
            <v>0.08238955725</v>
          </cell>
        </row>
        <row r="202">
          <cell r="A202" t="str">
            <v>棉</v>
          </cell>
        </row>
        <row r="202">
          <cell r="E202">
            <v>120</v>
          </cell>
          <cell r="F202">
            <v>110</v>
          </cell>
          <cell r="G202">
            <v>75</v>
          </cell>
        </row>
        <row r="202">
          <cell r="J202">
            <v>0.99</v>
          </cell>
        </row>
        <row r="203">
          <cell r="A203" t="str">
            <v>33369(96）</v>
          </cell>
          <cell r="B203" t="str">
            <v>纸箱（96个装）</v>
          </cell>
          <cell r="C203" t="str">
            <v>迷你搪胶小鸭</v>
          </cell>
          <cell r="D203">
            <v>96</v>
          </cell>
          <cell r="E203">
            <v>39.7</v>
          </cell>
          <cell r="F203">
            <v>22.9</v>
          </cell>
          <cell r="G203">
            <v>30.8</v>
          </cell>
        </row>
        <row r="203">
          <cell r="J203">
            <v>0.028001204</v>
          </cell>
        </row>
        <row r="204">
          <cell r="A204">
            <v>46092</v>
          </cell>
          <cell r="B204" t="str">
            <v>纸箱（10个装）</v>
          </cell>
          <cell r="C204" t="str">
            <v>玩具总动员系列</v>
          </cell>
          <cell r="D204">
            <v>10</v>
          </cell>
          <cell r="E204">
            <v>40.01</v>
          </cell>
          <cell r="F204">
            <v>26.67</v>
          </cell>
          <cell r="G204">
            <v>20.96</v>
          </cell>
        </row>
        <row r="204">
          <cell r="J204">
            <v>0.022365718032</v>
          </cell>
        </row>
        <row r="205">
          <cell r="A205">
            <v>46134</v>
          </cell>
          <cell r="B205" t="str">
            <v>纸箱（10个装）</v>
          </cell>
          <cell r="C205" t="str">
            <v>海洋奇缘系列</v>
          </cell>
          <cell r="D205">
            <v>10</v>
          </cell>
          <cell r="E205">
            <v>40.01</v>
          </cell>
          <cell r="F205">
            <v>26.67</v>
          </cell>
          <cell r="G205">
            <v>20.96</v>
          </cell>
        </row>
        <row r="205">
          <cell r="J205">
            <v>0.022365718032</v>
          </cell>
        </row>
        <row r="206">
          <cell r="A206">
            <v>46132</v>
          </cell>
          <cell r="B206" t="str">
            <v>纸箱（10个装）</v>
          </cell>
          <cell r="C206" t="str">
            <v>赛车总动员系列</v>
          </cell>
          <cell r="D206">
            <v>10</v>
          </cell>
          <cell r="E206">
            <v>40.01</v>
          </cell>
          <cell r="F206">
            <v>26.67</v>
          </cell>
          <cell r="G206">
            <v>20.96</v>
          </cell>
        </row>
        <row r="206">
          <cell r="J206">
            <v>0.022365718032</v>
          </cell>
        </row>
        <row r="207">
          <cell r="A207">
            <v>470745</v>
          </cell>
        </row>
        <row r="207">
          <cell r="D207">
            <v>3</v>
          </cell>
          <cell r="E207">
            <v>32.7</v>
          </cell>
          <cell r="F207">
            <v>31.75</v>
          </cell>
          <cell r="G207">
            <v>33.35</v>
          </cell>
        </row>
        <row r="207">
          <cell r="J207">
            <v>0.03462480375</v>
          </cell>
        </row>
        <row r="208">
          <cell r="A208">
            <v>470746</v>
          </cell>
        </row>
        <row r="208">
          <cell r="D208">
            <v>3</v>
          </cell>
          <cell r="E208">
            <v>41.59</v>
          </cell>
          <cell r="F208">
            <v>33</v>
          </cell>
          <cell r="G208">
            <v>33.35</v>
          </cell>
        </row>
        <row r="208">
          <cell r="J208">
            <v>0.0457718745</v>
          </cell>
        </row>
        <row r="209">
          <cell r="A209">
            <v>470748</v>
          </cell>
        </row>
        <row r="209">
          <cell r="D209">
            <v>3</v>
          </cell>
          <cell r="E209">
            <v>31.43</v>
          </cell>
          <cell r="F209">
            <v>29.85</v>
          </cell>
          <cell r="G209">
            <v>33.35</v>
          </cell>
        </row>
        <row r="209">
          <cell r="J209">
            <v>0.031288486425</v>
          </cell>
        </row>
        <row r="210">
          <cell r="A210">
            <v>470749</v>
          </cell>
        </row>
        <row r="210">
          <cell r="D210">
            <v>3</v>
          </cell>
          <cell r="E210">
            <v>31.43</v>
          </cell>
          <cell r="F210">
            <v>29.85</v>
          </cell>
          <cell r="G210">
            <v>33.35</v>
          </cell>
        </row>
        <row r="210">
          <cell r="J210">
            <v>0.031288486425</v>
          </cell>
        </row>
        <row r="211">
          <cell r="A211">
            <v>470751</v>
          </cell>
        </row>
        <row r="211">
          <cell r="D211">
            <v>3</v>
          </cell>
          <cell r="E211">
            <v>41.59</v>
          </cell>
          <cell r="F211">
            <v>24.77</v>
          </cell>
          <cell r="G211">
            <v>33.35</v>
          </cell>
        </row>
        <row r="211">
          <cell r="J211">
            <v>0.034356646405</v>
          </cell>
        </row>
        <row r="212">
          <cell r="A212">
            <v>470752</v>
          </cell>
        </row>
        <row r="212">
          <cell r="D212">
            <v>3</v>
          </cell>
          <cell r="E212">
            <v>31.43</v>
          </cell>
          <cell r="F212">
            <v>26.9</v>
          </cell>
          <cell r="G212">
            <v>33.35</v>
          </cell>
        </row>
        <row r="212">
          <cell r="J212">
            <v>0.02819632445</v>
          </cell>
        </row>
        <row r="213">
          <cell r="A213">
            <v>470753</v>
          </cell>
        </row>
        <row r="213">
          <cell r="D213">
            <v>3</v>
          </cell>
          <cell r="E213">
            <v>31.43</v>
          </cell>
          <cell r="F213">
            <v>22.86</v>
          </cell>
          <cell r="G213">
            <v>33.34</v>
          </cell>
        </row>
        <row r="213">
          <cell r="J213">
            <v>0.023954449932</v>
          </cell>
        </row>
        <row r="214">
          <cell r="A214">
            <v>470724</v>
          </cell>
        </row>
        <row r="214">
          <cell r="D214">
            <v>2</v>
          </cell>
          <cell r="E214">
            <v>62.55</v>
          </cell>
          <cell r="F214">
            <v>21.59</v>
          </cell>
          <cell r="G214">
            <v>41.59</v>
          </cell>
        </row>
        <row r="214">
          <cell r="J214">
            <v>0.056165402655</v>
          </cell>
        </row>
        <row r="215">
          <cell r="A215">
            <v>320628</v>
          </cell>
        </row>
        <row r="215">
          <cell r="C215" t="str">
            <v>生日趴对</v>
          </cell>
          <cell r="D215">
            <v>4</v>
          </cell>
          <cell r="E215">
            <v>25.75</v>
          </cell>
          <cell r="F215">
            <v>17.78</v>
          </cell>
          <cell r="G215">
            <v>20.64</v>
          </cell>
        </row>
        <row r="215">
          <cell r="J215">
            <v>0.0094497144</v>
          </cell>
        </row>
        <row r="216">
          <cell r="A216" t="str">
            <v>33475（36）</v>
          </cell>
        </row>
        <row r="216">
          <cell r="C216" t="str">
            <v>搪胶小鸭</v>
          </cell>
          <cell r="D216">
            <v>36</v>
          </cell>
          <cell r="E216">
            <v>31.75</v>
          </cell>
          <cell r="F216">
            <v>18.41</v>
          </cell>
          <cell r="G216">
            <v>20.32</v>
          </cell>
        </row>
        <row r="216">
          <cell r="J216">
            <v>0.0118773956</v>
          </cell>
        </row>
        <row r="217">
          <cell r="A217" t="str">
            <v>11369（4）</v>
          </cell>
          <cell r="B217" t="str">
            <v>纸箱（4个装）</v>
          </cell>
          <cell r="C217" t="str">
            <v>投影米奇</v>
          </cell>
          <cell r="D217">
            <v>4</v>
          </cell>
          <cell r="E217">
            <v>64.135</v>
          </cell>
          <cell r="F217">
            <v>36.83</v>
          </cell>
          <cell r="G217">
            <v>42.545</v>
          </cell>
        </row>
        <row r="217">
          <cell r="J217">
            <v>0.10049520626725</v>
          </cell>
        </row>
        <row r="218">
          <cell r="A218" t="str">
            <v>58725(12)</v>
          </cell>
        </row>
        <row r="218">
          <cell r="D218">
            <v>12</v>
          </cell>
          <cell r="E218">
            <v>22.54</v>
          </cell>
          <cell r="F218">
            <v>18.42</v>
          </cell>
          <cell r="G218">
            <v>11.11</v>
          </cell>
        </row>
        <row r="218">
          <cell r="J218">
            <v>0.004612725348</v>
          </cell>
        </row>
        <row r="219">
          <cell r="A219" t="str">
            <v>88188（2）</v>
          </cell>
        </row>
        <row r="219">
          <cell r="C219" t="str">
            <v>背包狗</v>
          </cell>
          <cell r="D219">
            <v>2</v>
          </cell>
          <cell r="E219">
            <v>37.15</v>
          </cell>
          <cell r="F219">
            <v>27.77</v>
          </cell>
          <cell r="G219">
            <v>35.88</v>
          </cell>
        </row>
        <row r="219">
          <cell r="J219">
            <v>0.03701579934</v>
          </cell>
        </row>
        <row r="220">
          <cell r="A220" t="str">
            <v>58725(36)</v>
          </cell>
        </row>
        <row r="220">
          <cell r="D220">
            <v>36</v>
          </cell>
          <cell r="E220">
            <v>31.75</v>
          </cell>
          <cell r="F220">
            <v>18.41</v>
          </cell>
          <cell r="G220">
            <v>20.32</v>
          </cell>
        </row>
        <row r="220">
          <cell r="J220">
            <v>0.0118773956</v>
          </cell>
        </row>
        <row r="221">
          <cell r="A221">
            <v>33580</v>
          </cell>
        </row>
        <row r="221">
          <cell r="C221" t="str">
            <v>搪胶小鸭</v>
          </cell>
          <cell r="D221">
            <v>48</v>
          </cell>
          <cell r="E221">
            <v>35.6</v>
          </cell>
          <cell r="F221">
            <v>23.4</v>
          </cell>
          <cell r="G221">
            <v>19.5</v>
          </cell>
        </row>
        <row r="221">
          <cell r="J221">
            <v>0.01624428</v>
          </cell>
        </row>
        <row r="222">
          <cell r="A222">
            <v>571067</v>
          </cell>
          <cell r="B222" t="str">
            <v>571067-2L（320915/320632/320402）</v>
          </cell>
          <cell r="C222" t="str">
            <v>（320915/632/402）混装</v>
          </cell>
          <cell r="D222">
            <v>4</v>
          </cell>
          <cell r="E222">
            <v>31.5</v>
          </cell>
          <cell r="F222">
            <v>25</v>
          </cell>
          <cell r="G222">
            <v>20</v>
          </cell>
        </row>
        <row r="222">
          <cell r="J222">
            <v>0.01575</v>
          </cell>
        </row>
        <row r="223">
          <cell r="A223">
            <v>470026</v>
          </cell>
          <cell r="B223" t="str">
            <v>470026-2L（470725/320630/320631/320918）</v>
          </cell>
        </row>
        <row r="223">
          <cell r="D223">
            <v>4</v>
          </cell>
          <cell r="E223">
            <v>25</v>
          </cell>
          <cell r="F223">
            <v>20.5</v>
          </cell>
          <cell r="G223">
            <v>20</v>
          </cell>
        </row>
        <row r="223">
          <cell r="J223">
            <v>0.01025</v>
          </cell>
        </row>
        <row r="224">
          <cell r="A224">
            <v>570929</v>
          </cell>
          <cell r="B224" t="str">
            <v>570929（470195/320785/320629/320627）</v>
          </cell>
          <cell r="C224" t="str">
            <v>（195/785/629/627）混装</v>
          </cell>
          <cell r="D224">
            <v>4</v>
          </cell>
          <cell r="E224">
            <v>28.89</v>
          </cell>
          <cell r="F224">
            <v>17.78</v>
          </cell>
          <cell r="G224">
            <v>20</v>
          </cell>
        </row>
        <row r="224">
          <cell r="J224">
            <v>0.010273284</v>
          </cell>
        </row>
        <row r="225">
          <cell r="A225">
            <v>320770</v>
          </cell>
          <cell r="B225" t="str">
            <v>3个装纸箱</v>
          </cell>
          <cell r="C225" t="str">
            <v>320405、406、407混装</v>
          </cell>
          <cell r="D225">
            <v>3</v>
          </cell>
          <cell r="E225">
            <v>31.5</v>
          </cell>
          <cell r="F225">
            <v>27</v>
          </cell>
          <cell r="G225">
            <v>20</v>
          </cell>
        </row>
        <row r="225">
          <cell r="J225">
            <v>0.01701</v>
          </cell>
        </row>
        <row r="226">
          <cell r="A226">
            <v>75280</v>
          </cell>
          <cell r="B226" t="str">
            <v>4个装纸箱</v>
          </cell>
        </row>
        <row r="226">
          <cell r="D226">
            <v>4</v>
          </cell>
          <cell r="E226">
            <v>33.97</v>
          </cell>
          <cell r="F226">
            <v>20.96</v>
          </cell>
          <cell r="G226">
            <v>34.61</v>
          </cell>
        </row>
        <row r="226">
          <cell r="J226">
            <v>0.024642707632</v>
          </cell>
        </row>
        <row r="227">
          <cell r="A227">
            <v>33550</v>
          </cell>
          <cell r="B227" t="str">
            <v>巨鸭</v>
          </cell>
          <cell r="C227" t="str">
            <v>巨鸭</v>
          </cell>
          <cell r="D227">
            <v>6</v>
          </cell>
          <cell r="E227">
            <v>60.5</v>
          </cell>
          <cell r="F227">
            <v>38.7</v>
          </cell>
          <cell r="G227">
            <v>25.7</v>
          </cell>
        </row>
        <row r="227">
          <cell r="J227">
            <v>0.060172695</v>
          </cell>
        </row>
        <row r="228">
          <cell r="A228">
            <v>28458</v>
          </cell>
          <cell r="B228" t="str">
            <v>五款硅胶手感球</v>
          </cell>
          <cell r="C228" t="str">
            <v>五款硅胶手感球</v>
          </cell>
          <cell r="D228">
            <v>15</v>
          </cell>
          <cell r="E228">
            <v>26.99</v>
          </cell>
          <cell r="F228">
            <v>27.31</v>
          </cell>
          <cell r="G228">
            <v>28.26</v>
          </cell>
        </row>
        <row r="228">
          <cell r="J228">
            <v>0.020830358394</v>
          </cell>
        </row>
        <row r="229">
          <cell r="A229">
            <v>28468</v>
          </cell>
          <cell r="B229" t="str">
            <v>大象</v>
          </cell>
          <cell r="C229" t="str">
            <v>大象</v>
          </cell>
          <cell r="D229">
            <v>1</v>
          </cell>
          <cell r="E229">
            <v>30</v>
          </cell>
          <cell r="F229">
            <v>20</v>
          </cell>
          <cell r="G229">
            <v>28</v>
          </cell>
        </row>
        <row r="229">
          <cell r="J229">
            <v>0.0168</v>
          </cell>
        </row>
        <row r="230">
          <cell r="A230">
            <v>28467</v>
          </cell>
          <cell r="B230" t="str">
            <v>青蛙</v>
          </cell>
          <cell r="C230" t="str">
            <v>青蛙</v>
          </cell>
          <cell r="D230">
            <v>1</v>
          </cell>
          <cell r="E230">
            <v>30</v>
          </cell>
          <cell r="F230">
            <v>20</v>
          </cell>
          <cell r="G230">
            <v>28</v>
          </cell>
        </row>
        <row r="230">
          <cell r="J230">
            <v>0.0168</v>
          </cell>
        </row>
        <row r="231">
          <cell r="A231">
            <v>28466</v>
          </cell>
          <cell r="B231" t="str">
            <v>长颈鹿</v>
          </cell>
          <cell r="C231" t="str">
            <v>长颈鹿</v>
          </cell>
          <cell r="D231">
            <v>1</v>
          </cell>
          <cell r="E231">
            <v>30</v>
          </cell>
          <cell r="F231">
            <v>20</v>
          </cell>
          <cell r="G231">
            <v>28</v>
          </cell>
        </row>
        <row r="231">
          <cell r="J231">
            <v>0.0168</v>
          </cell>
        </row>
        <row r="232">
          <cell r="A232">
            <v>28472</v>
          </cell>
          <cell r="B232" t="str">
            <v>狮子</v>
          </cell>
          <cell r="C232" t="str">
            <v>狮子</v>
          </cell>
          <cell r="D232">
            <v>1</v>
          </cell>
          <cell r="E232">
            <v>30</v>
          </cell>
          <cell r="F232">
            <v>17</v>
          </cell>
          <cell r="G232">
            <v>36</v>
          </cell>
        </row>
        <row r="232">
          <cell r="J232">
            <v>0.01836</v>
          </cell>
        </row>
        <row r="233">
          <cell r="A233">
            <v>320923</v>
          </cell>
          <cell r="B233" t="str">
            <v>花店</v>
          </cell>
          <cell r="C233" t="str">
            <v>花店</v>
          </cell>
          <cell r="D233">
            <v>1</v>
          </cell>
          <cell r="E233">
            <v>39.94</v>
          </cell>
          <cell r="F233">
            <v>30.1</v>
          </cell>
          <cell r="G233">
            <v>21.91</v>
          </cell>
        </row>
        <row r="233">
          <cell r="J233">
            <v>0.02634007054</v>
          </cell>
        </row>
        <row r="234">
          <cell r="A234">
            <v>28465</v>
          </cell>
          <cell r="B234" t="str">
            <v>14寸动物</v>
          </cell>
          <cell r="C234" t="str">
            <v>大象&amp;青蛙&amp;长颈鹿</v>
          </cell>
          <cell r="D234">
            <v>6</v>
          </cell>
          <cell r="E234">
            <v>63</v>
          </cell>
          <cell r="F234">
            <v>43</v>
          </cell>
          <cell r="G234">
            <v>30</v>
          </cell>
        </row>
        <row r="234">
          <cell r="J234">
            <v>0.08127</v>
          </cell>
        </row>
        <row r="235">
          <cell r="A235">
            <v>11441</v>
          </cell>
          <cell r="B235" t="str">
            <v>搪胶小鸭</v>
          </cell>
          <cell r="C235" t="str">
            <v>搪胶小鸭</v>
          </cell>
          <cell r="D235">
            <v>45</v>
          </cell>
          <cell r="E235">
            <v>27</v>
          </cell>
          <cell r="F235">
            <v>16.6</v>
          </cell>
          <cell r="G235">
            <v>26.5</v>
          </cell>
        </row>
        <row r="235">
          <cell r="J235">
            <v>0.0118773</v>
          </cell>
        </row>
        <row r="236">
          <cell r="A236">
            <v>14245</v>
          </cell>
          <cell r="B236" t="str">
            <v>磁铁肩膀公仔</v>
          </cell>
          <cell r="C236" t="str">
            <v>磁铁肩膀史迪仔</v>
          </cell>
          <cell r="D236">
            <v>4</v>
          </cell>
          <cell r="E236">
            <v>21.91</v>
          </cell>
          <cell r="F236">
            <v>22.23</v>
          </cell>
          <cell r="G236">
            <v>18.1</v>
          </cell>
        </row>
        <row r="236">
          <cell r="J236">
            <v>0.00881577333</v>
          </cell>
        </row>
        <row r="237">
          <cell r="A237" t="str">
            <v>D70850/470724</v>
          </cell>
          <cell r="B237" t="str">
            <v>火车</v>
          </cell>
        </row>
        <row r="237">
          <cell r="D237">
            <v>12</v>
          </cell>
          <cell r="E237">
            <v>119</v>
          </cell>
          <cell r="F237">
            <v>49</v>
          </cell>
          <cell r="G237">
            <v>111</v>
          </cell>
        </row>
        <row r="237">
          <cell r="J237">
            <v>0.647241</v>
          </cell>
        </row>
        <row r="238">
          <cell r="A238">
            <v>470875</v>
          </cell>
          <cell r="B238" t="str">
            <v>3个装纸箱</v>
          </cell>
          <cell r="C238" t="str">
            <v>320405、406、407混装</v>
          </cell>
          <cell r="D238">
            <v>3</v>
          </cell>
          <cell r="E238">
            <v>31.5</v>
          </cell>
          <cell r="F238">
            <v>27</v>
          </cell>
          <cell r="G238">
            <v>20</v>
          </cell>
          <cell r="H238">
            <v>1.5</v>
          </cell>
          <cell r="I238">
            <v>1.83</v>
          </cell>
          <cell r="J238">
            <v>0.01701</v>
          </cell>
        </row>
        <row r="239">
          <cell r="A239" t="str">
            <v>470689（12）</v>
          </cell>
          <cell r="B239" t="str">
            <v>12个装纸箱</v>
          </cell>
        </row>
        <row r="239">
          <cell r="D239">
            <v>12</v>
          </cell>
          <cell r="E239">
            <v>57.5</v>
          </cell>
          <cell r="F239">
            <v>30.8</v>
          </cell>
          <cell r="G239">
            <v>62</v>
          </cell>
        </row>
        <row r="239">
          <cell r="J239">
            <v>0.109802</v>
          </cell>
        </row>
        <row r="240">
          <cell r="A240" t="str">
            <v>470688（12）</v>
          </cell>
          <cell r="B240" t="str">
            <v>12个装纸箱</v>
          </cell>
        </row>
        <row r="240">
          <cell r="D240">
            <v>12</v>
          </cell>
          <cell r="E240">
            <v>57.5</v>
          </cell>
          <cell r="F240">
            <v>30.8</v>
          </cell>
          <cell r="G240">
            <v>62</v>
          </cell>
        </row>
        <row r="240">
          <cell r="J240">
            <v>0.109802</v>
          </cell>
        </row>
        <row r="241">
          <cell r="A241" t="str">
            <v>胶筐</v>
          </cell>
          <cell r="B241" t="str">
            <v>胶筐</v>
          </cell>
        </row>
        <row r="241">
          <cell r="D241">
            <v>1</v>
          </cell>
          <cell r="E241">
            <v>68</v>
          </cell>
          <cell r="F241">
            <v>48</v>
          </cell>
          <cell r="G241">
            <v>40</v>
          </cell>
        </row>
        <row r="241">
          <cell r="J241">
            <v>0.13056</v>
          </cell>
        </row>
        <row r="242">
          <cell r="A242" t="str">
            <v>33630（36）</v>
          </cell>
          <cell r="B242" t="str">
            <v>搪胶小鸭</v>
          </cell>
          <cell r="C242" t="str">
            <v>搪胶小鸭</v>
          </cell>
          <cell r="D242">
            <v>36</v>
          </cell>
          <cell r="E242">
            <v>31.75</v>
          </cell>
          <cell r="F242">
            <v>18.41</v>
          </cell>
          <cell r="G242">
            <v>20.32</v>
          </cell>
        </row>
        <row r="242">
          <cell r="J242">
            <v>0.0118773956</v>
          </cell>
        </row>
        <row r="243">
          <cell r="A243" t="str">
            <v>27694（2）</v>
          </cell>
          <cell r="B243" t="str">
            <v>侏罗纪棘龙</v>
          </cell>
        </row>
        <row r="243">
          <cell r="D243">
            <v>2</v>
          </cell>
          <cell r="E243">
            <v>41</v>
          </cell>
          <cell r="F243">
            <v>41</v>
          </cell>
          <cell r="G243">
            <v>35</v>
          </cell>
        </row>
        <row r="243">
          <cell r="J243">
            <v>0.058835</v>
          </cell>
        </row>
        <row r="244">
          <cell r="A244" t="str">
            <v>27694（3）</v>
          </cell>
          <cell r="B244" t="str">
            <v>侏罗纪棘龙</v>
          </cell>
        </row>
        <row r="244">
          <cell r="D244">
            <v>3</v>
          </cell>
          <cell r="E244">
            <v>60</v>
          </cell>
          <cell r="F244">
            <v>44</v>
          </cell>
          <cell r="G244">
            <v>35</v>
          </cell>
        </row>
        <row r="244">
          <cell r="J244">
            <v>0.0924</v>
          </cell>
        </row>
        <row r="245">
          <cell r="A245" t="str">
            <v>33490（36）</v>
          </cell>
          <cell r="B245" t="str">
            <v>搪胶小鸭</v>
          </cell>
          <cell r="C245" t="str">
            <v>搪胶小鸭</v>
          </cell>
          <cell r="D245">
            <v>36</v>
          </cell>
          <cell r="E245">
            <v>33.02</v>
          </cell>
          <cell r="F245">
            <v>18.41</v>
          </cell>
          <cell r="G245">
            <v>20.3</v>
          </cell>
        </row>
        <row r="245">
          <cell r="J245">
            <v>0.01234033346</v>
          </cell>
        </row>
        <row r="246">
          <cell r="A246" t="str">
            <v>58725(18)</v>
          </cell>
          <cell r="B246" t="str">
            <v>搪胶小鸭</v>
          </cell>
        </row>
        <row r="246">
          <cell r="D246">
            <v>18</v>
          </cell>
          <cell r="E246">
            <v>49.53</v>
          </cell>
          <cell r="F246">
            <v>15.25</v>
          </cell>
          <cell r="G246">
            <v>11.45</v>
          </cell>
        </row>
        <row r="246">
          <cell r="J246">
            <v>0.008648557125</v>
          </cell>
        </row>
        <row r="247">
          <cell r="A247" t="str">
            <v>D70950/470764</v>
          </cell>
          <cell r="B247" t="str">
            <v>15个装</v>
          </cell>
        </row>
        <row r="247">
          <cell r="D247">
            <v>15</v>
          </cell>
          <cell r="E247">
            <v>120.5</v>
          </cell>
          <cell r="F247">
            <v>48.5</v>
          </cell>
          <cell r="G247">
            <v>92</v>
          </cell>
        </row>
        <row r="247">
          <cell r="J247">
            <v>0.537671</v>
          </cell>
        </row>
        <row r="248">
          <cell r="A248">
            <v>14225</v>
          </cell>
          <cell r="B248" t="str">
            <v>8个装纸箱</v>
          </cell>
          <cell r="C248" t="str">
            <v>磁铁肩膀史迪仔</v>
          </cell>
          <cell r="D248">
            <v>8</v>
          </cell>
          <cell r="E248">
            <v>30.48</v>
          </cell>
          <cell r="F248">
            <v>27.67</v>
          </cell>
          <cell r="G248">
            <v>15.24</v>
          </cell>
        </row>
        <row r="248">
          <cell r="J248">
            <v>0.012853135584</v>
          </cell>
        </row>
        <row r="249">
          <cell r="A249" t="str">
            <v>14225（21）</v>
          </cell>
          <cell r="B249" t="str">
            <v>21个装纸箱</v>
          </cell>
        </row>
        <row r="249">
          <cell r="D249">
            <v>21</v>
          </cell>
          <cell r="E249">
            <v>125</v>
          </cell>
          <cell r="F249">
            <v>35</v>
          </cell>
          <cell r="G249">
            <v>16</v>
          </cell>
        </row>
        <row r="249">
          <cell r="J249">
            <v>0.07</v>
          </cell>
        </row>
        <row r="250">
          <cell r="A250">
            <v>46489</v>
          </cell>
          <cell r="B250" t="str">
            <v>史迪仔</v>
          </cell>
        </row>
        <row r="250">
          <cell r="D250">
            <v>12</v>
          </cell>
          <cell r="E250">
            <v>121.5</v>
          </cell>
          <cell r="F250">
            <v>53.5</v>
          </cell>
          <cell r="G250">
            <v>115</v>
          </cell>
        </row>
        <row r="250">
          <cell r="J250">
            <v>0.74752875</v>
          </cell>
        </row>
        <row r="251">
          <cell r="A251" t="str">
            <v>D70950(470764)</v>
          </cell>
        </row>
        <row r="251">
          <cell r="D251">
            <v>15</v>
          </cell>
          <cell r="E251">
            <v>120.5</v>
          </cell>
          <cell r="F251">
            <v>48.5</v>
          </cell>
          <cell r="G251">
            <v>92</v>
          </cell>
        </row>
        <row r="251">
          <cell r="J251">
            <v>0.537671</v>
          </cell>
        </row>
        <row r="252">
          <cell r="A252" t="str">
            <v>D70850(470724)</v>
          </cell>
        </row>
        <row r="252">
          <cell r="D252">
            <v>12</v>
          </cell>
          <cell r="E252">
            <v>119</v>
          </cell>
          <cell r="F252">
            <v>49</v>
          </cell>
          <cell r="G252">
            <v>111</v>
          </cell>
        </row>
        <row r="252">
          <cell r="J252">
            <v>0.647241</v>
          </cell>
        </row>
        <row r="253">
          <cell r="A253">
            <v>33410</v>
          </cell>
        </row>
        <row r="253">
          <cell r="C253" t="str">
            <v>搪胶小鸭</v>
          </cell>
          <cell r="D253">
            <v>400</v>
          </cell>
          <cell r="E253">
            <v>52.83</v>
          </cell>
          <cell r="F253">
            <v>52.32</v>
          </cell>
          <cell r="G253">
            <v>113</v>
          </cell>
        </row>
        <row r="253">
          <cell r="J253">
            <v>0.3123394128</v>
          </cell>
        </row>
        <row r="254">
          <cell r="A254" t="str">
            <v>14265（18）</v>
          </cell>
          <cell r="B254" t="str">
            <v>钥匙扣系列</v>
          </cell>
          <cell r="C254" t="str">
            <v>钥匙扣系列</v>
          </cell>
          <cell r="D254">
            <v>18</v>
          </cell>
          <cell r="E254">
            <v>42.48</v>
          </cell>
          <cell r="F254">
            <v>22.8</v>
          </cell>
          <cell r="G254">
            <v>15.5</v>
          </cell>
        </row>
        <row r="254">
          <cell r="J254">
            <v>0.015012432</v>
          </cell>
        </row>
        <row r="255">
          <cell r="A255" t="str">
            <v>卡板</v>
          </cell>
        </row>
        <row r="255">
          <cell r="E255">
            <v>107</v>
          </cell>
          <cell r="F255">
            <v>48</v>
          </cell>
          <cell r="G255">
            <v>12</v>
          </cell>
        </row>
        <row r="255">
          <cell r="J255">
            <v>0.061632</v>
          </cell>
        </row>
        <row r="256">
          <cell r="A256">
            <v>14746</v>
          </cell>
        </row>
        <row r="256">
          <cell r="C256" t="str">
            <v>坐姿米奇</v>
          </cell>
          <cell r="D256">
            <v>12</v>
          </cell>
          <cell r="E256">
            <v>61.5</v>
          </cell>
          <cell r="F256">
            <v>51</v>
          </cell>
          <cell r="G256">
            <v>34.5</v>
          </cell>
        </row>
        <row r="256">
          <cell r="J256">
            <v>0.10820925</v>
          </cell>
        </row>
        <row r="257">
          <cell r="A257">
            <v>33611</v>
          </cell>
          <cell r="B257" t="str">
            <v>18个装纸箱</v>
          </cell>
          <cell r="C257" t="str">
            <v>搪胶小鸭</v>
          </cell>
          <cell r="D257">
            <v>18</v>
          </cell>
          <cell r="E257">
            <v>32.39</v>
          </cell>
          <cell r="F257">
            <v>17.78</v>
          </cell>
          <cell r="G257">
            <v>9.53</v>
          </cell>
        </row>
        <row r="257">
          <cell r="J257">
            <v>0.005488271726</v>
          </cell>
        </row>
        <row r="258">
          <cell r="A258">
            <v>33612</v>
          </cell>
          <cell r="B258" t="str">
            <v>18个装纸箱</v>
          </cell>
          <cell r="C258" t="str">
            <v>搪胶小鸭</v>
          </cell>
          <cell r="D258">
            <v>18</v>
          </cell>
          <cell r="E258">
            <v>32.39</v>
          </cell>
          <cell r="F258">
            <v>17.78</v>
          </cell>
          <cell r="G258">
            <v>9.53</v>
          </cell>
        </row>
        <row r="258">
          <cell r="J258">
            <v>0.005488271726</v>
          </cell>
        </row>
        <row r="259">
          <cell r="A259">
            <v>33613</v>
          </cell>
          <cell r="B259" t="str">
            <v>18个装纸箱</v>
          </cell>
          <cell r="C259" t="str">
            <v>搪胶小鸭</v>
          </cell>
          <cell r="D259">
            <v>18</v>
          </cell>
          <cell r="E259">
            <v>32.39</v>
          </cell>
          <cell r="F259">
            <v>17.78</v>
          </cell>
          <cell r="G259">
            <v>9.53</v>
          </cell>
        </row>
        <row r="259">
          <cell r="J259">
            <v>0.005488271726</v>
          </cell>
        </row>
        <row r="260">
          <cell r="A260">
            <v>33614</v>
          </cell>
          <cell r="B260" t="str">
            <v>18个装纸箱</v>
          </cell>
          <cell r="C260" t="str">
            <v>搪胶小鸭</v>
          </cell>
          <cell r="D260">
            <v>18</v>
          </cell>
          <cell r="E260">
            <v>32.39</v>
          </cell>
          <cell r="F260">
            <v>17.78</v>
          </cell>
          <cell r="G260">
            <v>9.53</v>
          </cell>
        </row>
        <row r="260">
          <cell r="J260">
            <v>0.005488271726</v>
          </cell>
        </row>
        <row r="261">
          <cell r="A261">
            <v>41502</v>
          </cell>
          <cell r="B261" t="str">
            <v>4个装纸箱</v>
          </cell>
          <cell r="C261" t="str">
            <v>梅根头</v>
          </cell>
          <cell r="D261">
            <v>18</v>
          </cell>
          <cell r="E261">
            <v>43.18</v>
          </cell>
          <cell r="F261">
            <v>35.56</v>
          </cell>
          <cell r="G261">
            <v>36.2</v>
          </cell>
        </row>
        <row r="261">
          <cell r="J261">
            <v>0.05558440496</v>
          </cell>
        </row>
        <row r="262">
          <cell r="A262" t="str">
            <v>14747(12)</v>
          </cell>
          <cell r="B262" t="str">
            <v>12个装纸箱</v>
          </cell>
        </row>
        <row r="262">
          <cell r="D262">
            <v>12</v>
          </cell>
          <cell r="E262">
            <v>60.96</v>
          </cell>
          <cell r="F262">
            <v>51.8</v>
          </cell>
          <cell r="G262">
            <v>33.02</v>
          </cell>
        </row>
        <row r="262">
          <cell r="J262">
            <v>0.10426817856</v>
          </cell>
        </row>
        <row r="263">
          <cell r="A263" t="str">
            <v>14746(12)</v>
          </cell>
          <cell r="B263" t="str">
            <v>12个装纸箱</v>
          </cell>
        </row>
        <row r="263">
          <cell r="D263">
            <v>12</v>
          </cell>
          <cell r="E263">
            <v>60.96</v>
          </cell>
          <cell r="F263">
            <v>51.8</v>
          </cell>
          <cell r="G263">
            <v>33.02</v>
          </cell>
        </row>
        <row r="263">
          <cell r="J263">
            <v>0.10426817856</v>
          </cell>
        </row>
        <row r="264">
          <cell r="A264">
            <v>58770</v>
          </cell>
          <cell r="B264" t="str">
            <v>12个装纸箱</v>
          </cell>
          <cell r="C264" t="str">
            <v>搪胶小鸭</v>
          </cell>
          <cell r="D264">
            <v>12</v>
          </cell>
          <cell r="E264">
            <v>22.54</v>
          </cell>
          <cell r="F264">
            <v>18.42</v>
          </cell>
          <cell r="G264">
            <v>11.11</v>
          </cell>
        </row>
        <row r="264">
          <cell r="J264">
            <v>0.004612725348</v>
          </cell>
        </row>
        <row r="265">
          <cell r="A265">
            <v>11783</v>
          </cell>
          <cell r="B265" t="str">
            <v>24个装纸箱</v>
          </cell>
          <cell r="C265" t="str">
            <v>搪胶小鸭</v>
          </cell>
          <cell r="D265">
            <v>24</v>
          </cell>
          <cell r="E265">
            <v>25.72</v>
          </cell>
          <cell r="F265">
            <v>19.69</v>
          </cell>
          <cell r="G265">
            <v>28.26</v>
          </cell>
        </row>
        <row r="265">
          <cell r="J265">
            <v>0.014311621368</v>
          </cell>
        </row>
        <row r="266">
          <cell r="A266">
            <v>11781</v>
          </cell>
          <cell r="B266" t="str">
            <v>24个装纸箱</v>
          </cell>
          <cell r="C266" t="str">
            <v>搪胶小鸭</v>
          </cell>
          <cell r="D266">
            <v>24</v>
          </cell>
          <cell r="E266">
            <v>25.72</v>
          </cell>
          <cell r="F266">
            <v>19.69</v>
          </cell>
          <cell r="G266">
            <v>28.26</v>
          </cell>
        </row>
        <row r="266">
          <cell r="J266">
            <v>0.014311621368</v>
          </cell>
        </row>
        <row r="267">
          <cell r="A267">
            <v>11782</v>
          </cell>
          <cell r="B267" t="str">
            <v>24个装纸箱</v>
          </cell>
          <cell r="C267" t="str">
            <v>搪胶小鸭</v>
          </cell>
          <cell r="D267">
            <v>24</v>
          </cell>
          <cell r="E267">
            <v>25.72</v>
          </cell>
          <cell r="F267">
            <v>19.69</v>
          </cell>
          <cell r="G267">
            <v>28.26</v>
          </cell>
        </row>
        <row r="267">
          <cell r="J267">
            <v>0.014311621368</v>
          </cell>
        </row>
        <row r="268">
          <cell r="A268">
            <v>45586</v>
          </cell>
          <cell r="B268" t="str">
            <v>24个装纸箱</v>
          </cell>
        </row>
        <row r="268">
          <cell r="D268">
            <v>24</v>
          </cell>
          <cell r="E268">
            <v>25.72</v>
          </cell>
          <cell r="F268">
            <v>19.69</v>
          </cell>
          <cell r="G268">
            <v>28.26</v>
          </cell>
        </row>
        <row r="268">
          <cell r="J268">
            <v>0.014311621368</v>
          </cell>
        </row>
        <row r="269">
          <cell r="A269">
            <v>570974</v>
          </cell>
          <cell r="B269" t="str">
            <v>1个装纸箱</v>
          </cell>
          <cell r="C269" t="str">
            <v>蓝球</v>
          </cell>
          <cell r="D269">
            <v>1</v>
          </cell>
          <cell r="E269">
            <v>59.05</v>
          </cell>
          <cell r="F269">
            <v>26.04</v>
          </cell>
          <cell r="G269">
            <v>55.88</v>
          </cell>
        </row>
        <row r="269">
          <cell r="J269">
            <v>0.08592455256</v>
          </cell>
        </row>
        <row r="270">
          <cell r="A270">
            <v>570975</v>
          </cell>
          <cell r="B270" t="str">
            <v>1个装纸箱</v>
          </cell>
          <cell r="C270" t="str">
            <v>棒球</v>
          </cell>
          <cell r="D270">
            <v>1</v>
          </cell>
          <cell r="E270">
            <v>30.48</v>
          </cell>
          <cell r="F270">
            <v>11.795</v>
          </cell>
          <cell r="G270">
            <v>53.34</v>
          </cell>
        </row>
        <row r="270">
          <cell r="J270">
            <v>0.019176348744</v>
          </cell>
        </row>
        <row r="271">
          <cell r="A271">
            <v>25250</v>
          </cell>
          <cell r="B271" t="str">
            <v>6个装纸箱</v>
          </cell>
          <cell r="C271" t="str">
            <v>磁铁公仔</v>
          </cell>
          <cell r="D271">
            <v>6</v>
          </cell>
          <cell r="E271">
            <v>32.4</v>
          </cell>
          <cell r="F271">
            <v>21</v>
          </cell>
          <cell r="G271">
            <v>17.8</v>
          </cell>
        </row>
        <row r="271">
          <cell r="J271">
            <v>0.01211112</v>
          </cell>
        </row>
        <row r="272">
          <cell r="A272">
            <v>45188</v>
          </cell>
          <cell r="B272" t="str">
            <v>6个装纸箱</v>
          </cell>
        </row>
        <row r="272">
          <cell r="D272">
            <v>6</v>
          </cell>
          <cell r="E272">
            <v>32.4</v>
          </cell>
          <cell r="F272">
            <v>21</v>
          </cell>
          <cell r="G272">
            <v>17.8</v>
          </cell>
        </row>
        <row r="272">
          <cell r="J272">
            <v>0.01211112</v>
          </cell>
        </row>
        <row r="273">
          <cell r="A273">
            <v>11884</v>
          </cell>
        </row>
        <row r="273">
          <cell r="D273">
            <v>8</v>
          </cell>
          <cell r="E273">
            <v>25.72</v>
          </cell>
          <cell r="F273">
            <v>19.69</v>
          </cell>
          <cell r="G273">
            <v>28.26</v>
          </cell>
        </row>
        <row r="273">
          <cell r="J273">
            <v>0.014311621368</v>
          </cell>
        </row>
        <row r="274">
          <cell r="A274">
            <v>46097</v>
          </cell>
          <cell r="B274" t="str">
            <v>纸箱（10个装）</v>
          </cell>
          <cell r="C274" t="str">
            <v>小熊维尼历险记系列</v>
          </cell>
          <cell r="D274">
            <v>10</v>
          </cell>
          <cell r="E274">
            <v>40.01</v>
          </cell>
          <cell r="F274">
            <v>26.67</v>
          </cell>
          <cell r="G274">
            <v>20.96</v>
          </cell>
        </row>
        <row r="274">
          <cell r="J274">
            <v>0.022365718032</v>
          </cell>
        </row>
        <row r="275">
          <cell r="A275">
            <v>570989</v>
          </cell>
          <cell r="B275" t="str">
            <v>纸箱（27个装）</v>
          </cell>
          <cell r="C275" t="str">
            <v>盲盒系列</v>
          </cell>
          <cell r="D275">
            <v>27</v>
          </cell>
          <cell r="E275">
            <v>31.115</v>
          </cell>
          <cell r="F275">
            <v>22.59</v>
          </cell>
          <cell r="G275">
            <v>15.875</v>
          </cell>
        </row>
        <row r="275">
          <cell r="J275">
            <v>0.01115834461875</v>
          </cell>
        </row>
        <row r="276">
          <cell r="A276" t="str">
            <v>14225（6）</v>
          </cell>
          <cell r="B276" t="str">
            <v>纸箱（6个装）</v>
          </cell>
        </row>
        <row r="276">
          <cell r="D276">
            <v>6</v>
          </cell>
          <cell r="E276">
            <v>32.39</v>
          </cell>
          <cell r="F276">
            <v>20.32</v>
          </cell>
          <cell r="G276">
            <v>17.15</v>
          </cell>
        </row>
        <row r="276">
          <cell r="J276">
            <v>0.01128752632</v>
          </cell>
        </row>
        <row r="277">
          <cell r="A277" t="str">
            <v>33769（72）</v>
          </cell>
          <cell r="B277" t="str">
            <v>纸箱（24个装）</v>
          </cell>
          <cell r="C277" t="str">
            <v>搪胶小鸭</v>
          </cell>
          <cell r="D277">
            <v>72</v>
          </cell>
          <cell r="E277">
            <v>25.4</v>
          </cell>
          <cell r="F277">
            <v>24.765</v>
          </cell>
          <cell r="G277">
            <v>31.75</v>
          </cell>
        </row>
        <row r="277">
          <cell r="J277">
            <v>0.01997173425</v>
          </cell>
        </row>
        <row r="278">
          <cell r="A278">
            <v>28481</v>
          </cell>
          <cell r="B278" t="str">
            <v>骰子</v>
          </cell>
          <cell r="C278" t="str">
            <v>骰子</v>
          </cell>
          <cell r="D278">
            <v>4</v>
          </cell>
          <cell r="E278">
            <v>23.81</v>
          </cell>
          <cell r="F278">
            <v>17.78</v>
          </cell>
          <cell r="G278">
            <v>23.81</v>
          </cell>
        </row>
        <row r="278">
          <cell r="J278">
            <v>0.010079768258</v>
          </cell>
        </row>
        <row r="279">
          <cell r="A279">
            <v>28483</v>
          </cell>
          <cell r="B279" t="str">
            <v>振动球</v>
          </cell>
          <cell r="C279" t="str">
            <v>振动球</v>
          </cell>
          <cell r="D279">
            <v>1</v>
          </cell>
          <cell r="E279">
            <v>16.83</v>
          </cell>
          <cell r="F279">
            <v>17.15</v>
          </cell>
          <cell r="G279">
            <v>20</v>
          </cell>
        </row>
        <row r="279">
          <cell r="J279">
            <v>0.00577269</v>
          </cell>
        </row>
        <row r="280">
          <cell r="A280">
            <v>82165</v>
          </cell>
          <cell r="B280" t="str">
            <v>纸箱（8个装）</v>
          </cell>
        </row>
        <row r="280">
          <cell r="D280">
            <v>8</v>
          </cell>
          <cell r="E280">
            <v>25.72</v>
          </cell>
          <cell r="F280">
            <v>19.69</v>
          </cell>
          <cell r="G280">
            <v>28.26</v>
          </cell>
        </row>
        <row r="280">
          <cell r="J280">
            <v>0.014311621368</v>
          </cell>
        </row>
        <row r="281">
          <cell r="A281">
            <v>571299</v>
          </cell>
          <cell r="B281" t="str">
            <v>自卸车</v>
          </cell>
          <cell r="C281" t="str">
            <v>自卸车</v>
          </cell>
          <cell r="D281">
            <v>1</v>
          </cell>
          <cell r="E281">
            <v>42</v>
          </cell>
          <cell r="F281">
            <v>22</v>
          </cell>
          <cell r="G281">
            <v>29</v>
          </cell>
        </row>
        <row r="281">
          <cell r="J281">
            <v>0.026796</v>
          </cell>
        </row>
        <row r="282">
          <cell r="A282" t="str">
            <v>14878（8）</v>
          </cell>
          <cell r="B282" t="str">
            <v>8个装纸箱</v>
          </cell>
        </row>
        <row r="282">
          <cell r="D282">
            <v>8</v>
          </cell>
          <cell r="E282">
            <v>57.785</v>
          </cell>
          <cell r="F282">
            <v>57.15</v>
          </cell>
          <cell r="G282">
            <v>25.4</v>
          </cell>
        </row>
        <row r="282">
          <cell r="J282">
            <v>0.08388128385</v>
          </cell>
        </row>
        <row r="283">
          <cell r="A283">
            <v>21150</v>
          </cell>
          <cell r="B283" t="str">
            <v>纸箱（12个装）</v>
          </cell>
          <cell r="C283" t="str">
            <v>豆袋系列</v>
          </cell>
          <cell r="D283">
            <v>12</v>
          </cell>
          <cell r="E283">
            <v>41.91</v>
          </cell>
          <cell r="F283">
            <v>32.75</v>
          </cell>
          <cell r="G283">
            <v>12.065</v>
          </cell>
        </row>
        <row r="283">
          <cell r="J283">
            <v>0.0165598459125</v>
          </cell>
        </row>
        <row r="284">
          <cell r="A284" t="str">
            <v>33735（12）</v>
          </cell>
          <cell r="B284" t="str">
            <v>纸箱（12个装）</v>
          </cell>
          <cell r="C284" t="str">
            <v>搪胶小鸭</v>
          </cell>
          <cell r="D284">
            <v>12</v>
          </cell>
          <cell r="E284">
            <v>22.5</v>
          </cell>
          <cell r="F284">
            <v>19.5</v>
          </cell>
          <cell r="G284">
            <v>11.3</v>
          </cell>
        </row>
        <row r="284">
          <cell r="J284">
            <v>0.004957875</v>
          </cell>
        </row>
        <row r="285">
          <cell r="A285" t="str">
            <v>33735（18）</v>
          </cell>
          <cell r="B285" t="str">
            <v>纸箱（18个装）</v>
          </cell>
          <cell r="C285" t="str">
            <v>搪胶小鸭</v>
          </cell>
          <cell r="D285">
            <v>18</v>
          </cell>
          <cell r="E285">
            <v>32.5</v>
          </cell>
          <cell r="F285">
            <v>18.3</v>
          </cell>
          <cell r="G285">
            <v>10.7</v>
          </cell>
        </row>
        <row r="285">
          <cell r="J285">
            <v>0.006363825</v>
          </cell>
        </row>
        <row r="286">
          <cell r="A286" t="str">
            <v>33475（192）</v>
          </cell>
          <cell r="B286" t="str">
            <v>纸箱（192个装）</v>
          </cell>
          <cell r="C286" t="str">
            <v>搪胶小鸭</v>
          </cell>
          <cell r="D286">
            <v>192</v>
          </cell>
          <cell r="E286">
            <v>32.7</v>
          </cell>
          <cell r="F286">
            <v>27.8</v>
          </cell>
          <cell r="G286">
            <v>41.6</v>
          </cell>
        </row>
        <row r="286">
          <cell r="J286">
            <v>0.037816896</v>
          </cell>
        </row>
        <row r="287">
          <cell r="A287" t="str">
            <v>33735（36）</v>
          </cell>
          <cell r="B287" t="str">
            <v>纸箱（36个装）</v>
          </cell>
          <cell r="C287" t="str">
            <v>搪胶小鸭</v>
          </cell>
          <cell r="D287">
            <v>36</v>
          </cell>
          <cell r="E287">
            <v>39.3</v>
          </cell>
          <cell r="F287">
            <v>35</v>
          </cell>
          <cell r="G287">
            <v>14.1</v>
          </cell>
        </row>
        <row r="287">
          <cell r="J287">
            <v>0.01939455</v>
          </cell>
        </row>
        <row r="288">
          <cell r="A288">
            <v>46133</v>
          </cell>
        </row>
        <row r="288">
          <cell r="C288" t="str">
            <v>小美人鱼系列</v>
          </cell>
          <cell r="D288">
            <v>2</v>
          </cell>
          <cell r="E288">
            <v>40.01</v>
          </cell>
          <cell r="F288">
            <v>26.67</v>
          </cell>
          <cell r="G288">
            <v>20.96</v>
          </cell>
        </row>
        <row r="288">
          <cell r="J288">
            <v>0.022365718032</v>
          </cell>
        </row>
        <row r="289">
          <cell r="A289">
            <v>46099</v>
          </cell>
        </row>
        <row r="289">
          <cell r="C289" t="str">
            <v>米奇老鼠系列</v>
          </cell>
          <cell r="D289">
            <v>2</v>
          </cell>
          <cell r="E289">
            <v>40.01</v>
          </cell>
          <cell r="F289">
            <v>26.67</v>
          </cell>
          <cell r="G289">
            <v>20.96</v>
          </cell>
        </row>
        <row r="289">
          <cell r="J289">
            <v>0.022365718032</v>
          </cell>
        </row>
        <row r="290">
          <cell r="A290" t="str">
            <v>33475（48）</v>
          </cell>
          <cell r="B290" t="str">
            <v>48个装纸箱</v>
          </cell>
          <cell r="C290" t="str">
            <v>搪胶小鸭</v>
          </cell>
          <cell r="D290">
            <v>48</v>
          </cell>
          <cell r="E290">
            <v>34.925</v>
          </cell>
          <cell r="F290">
            <v>22.225</v>
          </cell>
          <cell r="G290">
            <v>19.05</v>
          </cell>
        </row>
        <row r="290">
          <cell r="J290">
            <v>0.01478676478125</v>
          </cell>
        </row>
        <row r="291">
          <cell r="A291" t="str">
            <v>33490（48）</v>
          </cell>
          <cell r="B291" t="str">
            <v>48个装纸箱</v>
          </cell>
          <cell r="C291" t="str">
            <v>搪胶小鸭</v>
          </cell>
          <cell r="D291">
            <v>48</v>
          </cell>
          <cell r="E291">
            <v>34.925</v>
          </cell>
          <cell r="F291">
            <v>22.225</v>
          </cell>
          <cell r="G291">
            <v>19.05</v>
          </cell>
        </row>
        <row r="291">
          <cell r="J291">
            <v>0.01478676478125</v>
          </cell>
        </row>
        <row r="292">
          <cell r="A292" t="str">
            <v>33658（8）</v>
          </cell>
          <cell r="B292" t="str">
            <v>8个装纸箱</v>
          </cell>
          <cell r="C292" t="str">
            <v>我爱纽约组合小鸭</v>
          </cell>
          <cell r="D292">
            <v>8</v>
          </cell>
          <cell r="E292">
            <v>33</v>
          </cell>
          <cell r="F292">
            <v>16.7</v>
          </cell>
          <cell r="G292">
            <v>14.3</v>
          </cell>
        </row>
        <row r="292">
          <cell r="J292">
            <v>0.00788073</v>
          </cell>
        </row>
        <row r="293">
          <cell r="A293" t="str">
            <v>33708（8）</v>
          </cell>
          <cell r="B293" t="str">
            <v>8个装纸箱</v>
          </cell>
          <cell r="C293" t="str">
            <v>搪胶小鸭</v>
          </cell>
          <cell r="D293">
            <v>8</v>
          </cell>
          <cell r="E293">
            <v>33</v>
          </cell>
          <cell r="F293">
            <v>16.7</v>
          </cell>
          <cell r="G293">
            <v>14.3</v>
          </cell>
        </row>
        <row r="293">
          <cell r="J293">
            <v>0.00788073</v>
          </cell>
        </row>
        <row r="294">
          <cell r="A294">
            <v>33429</v>
          </cell>
        </row>
        <row r="294">
          <cell r="C294" t="str">
            <v>搪胶小鸭</v>
          </cell>
        </row>
        <row r="295">
          <cell r="A295">
            <v>33477</v>
          </cell>
        </row>
        <row r="295">
          <cell r="C295" t="str">
            <v>搪小鸭外星史迪仔</v>
          </cell>
        </row>
        <row r="296">
          <cell r="A296">
            <v>33476</v>
          </cell>
        </row>
        <row r="296">
          <cell r="C296" t="str">
            <v>搪小鸭天使</v>
          </cell>
        </row>
        <row r="297">
          <cell r="A297">
            <v>46462</v>
          </cell>
          <cell r="B297" t="str">
            <v>纸箱（2个装）</v>
          </cell>
          <cell r="C297" t="str">
            <v>史迪仔系列</v>
          </cell>
          <cell r="D297">
            <v>2</v>
          </cell>
          <cell r="E297">
            <v>40.01</v>
          </cell>
          <cell r="F297">
            <v>26.67</v>
          </cell>
          <cell r="G297">
            <v>20.96</v>
          </cell>
        </row>
        <row r="297">
          <cell r="J297">
            <v>0.022365718032</v>
          </cell>
        </row>
        <row r="298">
          <cell r="A298">
            <v>46496</v>
          </cell>
          <cell r="B298" t="str">
            <v>纸箱（2个装）</v>
          </cell>
          <cell r="C298" t="str">
            <v>米妮系列</v>
          </cell>
          <cell r="D298">
            <v>2</v>
          </cell>
          <cell r="E298">
            <v>40.01</v>
          </cell>
          <cell r="F298">
            <v>26.67</v>
          </cell>
          <cell r="G298">
            <v>20.96</v>
          </cell>
        </row>
        <row r="298">
          <cell r="J298">
            <v>0.022365718032</v>
          </cell>
        </row>
        <row r="299">
          <cell r="A299">
            <v>571412</v>
          </cell>
        </row>
        <row r="299">
          <cell r="C299" t="str">
            <v>绿色金属车</v>
          </cell>
          <cell r="D299">
            <v>2</v>
          </cell>
          <cell r="E299">
            <v>41</v>
          </cell>
          <cell r="F299">
            <v>38</v>
          </cell>
          <cell r="G299">
            <v>24</v>
          </cell>
        </row>
        <row r="299">
          <cell r="J299">
            <v>0.037392</v>
          </cell>
        </row>
        <row r="300">
          <cell r="A300">
            <v>571388</v>
          </cell>
        </row>
        <row r="300">
          <cell r="C300" t="str">
            <v>翰迪尔娃娃（咖色头发）</v>
          </cell>
          <cell r="D300">
            <v>4</v>
          </cell>
          <cell r="E300">
            <v>27.94</v>
          </cell>
          <cell r="F300">
            <v>16.51</v>
          </cell>
          <cell r="G300">
            <v>33</v>
          </cell>
        </row>
        <row r="300">
          <cell r="J300">
            <v>0.0152225502</v>
          </cell>
        </row>
        <row r="301">
          <cell r="A301">
            <v>33610</v>
          </cell>
        </row>
        <row r="301">
          <cell r="C301" t="str">
            <v>搪果鸭</v>
          </cell>
          <cell r="D301">
            <v>12</v>
          </cell>
          <cell r="E301">
            <v>22.7</v>
          </cell>
          <cell r="F301">
            <v>18.2</v>
          </cell>
          <cell r="G301">
            <v>11.1</v>
          </cell>
        </row>
        <row r="301">
          <cell r="J301">
            <v>0.004585854</v>
          </cell>
        </row>
        <row r="302">
          <cell r="A302">
            <v>33813</v>
          </cell>
        </row>
        <row r="302">
          <cell r="C302" t="str">
            <v>搪胶小鸭</v>
          </cell>
          <cell r="D302">
            <v>84</v>
          </cell>
          <cell r="E302">
            <v>29.6</v>
          </cell>
          <cell r="F302">
            <v>21.1</v>
          </cell>
          <cell r="G302">
            <v>30.4</v>
          </cell>
        </row>
        <row r="302">
          <cell r="J302">
            <v>0.018986624</v>
          </cell>
        </row>
        <row r="303">
          <cell r="A303">
            <v>33812</v>
          </cell>
        </row>
        <row r="303">
          <cell r="C303" t="str">
            <v>搪胶小鸭</v>
          </cell>
          <cell r="D303">
            <v>60</v>
          </cell>
          <cell r="E303">
            <v>32.2</v>
          </cell>
          <cell r="F303">
            <v>26.4</v>
          </cell>
          <cell r="G303">
            <v>17.9</v>
          </cell>
        </row>
        <row r="303">
          <cell r="J303">
            <v>0.015216432</v>
          </cell>
        </row>
        <row r="304">
          <cell r="A304">
            <v>33807</v>
          </cell>
        </row>
        <row r="304">
          <cell r="C304" t="str">
            <v>搪胶小鸭</v>
          </cell>
          <cell r="D304">
            <v>96</v>
          </cell>
          <cell r="E304">
            <v>32.5</v>
          </cell>
          <cell r="F304">
            <v>20.7</v>
          </cell>
          <cell r="G304">
            <v>33</v>
          </cell>
        </row>
        <row r="304">
          <cell r="J304">
            <v>0.02220075</v>
          </cell>
        </row>
        <row r="305">
          <cell r="A305">
            <v>33808</v>
          </cell>
        </row>
        <row r="305">
          <cell r="C305" t="str">
            <v>搪胶小鸭</v>
          </cell>
          <cell r="D305">
            <v>96</v>
          </cell>
          <cell r="E305">
            <v>32.5</v>
          </cell>
          <cell r="F305">
            <v>20.7</v>
          </cell>
          <cell r="G305">
            <v>33</v>
          </cell>
        </row>
        <row r="305">
          <cell r="J305">
            <v>0.02220075</v>
          </cell>
        </row>
        <row r="306">
          <cell r="A306">
            <v>46462</v>
          </cell>
        </row>
        <row r="306">
          <cell r="C306" t="str">
            <v>史迪仔系列</v>
          </cell>
          <cell r="D306">
            <v>2</v>
          </cell>
          <cell r="E306">
            <v>40.01</v>
          </cell>
          <cell r="F306">
            <v>26.67</v>
          </cell>
          <cell r="G306">
            <v>20.96</v>
          </cell>
        </row>
        <row r="306">
          <cell r="J306">
            <v>0.022365718032</v>
          </cell>
        </row>
        <row r="307">
          <cell r="A307">
            <v>46911</v>
          </cell>
        </row>
        <row r="307">
          <cell r="C307" t="str">
            <v>蜘蛛侠系列</v>
          </cell>
          <cell r="D307">
            <v>2</v>
          </cell>
          <cell r="E307">
            <v>40.01</v>
          </cell>
          <cell r="F307">
            <v>26.67</v>
          </cell>
          <cell r="G307">
            <v>20.96</v>
          </cell>
        </row>
        <row r="307">
          <cell r="J307">
            <v>0.022365718032</v>
          </cell>
        </row>
        <row r="308">
          <cell r="A308">
            <v>46857</v>
          </cell>
        </row>
        <row r="308">
          <cell r="C308" t="str">
            <v>33477外星史迪仔</v>
          </cell>
        </row>
        <row r="309">
          <cell r="A309">
            <v>46886</v>
          </cell>
        </row>
        <row r="309">
          <cell r="C309" t="str">
            <v>33477外星史迪仔</v>
          </cell>
        </row>
        <row r="310">
          <cell r="A310">
            <v>46897</v>
          </cell>
        </row>
        <row r="310">
          <cell r="C310" t="str">
            <v>33476天使</v>
          </cell>
        </row>
        <row r="311">
          <cell r="A311" t="str">
            <v>46913-1</v>
          </cell>
        </row>
        <row r="311">
          <cell r="C311" t="str">
            <v>33476天使</v>
          </cell>
        </row>
        <row r="312">
          <cell r="A312" t="str">
            <v>46913-2</v>
          </cell>
        </row>
        <row r="312">
          <cell r="C312" t="str">
            <v>33416史迪仔</v>
          </cell>
        </row>
        <row r="313">
          <cell r="A313">
            <v>46862</v>
          </cell>
        </row>
        <row r="313">
          <cell r="C313" t="str">
            <v>荧光杰克</v>
          </cell>
        </row>
        <row r="314">
          <cell r="A314">
            <v>46094</v>
          </cell>
        </row>
        <row r="314">
          <cell r="C314" t="str">
            <v>漫威系列</v>
          </cell>
          <cell r="D314">
            <v>2</v>
          </cell>
          <cell r="E314">
            <v>40.01</v>
          </cell>
          <cell r="F314">
            <v>26.67</v>
          </cell>
          <cell r="G314">
            <v>20.96</v>
          </cell>
        </row>
        <row r="314">
          <cell r="J314">
            <v>0.022365718032</v>
          </cell>
        </row>
        <row r="315">
          <cell r="A315">
            <v>33776</v>
          </cell>
        </row>
        <row r="315">
          <cell r="C315" t="str">
            <v>搪胶小鸭子系列</v>
          </cell>
          <cell r="D315">
            <v>96</v>
          </cell>
          <cell r="E315">
            <v>54.95</v>
          </cell>
          <cell r="F315">
            <v>34.95</v>
          </cell>
          <cell r="G315">
            <v>42.9</v>
          </cell>
        </row>
        <row r="315">
          <cell r="J315">
            <v>0.08238955725</v>
          </cell>
        </row>
        <row r="316">
          <cell r="A316">
            <v>671509</v>
          </cell>
        </row>
        <row r="316">
          <cell r="C316" t="str">
            <v>绿色铁皮勾车</v>
          </cell>
          <cell r="D316">
            <v>2</v>
          </cell>
          <cell r="E316">
            <v>40.32</v>
          </cell>
          <cell r="F316">
            <v>37.47</v>
          </cell>
          <cell r="G316">
            <v>23.81</v>
          </cell>
        </row>
        <row r="316">
          <cell r="J316">
            <v>0.035971919424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装箱单"/>
      <sheetName val="实发车"/>
      <sheetName val="Sheet2"/>
      <sheetName val="Sheet1"/>
      <sheetName val="Sheet3"/>
      <sheetName val="Sheet4"/>
    </sheetNames>
    <sheetDataSet>
      <sheetData sheetId="0">
        <row r="1">
          <cell r="A1" t="str">
            <v> WM Item#</v>
          </cell>
          <cell r="B1" t="str">
            <v>Description</v>
          </cell>
        </row>
        <row r="1">
          <cell r="D1" t="str">
            <v>Qty/Ctn</v>
          </cell>
          <cell r="E1" t="str">
            <v>Measurement/ctn 
(L/W/H ) (cm)</v>
          </cell>
        </row>
        <row r="1">
          <cell r="H1" t="str">
            <v>NW/CTN</v>
          </cell>
          <cell r="I1" t="str">
            <v>GW/CTN</v>
          </cell>
          <cell r="J1" t="str">
            <v>CBM/CTN</v>
          </cell>
        </row>
        <row r="2">
          <cell r="A2">
            <v>320398</v>
          </cell>
          <cell r="B2" t="str">
            <v>HONEY BEE ACRES BUNNY FAMILY 4-PACK</v>
          </cell>
          <cell r="C2" t="str">
            <v>兔子家族</v>
          </cell>
          <cell r="D2">
            <v>4</v>
          </cell>
          <cell r="E2">
            <v>24.5</v>
          </cell>
          <cell r="F2">
            <v>21</v>
          </cell>
          <cell r="G2">
            <v>20</v>
          </cell>
          <cell r="H2">
            <v>0.52</v>
          </cell>
          <cell r="I2">
            <v>0.71</v>
          </cell>
          <cell r="J2">
            <v>0.01029</v>
          </cell>
        </row>
        <row r="3">
          <cell r="A3" t="str">
            <v>320398-X</v>
          </cell>
          <cell r="B3" t="str">
            <v>HONEY BEE ACRES BUNNY FAMILY 4-PACK</v>
          </cell>
          <cell r="C3" t="str">
            <v>兔子家族</v>
          </cell>
          <cell r="D3">
            <v>4</v>
          </cell>
          <cell r="E3">
            <v>24.5</v>
          </cell>
          <cell r="F3">
            <v>21</v>
          </cell>
          <cell r="G3">
            <v>20</v>
          </cell>
          <cell r="H3">
            <v>0.52</v>
          </cell>
          <cell r="I3">
            <v>0.71</v>
          </cell>
          <cell r="J3">
            <v>0.01029</v>
          </cell>
        </row>
        <row r="4">
          <cell r="A4">
            <v>320399</v>
          </cell>
          <cell r="B4" t="str">
            <v>HONEY BEE ACRES CAT FAMILY 4-PACK</v>
          </cell>
          <cell r="C4" t="str">
            <v>猫家族</v>
          </cell>
          <cell r="D4">
            <v>4</v>
          </cell>
          <cell r="E4">
            <v>24.5</v>
          </cell>
          <cell r="F4">
            <v>21</v>
          </cell>
          <cell r="G4">
            <v>20</v>
          </cell>
          <cell r="H4">
            <v>0.5</v>
          </cell>
          <cell r="I4">
            <v>0.68</v>
          </cell>
          <cell r="J4">
            <v>0.01029</v>
          </cell>
        </row>
        <row r="5">
          <cell r="A5" t="str">
            <v>320399-X</v>
          </cell>
          <cell r="B5" t="str">
            <v>HONEY BEE ACRES CAT FAMILY 4-PACK</v>
          </cell>
          <cell r="C5" t="str">
            <v>猫家族</v>
          </cell>
          <cell r="D5">
            <v>4</v>
          </cell>
          <cell r="E5">
            <v>24.5</v>
          </cell>
          <cell r="F5">
            <v>21</v>
          </cell>
          <cell r="G5">
            <v>20</v>
          </cell>
          <cell r="H5">
            <v>0.5</v>
          </cell>
          <cell r="I5">
            <v>0.68</v>
          </cell>
          <cell r="J5">
            <v>0.01029</v>
          </cell>
        </row>
        <row r="6">
          <cell r="A6">
            <v>320400</v>
          </cell>
          <cell r="B6" t="str">
            <v>HONEY BEE ACRES BEAR FAMILY 4-PACK</v>
          </cell>
          <cell r="C6" t="str">
            <v>熊家族</v>
          </cell>
          <cell r="D6">
            <v>4</v>
          </cell>
          <cell r="E6">
            <v>24.5</v>
          </cell>
          <cell r="F6">
            <v>21</v>
          </cell>
          <cell r="G6">
            <v>20</v>
          </cell>
          <cell r="H6">
            <v>0.47</v>
          </cell>
          <cell r="I6">
            <v>0.68</v>
          </cell>
          <cell r="J6">
            <v>0.01029</v>
          </cell>
        </row>
        <row r="7">
          <cell r="A7" t="str">
            <v>320400-X</v>
          </cell>
          <cell r="B7" t="str">
            <v>HONEY BEE ACRES BEAR FAMILY 4-PACK</v>
          </cell>
          <cell r="C7" t="str">
            <v>熊家族</v>
          </cell>
          <cell r="D7">
            <v>4</v>
          </cell>
          <cell r="E7">
            <v>24.5</v>
          </cell>
          <cell r="F7">
            <v>21</v>
          </cell>
          <cell r="G7">
            <v>20</v>
          </cell>
          <cell r="H7">
            <v>0.47</v>
          </cell>
          <cell r="I7">
            <v>0.68</v>
          </cell>
          <cell r="J7">
            <v>0.01029</v>
          </cell>
        </row>
        <row r="8">
          <cell r="A8">
            <v>320401</v>
          </cell>
          <cell r="B8" t="str">
            <v>HONEY BEE ACRES DOG FAMILY 4-PACK</v>
          </cell>
          <cell r="C8" t="str">
            <v>狗家族</v>
          </cell>
          <cell r="D8">
            <v>4</v>
          </cell>
          <cell r="E8">
            <v>24.5</v>
          </cell>
          <cell r="F8">
            <v>21</v>
          </cell>
          <cell r="G8">
            <v>20</v>
          </cell>
          <cell r="H8">
            <v>0.51</v>
          </cell>
          <cell r="I8">
            <v>0.71</v>
          </cell>
          <cell r="J8">
            <v>0.01029</v>
          </cell>
        </row>
        <row r="9">
          <cell r="A9" t="str">
            <v>320401-X</v>
          </cell>
          <cell r="B9" t="str">
            <v>HONEY BEE ACRES DOG FAMILY 4-PACK</v>
          </cell>
          <cell r="C9" t="str">
            <v>狗家族</v>
          </cell>
          <cell r="D9">
            <v>4</v>
          </cell>
          <cell r="E9">
            <v>24.5</v>
          </cell>
          <cell r="F9">
            <v>21</v>
          </cell>
          <cell r="G9">
            <v>20</v>
          </cell>
          <cell r="H9">
            <v>0.51</v>
          </cell>
          <cell r="I9">
            <v>0.71</v>
          </cell>
          <cell r="J9">
            <v>0.01029</v>
          </cell>
        </row>
        <row r="10">
          <cell r="A10">
            <v>320918</v>
          </cell>
          <cell r="B10" t="str">
            <v>HONEY BEE ACRES DOG FAMILY 4-PACK</v>
          </cell>
          <cell r="C10" t="str">
            <v>狗家族</v>
          </cell>
          <cell r="D10">
            <v>4</v>
          </cell>
          <cell r="E10">
            <v>24.5</v>
          </cell>
          <cell r="F10">
            <v>21</v>
          </cell>
          <cell r="G10">
            <v>20</v>
          </cell>
          <cell r="H10">
            <v>0.51</v>
          </cell>
          <cell r="I10">
            <v>0.71</v>
          </cell>
          <cell r="J10">
            <v>0.01029</v>
          </cell>
        </row>
        <row r="11">
          <cell r="A11">
            <v>320735</v>
          </cell>
        </row>
        <row r="11">
          <cell r="C11" t="str">
            <v>混装</v>
          </cell>
          <cell r="D11">
            <v>4</v>
          </cell>
          <cell r="E11">
            <v>24.5</v>
          </cell>
          <cell r="F11">
            <v>21</v>
          </cell>
          <cell r="G11">
            <v>20</v>
          </cell>
          <cell r="H11">
            <v>0.51</v>
          </cell>
          <cell r="I11">
            <v>0.71</v>
          </cell>
          <cell r="J11">
            <v>0.01029</v>
          </cell>
        </row>
        <row r="12">
          <cell r="A12">
            <v>320403</v>
          </cell>
          <cell r="B12" t="str">
            <v>HONEY BEE ACRES ASSORTED CHARACTERS</v>
          </cell>
          <cell r="C12" t="str">
            <v>各种角色公仔组合</v>
          </cell>
          <cell r="D12">
            <v>16</v>
          </cell>
          <cell r="E12">
            <v>22</v>
          </cell>
          <cell r="F12">
            <v>17</v>
          </cell>
          <cell r="G12">
            <v>20.5</v>
          </cell>
          <cell r="H12">
            <v>0.75</v>
          </cell>
          <cell r="I12">
            <v>0.93</v>
          </cell>
          <cell r="J12">
            <v>0.007667</v>
          </cell>
        </row>
        <row r="13">
          <cell r="A13" t="str">
            <v>320403-X</v>
          </cell>
          <cell r="B13" t="str">
            <v>HONEY BEE ACRES ASSORTED CHARACTERS</v>
          </cell>
          <cell r="C13" t="str">
            <v>各种角色公仔组合</v>
          </cell>
          <cell r="D13">
            <v>16</v>
          </cell>
          <cell r="E13">
            <v>22</v>
          </cell>
          <cell r="F13">
            <v>17</v>
          </cell>
          <cell r="G13">
            <v>20.5</v>
          </cell>
          <cell r="H13">
            <v>0.75</v>
          </cell>
          <cell r="I13">
            <v>0.93</v>
          </cell>
          <cell r="J13">
            <v>0.007667</v>
          </cell>
        </row>
        <row r="14">
          <cell r="A14">
            <v>320402</v>
          </cell>
          <cell r="B14" t="str">
            <v>HONEY BEE ACRES PLAYGROUND PALS</v>
          </cell>
          <cell r="C14" t="str">
            <v>游乐场伙伴</v>
          </cell>
          <cell r="D14">
            <v>4</v>
          </cell>
          <cell r="E14">
            <v>31.5</v>
          </cell>
          <cell r="F14">
            <v>25</v>
          </cell>
          <cell r="G14">
            <v>20.5</v>
          </cell>
          <cell r="H14">
            <v>0.84</v>
          </cell>
          <cell r="I14">
            <v>1.11</v>
          </cell>
          <cell r="J14">
            <v>0.01614375</v>
          </cell>
        </row>
        <row r="15">
          <cell r="A15" t="str">
            <v>320402-X</v>
          </cell>
          <cell r="B15" t="str">
            <v>HONEY BEE ACRES PLAYGROUND PALS</v>
          </cell>
          <cell r="C15" t="str">
            <v>游乐场伙伴</v>
          </cell>
          <cell r="D15">
            <v>4</v>
          </cell>
          <cell r="E15">
            <v>31.5</v>
          </cell>
          <cell r="F15">
            <v>25</v>
          </cell>
          <cell r="G15">
            <v>20.5</v>
          </cell>
          <cell r="H15">
            <v>0.84</v>
          </cell>
          <cell r="I15">
            <v>1.11</v>
          </cell>
          <cell r="J15">
            <v>0.01614375</v>
          </cell>
        </row>
        <row r="16">
          <cell r="A16">
            <v>320404</v>
          </cell>
          <cell r="B16" t="str">
            <v>HONEY BEE ACRES AROUND TOWN VAN</v>
          </cell>
          <cell r="C16" t="str">
            <v>城镇货车</v>
          </cell>
          <cell r="D16">
            <v>2</v>
          </cell>
          <cell r="E16">
            <v>31</v>
          </cell>
          <cell r="F16">
            <v>29.5</v>
          </cell>
          <cell r="G16">
            <v>20</v>
          </cell>
          <cell r="H16">
            <v>1.11</v>
          </cell>
          <cell r="I16">
            <v>1.43</v>
          </cell>
          <cell r="J16">
            <v>0.01829</v>
          </cell>
        </row>
        <row r="17">
          <cell r="A17">
            <v>320405</v>
          </cell>
          <cell r="B17" t="str">
            <v>HONEY BEE ACRES LIVING ROOM DECOR ACCESSORIES
</v>
          </cell>
          <cell r="C17" t="str">
            <v>客厅装饰</v>
          </cell>
          <cell r="D17">
            <v>3</v>
          </cell>
          <cell r="E17">
            <v>31.5</v>
          </cell>
          <cell r="F17">
            <v>27</v>
          </cell>
          <cell r="G17">
            <v>20</v>
          </cell>
          <cell r="H17">
            <v>1.5</v>
          </cell>
          <cell r="I17">
            <v>1.83</v>
          </cell>
          <cell r="J17">
            <v>0.01701</v>
          </cell>
        </row>
        <row r="18">
          <cell r="A18" t="str">
            <v>320405-X</v>
          </cell>
          <cell r="B18" t="str">
            <v>HONEY BEE ACRES LIVING ROOM DECOR ACCESSORIES
</v>
          </cell>
          <cell r="C18" t="str">
            <v>客厅装饰</v>
          </cell>
          <cell r="D18">
            <v>3</v>
          </cell>
          <cell r="E18">
            <v>31.5</v>
          </cell>
          <cell r="F18">
            <v>27</v>
          </cell>
          <cell r="G18">
            <v>20</v>
          </cell>
          <cell r="H18">
            <v>1.5</v>
          </cell>
          <cell r="I18">
            <v>1.83</v>
          </cell>
          <cell r="J18">
            <v>0.01701</v>
          </cell>
        </row>
        <row r="19">
          <cell r="A19">
            <v>320406</v>
          </cell>
          <cell r="B19" t="str">
            <v>HONEY BEE ACRES KITCHEN DECOR ACCESSORIES </v>
          </cell>
          <cell r="C19" t="str">
            <v>厨房装饰</v>
          </cell>
          <cell r="D19">
            <v>3</v>
          </cell>
          <cell r="E19">
            <v>31</v>
          </cell>
          <cell r="F19">
            <v>26.5</v>
          </cell>
          <cell r="G19">
            <v>20.5</v>
          </cell>
          <cell r="H19">
            <v>0.79</v>
          </cell>
          <cell r="I19">
            <v>1.07</v>
          </cell>
          <cell r="J19">
            <v>0.01684075</v>
          </cell>
        </row>
        <row r="20">
          <cell r="A20" t="str">
            <v>320406-X</v>
          </cell>
          <cell r="B20" t="str">
            <v>HONEY BEE ACRES KITCHEN DECOR ACCESSORIES </v>
          </cell>
          <cell r="C20" t="str">
            <v>厨房装饰</v>
          </cell>
          <cell r="D20">
            <v>3</v>
          </cell>
          <cell r="E20">
            <v>31</v>
          </cell>
          <cell r="F20">
            <v>26.5</v>
          </cell>
          <cell r="G20">
            <v>20.5</v>
          </cell>
          <cell r="H20">
            <v>0.79</v>
          </cell>
          <cell r="I20">
            <v>1.07</v>
          </cell>
          <cell r="J20">
            <v>0.01684075</v>
          </cell>
        </row>
        <row r="21">
          <cell r="A21">
            <v>320407</v>
          </cell>
          <cell r="B21" t="str">
            <v>HONEY BEE ACRES BATHROOM DECOR ACCESSORIES </v>
          </cell>
          <cell r="C21" t="str">
            <v>浴室装饰</v>
          </cell>
          <cell r="D21">
            <v>3</v>
          </cell>
          <cell r="E21">
            <v>31</v>
          </cell>
          <cell r="F21">
            <v>27</v>
          </cell>
          <cell r="G21">
            <v>20</v>
          </cell>
          <cell r="H21">
            <v>0.93</v>
          </cell>
          <cell r="I21">
            <v>1.21</v>
          </cell>
          <cell r="J21">
            <v>0.01674</v>
          </cell>
        </row>
        <row r="22">
          <cell r="A22" t="str">
            <v>320407-X</v>
          </cell>
          <cell r="B22" t="str">
            <v>HONEY BEE ACRES BATHROOM DECOR ACCESSORIES </v>
          </cell>
          <cell r="C22" t="str">
            <v>浴室装饰</v>
          </cell>
          <cell r="D22">
            <v>3</v>
          </cell>
          <cell r="E22">
            <v>31</v>
          </cell>
          <cell r="F22">
            <v>27</v>
          </cell>
          <cell r="G22">
            <v>20</v>
          </cell>
          <cell r="H22">
            <v>0.93</v>
          </cell>
          <cell r="I22">
            <v>1.21</v>
          </cell>
          <cell r="J22">
            <v>0.01674</v>
          </cell>
        </row>
        <row r="23">
          <cell r="A23">
            <v>320408</v>
          </cell>
          <cell r="B23" t="str">
            <v>HONEY BEE ACRES GENERAL STORE with Adult Figure </v>
          </cell>
          <cell r="C23" t="str">
            <v>普通商店</v>
          </cell>
          <cell r="D23">
            <v>2</v>
          </cell>
          <cell r="E23">
            <v>41.91</v>
          </cell>
          <cell r="F23">
            <v>31.75</v>
          </cell>
          <cell r="G23">
            <v>21.59</v>
          </cell>
          <cell r="H23">
            <v>1.97</v>
          </cell>
          <cell r="I23">
            <v>2.43</v>
          </cell>
          <cell r="J23">
            <v>0.028728571575</v>
          </cell>
        </row>
        <row r="24">
          <cell r="A24" t="str">
            <v>320408-X</v>
          </cell>
          <cell r="B24" t="str">
            <v>HONEY BEE ACRES GENERAL STORE with Adult Figure </v>
          </cell>
          <cell r="C24" t="str">
            <v>普通商店</v>
          </cell>
          <cell r="D24">
            <v>2</v>
          </cell>
          <cell r="E24">
            <v>39.5</v>
          </cell>
          <cell r="F24">
            <v>30</v>
          </cell>
          <cell r="G24">
            <v>21.5</v>
          </cell>
          <cell r="H24">
            <v>1.97</v>
          </cell>
          <cell r="I24">
            <v>2.43</v>
          </cell>
          <cell r="J24">
            <v>0.0254775</v>
          </cell>
        </row>
        <row r="25">
          <cell r="A25">
            <v>320409</v>
          </cell>
          <cell r="B25" t="str">
            <v>HONEY BEE ACRES SUNFLOWER COUNTRY COTTAGE with Adult Figure </v>
          </cell>
          <cell r="C25" t="str">
            <v>向日葵家</v>
          </cell>
          <cell r="D25">
            <v>2</v>
          </cell>
          <cell r="E25">
            <v>43</v>
          </cell>
          <cell r="F25">
            <v>32.5</v>
          </cell>
          <cell r="G25">
            <v>30.5</v>
          </cell>
          <cell r="H25">
            <v>2.34</v>
          </cell>
          <cell r="I25">
            <v>3</v>
          </cell>
          <cell r="J25">
            <v>0.04262375</v>
          </cell>
        </row>
        <row r="26">
          <cell r="A26">
            <v>320410</v>
          </cell>
          <cell r="B26" t="str">
            <v>HONEY BEE ACRES BUZZBY FARM HOUSE  with 2 FIGURES (Adult &amp;Child)</v>
          </cell>
          <cell r="C26" t="str">
            <v>巴比斯农舍</v>
          </cell>
          <cell r="D26">
            <v>1</v>
          </cell>
          <cell r="E26">
            <v>62</v>
          </cell>
          <cell r="F26">
            <v>25</v>
          </cell>
          <cell r="G26">
            <v>40.5</v>
          </cell>
          <cell r="H26">
            <v>4.9</v>
          </cell>
          <cell r="I26">
            <v>5.56</v>
          </cell>
          <cell r="J26">
            <v>0.062775</v>
          </cell>
        </row>
        <row r="27">
          <cell r="A27">
            <v>470191</v>
          </cell>
          <cell r="B27" t="str">
            <v>HONEY BEE ACRES BUZZBY FARM HOUSE  with 2 FIGURES (Adult &amp;Child)</v>
          </cell>
          <cell r="C27" t="str">
            <v>巴比斯农舍</v>
          </cell>
          <cell r="D27">
            <v>1</v>
          </cell>
          <cell r="E27">
            <v>62</v>
          </cell>
          <cell r="F27">
            <v>25</v>
          </cell>
          <cell r="G27">
            <v>40.5</v>
          </cell>
          <cell r="H27">
            <v>4.9</v>
          </cell>
          <cell r="I27">
            <v>5.56</v>
          </cell>
          <cell r="J27">
            <v>0.062775</v>
          </cell>
        </row>
        <row r="28">
          <cell r="A28">
            <v>320626</v>
          </cell>
          <cell r="B28" t="str">
            <v>HONEY BEE ACRES RAINBOW RIDGE BABIES with ACCESSOR</v>
          </cell>
          <cell r="C28" t="str">
            <v>彩虹岭婴儿与配件系列</v>
          </cell>
          <cell r="D28">
            <v>16</v>
          </cell>
          <cell r="E28">
            <v>21</v>
          </cell>
          <cell r="F28">
            <v>17</v>
          </cell>
          <cell r="G28">
            <v>20</v>
          </cell>
          <cell r="H28">
            <v>0.74</v>
          </cell>
          <cell r="I28">
            <v>0.9</v>
          </cell>
          <cell r="J28">
            <v>0.00714</v>
          </cell>
        </row>
        <row r="29">
          <cell r="A29">
            <v>320627</v>
          </cell>
          <cell r="B29" t="str">
            <v>HONEY BEE ACRES PAINT and COLOR ART FUN</v>
          </cell>
          <cell r="C29" t="str">
            <v>画画装扮</v>
          </cell>
          <cell r="D29">
            <v>4</v>
          </cell>
          <cell r="E29">
            <v>25.5</v>
          </cell>
          <cell r="F29">
            <v>17.5</v>
          </cell>
          <cell r="G29">
            <v>20</v>
          </cell>
          <cell r="H29">
            <v>0.34</v>
          </cell>
          <cell r="I29">
            <v>0.52</v>
          </cell>
          <cell r="J29">
            <v>0.008925</v>
          </cell>
        </row>
        <row r="30">
          <cell r="A30">
            <v>320629</v>
          </cell>
          <cell r="B30" t="str">
            <v>HONEY BEE ACRES PAINT and COLOR ART FUN</v>
          </cell>
          <cell r="C30" t="str">
            <v>画画装扮</v>
          </cell>
          <cell r="D30">
            <v>4</v>
          </cell>
          <cell r="E30">
            <v>33</v>
          </cell>
          <cell r="F30">
            <v>20</v>
          </cell>
          <cell r="G30">
            <v>20</v>
          </cell>
          <cell r="H30">
            <v>0.34</v>
          </cell>
          <cell r="I30">
            <v>0.52</v>
          </cell>
          <cell r="J30">
            <v>0.0132</v>
          </cell>
        </row>
        <row r="31">
          <cell r="A31">
            <v>320785</v>
          </cell>
          <cell r="B31" t="str">
            <v>HONEY BEE ACRES PAINT and COLOR ART FUN</v>
          </cell>
          <cell r="C31" t="str">
            <v>画画装扮</v>
          </cell>
          <cell r="D31">
            <v>4</v>
          </cell>
          <cell r="E31">
            <v>25.5</v>
          </cell>
          <cell r="F31">
            <v>17.5</v>
          </cell>
          <cell r="G31">
            <v>20</v>
          </cell>
          <cell r="H31">
            <v>0.34</v>
          </cell>
          <cell r="I31">
            <v>0.52</v>
          </cell>
          <cell r="J31">
            <v>0.008925</v>
          </cell>
        </row>
        <row r="32">
          <cell r="A32">
            <v>320630</v>
          </cell>
          <cell r="B32" t="str">
            <v>HONEY BEE ACRES CLOVERBERRIES COW FAMILY</v>
          </cell>
          <cell r="C32" t="str">
            <v>牛家族</v>
          </cell>
          <cell r="D32">
            <v>4</v>
          </cell>
          <cell r="E32">
            <v>25</v>
          </cell>
          <cell r="F32">
            <v>20.5</v>
          </cell>
          <cell r="G32">
            <v>20</v>
          </cell>
          <cell r="H32">
            <v>0.46</v>
          </cell>
          <cell r="I32">
            <v>0.67</v>
          </cell>
          <cell r="J32">
            <v>0.01025</v>
          </cell>
        </row>
        <row r="33">
          <cell r="A33">
            <v>320631</v>
          </cell>
          <cell r="B33" t="str">
            <v>HONEY BEE ACRES CHEDDARS MOUSE FAMILY</v>
          </cell>
          <cell r="C33" t="str">
            <v>老鼠家族</v>
          </cell>
          <cell r="D33">
            <v>4</v>
          </cell>
          <cell r="E33">
            <v>25.5</v>
          </cell>
          <cell r="F33">
            <v>21</v>
          </cell>
          <cell r="G33">
            <v>20</v>
          </cell>
          <cell r="H33">
            <v>0.47</v>
          </cell>
          <cell r="I33">
            <v>0.7</v>
          </cell>
          <cell r="J33">
            <v>0.01071</v>
          </cell>
        </row>
        <row r="34">
          <cell r="A34">
            <v>320632</v>
          </cell>
          <cell r="B34" t="str">
            <v>HONEY BEE ACRES BACK to SCHOOL PALS - 8 
STYLES</v>
          </cell>
          <cell r="C34" t="str">
            <v>学校队友</v>
          </cell>
          <cell r="D34">
            <v>4</v>
          </cell>
          <cell r="E34">
            <v>31.5</v>
          </cell>
          <cell r="F34">
            <v>25</v>
          </cell>
          <cell r="G34">
            <v>20</v>
          </cell>
          <cell r="H34">
            <v>0.83</v>
          </cell>
          <cell r="I34">
            <v>1.09</v>
          </cell>
          <cell r="J34">
            <v>0.01575</v>
          </cell>
        </row>
        <row r="35">
          <cell r="A35">
            <v>320634</v>
          </cell>
          <cell r="B35" t="str">
            <v>HONEY BEE ACRES RAINBOW RIDGE - 9 STYLES</v>
          </cell>
          <cell r="C35" t="str">
            <v>彩虹岭伙伴</v>
          </cell>
          <cell r="D35">
            <v>4</v>
          </cell>
          <cell r="E35">
            <v>31.5</v>
          </cell>
          <cell r="F35">
            <v>25</v>
          </cell>
          <cell r="G35">
            <v>20</v>
          </cell>
          <cell r="H35">
            <v>0.82</v>
          </cell>
          <cell r="I35">
            <v>1.08</v>
          </cell>
          <cell r="J35">
            <v>0.01575</v>
          </cell>
        </row>
        <row r="36">
          <cell r="A36">
            <v>320637</v>
          </cell>
          <cell r="B36" t="str">
            <v>HONEY BEE ACRES DAYDREAMERS UNICORN FAMILY</v>
          </cell>
          <cell r="C36" t="str">
            <v>独角兽家族</v>
          </cell>
          <cell r="D36">
            <v>4</v>
          </cell>
          <cell r="E36">
            <v>25.5</v>
          </cell>
          <cell r="F36">
            <v>21</v>
          </cell>
          <cell r="G36">
            <v>20</v>
          </cell>
          <cell r="H36">
            <v>0.5</v>
          </cell>
          <cell r="I36">
            <v>0.7</v>
          </cell>
          <cell r="J36">
            <v>0.01071</v>
          </cell>
        </row>
        <row r="37">
          <cell r="A37">
            <v>320638</v>
          </cell>
          <cell r="B37" t="str">
            <v>HONEY BEE ACRES SWEET DREAMS PAJAMA 
PARTY</v>
          </cell>
          <cell r="C37" t="str">
            <v>露营派对装扮</v>
          </cell>
          <cell r="D37">
            <v>4</v>
          </cell>
          <cell r="E37">
            <v>25.5</v>
          </cell>
          <cell r="F37">
            <v>17.5</v>
          </cell>
          <cell r="G37">
            <v>20.5</v>
          </cell>
          <cell r="H37">
            <v>0.62</v>
          </cell>
          <cell r="I37">
            <v>0.8</v>
          </cell>
          <cell r="J37">
            <v>0.009148125</v>
          </cell>
        </row>
        <row r="38">
          <cell r="A38">
            <v>470195</v>
          </cell>
          <cell r="B38" t="str">
            <v>HONEY BEE ACRES SWEET DREAMS PAJAMA 
PARTY</v>
          </cell>
          <cell r="C38" t="str">
            <v>花园</v>
          </cell>
          <cell r="D38">
            <v>4</v>
          </cell>
          <cell r="E38">
            <v>19.05</v>
          </cell>
          <cell r="F38">
            <v>17.145</v>
          </cell>
          <cell r="G38">
            <v>19.05</v>
          </cell>
          <cell r="H38">
            <v>0.62</v>
          </cell>
          <cell r="I38">
            <v>0.8</v>
          </cell>
          <cell r="J38">
            <v>0.0062219633625</v>
          </cell>
        </row>
        <row r="39">
          <cell r="A39">
            <v>320639</v>
          </cell>
          <cell r="B39" t="str">
            <v>HONEY BEE ACRES FLOWER GROOVE VAN WITH CHARACTER</v>
          </cell>
          <cell r="C39" t="str">
            <v>新货车</v>
          </cell>
          <cell r="D39">
            <v>2</v>
          </cell>
          <cell r="E39">
            <v>29.4</v>
          </cell>
          <cell r="F39">
            <v>27.4</v>
          </cell>
          <cell r="G39">
            <v>20.3</v>
          </cell>
          <cell r="H39">
            <v>1.02</v>
          </cell>
          <cell r="I39">
            <v>1.29</v>
          </cell>
          <cell r="J39">
            <v>0.016352868</v>
          </cell>
        </row>
        <row r="40">
          <cell r="A40">
            <v>320640</v>
          </cell>
          <cell r="B40" t="str">
            <v>HONEY BEE ACRES SUNBURST ART STUDIO</v>
          </cell>
          <cell r="C40" t="str">
            <v>彩虹屋</v>
          </cell>
          <cell r="D40">
            <v>1</v>
          </cell>
          <cell r="E40">
            <v>53.5</v>
          </cell>
          <cell r="F40">
            <v>22.5</v>
          </cell>
          <cell r="G40">
            <v>32.5</v>
          </cell>
          <cell r="H40">
            <v>1.73</v>
          </cell>
          <cell r="I40">
            <v>2.2</v>
          </cell>
          <cell r="J40">
            <v>0.039121875</v>
          </cell>
        </row>
        <row r="41">
          <cell r="A41">
            <v>320641</v>
          </cell>
          <cell r="B41" t="str">
            <v> 
HONEY BEE ACRES CRYSTAL'S ICE CREAM SHOP PLAYSET</v>
          </cell>
          <cell r="C41" t="str">
            <v>冰淇淋屋</v>
          </cell>
          <cell r="D41">
            <v>2</v>
          </cell>
          <cell r="E41">
            <v>43</v>
          </cell>
          <cell r="F41">
            <v>32.5</v>
          </cell>
          <cell r="G41">
            <v>23</v>
          </cell>
          <cell r="H41">
            <v>1.68</v>
          </cell>
          <cell r="I41">
            <v>2.15</v>
          </cell>
          <cell r="J41">
            <v>0.0321425</v>
          </cell>
        </row>
        <row r="42">
          <cell r="A42">
            <v>320916</v>
          </cell>
          <cell r="B42" t="str">
            <v> 
HONEY BEE ACRES CRYSTAL'S ICE CREAM SHOP PLAYSET</v>
          </cell>
          <cell r="C42" t="str">
            <v>糕屋</v>
          </cell>
          <cell r="D42">
            <v>2</v>
          </cell>
          <cell r="E42">
            <v>38.1</v>
          </cell>
          <cell r="F42">
            <v>30.48</v>
          </cell>
          <cell r="G42">
            <v>22.225</v>
          </cell>
          <cell r="H42">
            <v>1.68</v>
          </cell>
          <cell r="I42">
            <v>2.15</v>
          </cell>
          <cell r="J42">
            <v>0.0258096258</v>
          </cell>
        </row>
        <row r="43">
          <cell r="A43">
            <v>320649</v>
          </cell>
          <cell r="B43" t="str">
            <v>FIDGIE FRIENDS WATERMELOW</v>
          </cell>
          <cell r="C43" t="str">
            <v>西瓜女孩</v>
          </cell>
          <cell r="D43">
            <v>2</v>
          </cell>
          <cell r="E43">
            <v>22.5</v>
          </cell>
          <cell r="F43">
            <v>22.5</v>
          </cell>
          <cell r="G43">
            <v>33</v>
          </cell>
          <cell r="H43">
            <v>0.822</v>
          </cell>
          <cell r="I43">
            <v>1.185</v>
          </cell>
          <cell r="J43">
            <v>0.01670625</v>
          </cell>
        </row>
        <row r="44">
          <cell r="A44">
            <v>320650</v>
          </cell>
          <cell r="B44" t="str">
            <v>FIDGIE FRIENDS BOBA BUBBLES</v>
          </cell>
          <cell r="C44" t="str">
            <v>波巴女孩</v>
          </cell>
          <cell r="D44">
            <v>2</v>
          </cell>
          <cell r="E44">
            <v>22.5</v>
          </cell>
          <cell r="F44">
            <v>22.5</v>
          </cell>
          <cell r="G44">
            <v>33</v>
          </cell>
          <cell r="H44">
            <v>0.957</v>
          </cell>
          <cell r="I44">
            <v>1.32</v>
          </cell>
          <cell r="J44">
            <v>0.01670625</v>
          </cell>
        </row>
        <row r="45">
          <cell r="A45">
            <v>320651</v>
          </cell>
          <cell r="B45" t="str">
            <v> 
FIDGIE FRIENDS DANDELION WISHES</v>
          </cell>
          <cell r="C45" t="str">
            <v>蒲公英女孩</v>
          </cell>
          <cell r="D45">
            <v>2</v>
          </cell>
          <cell r="E45">
            <v>22.5</v>
          </cell>
          <cell r="F45">
            <v>22.5</v>
          </cell>
          <cell r="G45">
            <v>33</v>
          </cell>
          <cell r="H45">
            <v>1.276</v>
          </cell>
          <cell r="I45">
            <v>1.645</v>
          </cell>
          <cell r="J45">
            <v>0.01670625</v>
          </cell>
        </row>
        <row r="46">
          <cell r="A46">
            <v>320652</v>
          </cell>
          <cell r="B46" t="str">
            <v>FIDGIE FRIENDS UNICORN SPRINKLES</v>
          </cell>
          <cell r="C46" t="str">
            <v>独角女孩</v>
          </cell>
          <cell r="D46">
            <v>2</v>
          </cell>
          <cell r="E46">
            <v>22.5</v>
          </cell>
          <cell r="F46">
            <v>22.5</v>
          </cell>
          <cell r="G46">
            <v>33</v>
          </cell>
          <cell r="H46">
            <v>0.894</v>
          </cell>
          <cell r="I46">
            <v>1.262</v>
          </cell>
          <cell r="J46">
            <v>0.01670625</v>
          </cell>
        </row>
        <row r="47">
          <cell r="A47">
            <v>320839</v>
          </cell>
        </row>
        <row r="47">
          <cell r="C47" t="str">
            <v>面条女孩</v>
          </cell>
          <cell r="D47">
            <v>2</v>
          </cell>
          <cell r="E47">
            <v>22.5</v>
          </cell>
          <cell r="F47">
            <v>22.5</v>
          </cell>
          <cell r="G47">
            <v>33</v>
          </cell>
          <cell r="H47">
            <v>0.894</v>
          </cell>
          <cell r="I47">
            <v>1.262</v>
          </cell>
          <cell r="J47">
            <v>0.01670625</v>
          </cell>
        </row>
        <row r="48">
          <cell r="A48">
            <v>320840</v>
          </cell>
        </row>
        <row r="48">
          <cell r="C48" t="str">
            <v>披萨女孩</v>
          </cell>
          <cell r="D48">
            <v>2</v>
          </cell>
          <cell r="E48">
            <v>22.5</v>
          </cell>
          <cell r="F48">
            <v>22.5</v>
          </cell>
          <cell r="G48">
            <v>33</v>
          </cell>
          <cell r="H48">
            <v>0.894</v>
          </cell>
          <cell r="I48">
            <v>1.262</v>
          </cell>
          <cell r="J48">
            <v>0.01670625</v>
          </cell>
        </row>
        <row r="49">
          <cell r="A49">
            <v>320841</v>
          </cell>
          <cell r="B49" t="str">
            <v>FIDGIE FRIENDS UNICORN SPRINKLES</v>
          </cell>
          <cell r="C49" t="str">
            <v>独角女孩</v>
          </cell>
          <cell r="D49">
            <v>2</v>
          </cell>
          <cell r="E49">
            <v>22.5</v>
          </cell>
          <cell r="F49">
            <v>22.5</v>
          </cell>
          <cell r="G49">
            <v>33</v>
          </cell>
          <cell r="H49">
            <v>0.894</v>
          </cell>
          <cell r="I49">
            <v>1.262</v>
          </cell>
          <cell r="J49">
            <v>0.01670625</v>
          </cell>
        </row>
        <row r="50">
          <cell r="A50">
            <v>320915</v>
          </cell>
          <cell r="B50" t="str">
            <v>HONEY BEE ACRES RAINBOW RIDGE - 9 STYLES</v>
          </cell>
          <cell r="C50" t="str">
            <v>圣装伙伴</v>
          </cell>
          <cell r="D50">
            <v>4</v>
          </cell>
          <cell r="E50">
            <v>31.5</v>
          </cell>
          <cell r="F50">
            <v>25</v>
          </cell>
          <cell r="G50">
            <v>20</v>
          </cell>
          <cell r="H50">
            <v>0.82</v>
          </cell>
          <cell r="I50">
            <v>1.08</v>
          </cell>
          <cell r="J50">
            <v>0.01575</v>
          </cell>
        </row>
        <row r="51">
          <cell r="A51">
            <v>320643</v>
          </cell>
        </row>
        <row r="51">
          <cell r="C51" t="str">
            <v>复活节彩蛋</v>
          </cell>
          <cell r="D51">
            <v>24</v>
          </cell>
          <cell r="E51">
            <v>62.3316</v>
          </cell>
          <cell r="F51">
            <v>37.465</v>
          </cell>
          <cell r="G51">
            <v>14.605</v>
          </cell>
        </row>
        <row r="51">
          <cell r="J51">
            <v>0.03410637581937</v>
          </cell>
        </row>
        <row r="52">
          <cell r="A52">
            <v>320993</v>
          </cell>
        </row>
        <row r="52">
          <cell r="C52" t="str">
            <v>健身房</v>
          </cell>
          <cell r="D52">
            <v>5</v>
          </cell>
          <cell r="E52">
            <v>59.69</v>
          </cell>
          <cell r="F52">
            <v>39.37</v>
          </cell>
          <cell r="G52">
            <v>44.45</v>
          </cell>
        </row>
        <row r="52">
          <cell r="J52">
            <v>0.104457291085</v>
          </cell>
        </row>
        <row r="53">
          <cell r="A53" t="str">
            <v>12369（1）</v>
          </cell>
        </row>
        <row r="53">
          <cell r="C53" t="str">
            <v>摇摆米奇</v>
          </cell>
          <cell r="D53">
            <v>1</v>
          </cell>
          <cell r="E53">
            <v>37.084</v>
          </cell>
          <cell r="F53">
            <v>16.51</v>
          </cell>
          <cell r="G53">
            <v>42.545</v>
          </cell>
        </row>
        <row r="53">
          <cell r="J53">
            <v>0.0260484672578</v>
          </cell>
        </row>
        <row r="54">
          <cell r="A54" t="str">
            <v>12369（2）</v>
          </cell>
        </row>
        <row r="54">
          <cell r="C54" t="str">
            <v>摇摆米奇</v>
          </cell>
          <cell r="D54">
            <v>2</v>
          </cell>
          <cell r="E54">
            <v>37.084</v>
          </cell>
          <cell r="F54">
            <v>31.75</v>
          </cell>
          <cell r="G54">
            <v>42.545</v>
          </cell>
        </row>
        <row r="54">
          <cell r="J54">
            <v>0.050093206265</v>
          </cell>
        </row>
        <row r="55">
          <cell r="A55" t="str">
            <v>12369（3）</v>
          </cell>
        </row>
        <row r="55">
          <cell r="C55" t="str">
            <v>摇摆米奇</v>
          </cell>
          <cell r="D55">
            <v>3</v>
          </cell>
          <cell r="E55">
            <v>48.26</v>
          </cell>
          <cell r="F55">
            <v>36.83</v>
          </cell>
          <cell r="G55">
            <v>42.545</v>
          </cell>
        </row>
        <row r="55">
          <cell r="J55">
            <v>0.075620155211</v>
          </cell>
        </row>
        <row r="56">
          <cell r="A56" t="str">
            <v>12369（4）</v>
          </cell>
          <cell r="B56" t="str">
            <v>纸箱（4个装）</v>
          </cell>
          <cell r="C56" t="str">
            <v>摇摆米奇</v>
          </cell>
          <cell r="D56">
            <v>4</v>
          </cell>
          <cell r="E56">
            <v>64.135</v>
          </cell>
          <cell r="F56">
            <v>36.83</v>
          </cell>
          <cell r="G56">
            <v>42.545</v>
          </cell>
        </row>
        <row r="56">
          <cell r="J56">
            <v>0.10049520626725</v>
          </cell>
        </row>
        <row r="57">
          <cell r="A57" t="str">
            <v>96112（1）</v>
          </cell>
          <cell r="B57" t="str">
            <v>纸箱（1个装有彩盒）</v>
          </cell>
          <cell r="C57" t="str">
            <v>JJ大头娃娃</v>
          </cell>
        </row>
        <row r="57">
          <cell r="E57">
            <v>30</v>
          </cell>
          <cell r="F57">
            <v>28</v>
          </cell>
          <cell r="G57">
            <v>18.5</v>
          </cell>
        </row>
        <row r="57">
          <cell r="J57">
            <v>0.01554</v>
          </cell>
        </row>
        <row r="58">
          <cell r="A58" t="str">
            <v>96112（9）</v>
          </cell>
          <cell r="B58" t="str">
            <v>纸箱（9个装无彩盒）</v>
          </cell>
          <cell r="C58" t="str">
            <v>JJ大头娃娃</v>
          </cell>
        </row>
        <row r="58">
          <cell r="E58">
            <v>53.34</v>
          </cell>
          <cell r="F58">
            <v>45.72</v>
          </cell>
          <cell r="G58">
            <v>27.94</v>
          </cell>
        </row>
        <row r="58">
          <cell r="J58">
            <v>0.068137412112</v>
          </cell>
        </row>
        <row r="59">
          <cell r="A59" t="str">
            <v>96112（4）</v>
          </cell>
          <cell r="B59" t="str">
            <v>纸箱（4个装有彩盒）</v>
          </cell>
          <cell r="C59" t="str">
            <v>JJ大头娃娃</v>
          </cell>
        </row>
        <row r="59">
          <cell r="E59">
            <v>54</v>
          </cell>
          <cell r="F59">
            <v>35</v>
          </cell>
          <cell r="G59">
            <v>31</v>
          </cell>
        </row>
        <row r="59">
          <cell r="J59">
            <v>0.05859</v>
          </cell>
        </row>
        <row r="60">
          <cell r="A60" t="str">
            <v>96112（6）</v>
          </cell>
          <cell r="B60" t="str">
            <v>纸箱（6个装有彩盒）</v>
          </cell>
          <cell r="C60" t="str">
            <v>JJ大头娃娃</v>
          </cell>
        </row>
        <row r="60">
          <cell r="E60">
            <v>52.705</v>
          </cell>
          <cell r="F60">
            <v>52.07</v>
          </cell>
          <cell r="G60">
            <v>29.845</v>
          </cell>
        </row>
        <row r="60">
          <cell r="J60">
            <v>0.08190510635075</v>
          </cell>
        </row>
        <row r="61">
          <cell r="A61">
            <v>96112</v>
          </cell>
          <cell r="B61" t="str">
            <v>邮包盒无彩盒</v>
          </cell>
          <cell r="C61" t="str">
            <v>JJ大头娃娃</v>
          </cell>
        </row>
        <row r="61">
          <cell r="E61">
            <v>26.67</v>
          </cell>
          <cell r="F61">
            <v>14.605</v>
          </cell>
          <cell r="G61">
            <v>27.94</v>
          </cell>
        </row>
        <row r="61">
          <cell r="J61">
            <v>0.010883058879</v>
          </cell>
        </row>
        <row r="62">
          <cell r="A62" t="str">
            <v>96112（邮包）</v>
          </cell>
          <cell r="B62" t="str">
            <v>6个邮包盒纸箱</v>
          </cell>
          <cell r="C62" t="str">
            <v>JJ大头娃娃</v>
          </cell>
        </row>
        <row r="62">
          <cell r="E62">
            <v>54.61</v>
          </cell>
          <cell r="F62">
            <v>45.72</v>
          </cell>
          <cell r="G62">
            <v>29.21</v>
          </cell>
        </row>
        <row r="62">
          <cell r="J62">
            <v>0.072930628332</v>
          </cell>
        </row>
        <row r="63">
          <cell r="A63" t="str">
            <v>96112（PDQ）</v>
          </cell>
          <cell r="B63" t="str">
            <v>纸箱（6个装BJ版PDQ）</v>
          </cell>
          <cell r="C63" t="str">
            <v>JJ大头娃娃</v>
          </cell>
        </row>
        <row r="63">
          <cell r="E63">
            <v>54.61</v>
          </cell>
          <cell r="F63">
            <v>52.705</v>
          </cell>
          <cell r="G63">
            <v>30.48</v>
          </cell>
        </row>
        <row r="63">
          <cell r="J63">
            <v>0.087728147124</v>
          </cell>
        </row>
        <row r="64">
          <cell r="A64" t="str">
            <v>96112（39）</v>
          </cell>
          <cell r="B64" t="str">
            <v>纸箱（39个装有彩盒）</v>
          </cell>
          <cell r="C64" t="str">
            <v>JJ大头娃娃</v>
          </cell>
        </row>
        <row r="64">
          <cell r="E64">
            <v>124</v>
          </cell>
          <cell r="F64">
            <v>54</v>
          </cell>
          <cell r="G64">
            <v>88</v>
          </cell>
        </row>
        <row r="64">
          <cell r="J64">
            <v>0.589248</v>
          </cell>
        </row>
        <row r="65">
          <cell r="A65" t="str">
            <v>88188（3）</v>
          </cell>
          <cell r="B65" t="str">
            <v>纸箱（3个装）</v>
          </cell>
          <cell r="C65" t="str">
            <v>背包狗</v>
          </cell>
        </row>
        <row r="65">
          <cell r="E65">
            <v>55.245</v>
          </cell>
          <cell r="F65">
            <v>24.765</v>
          </cell>
          <cell r="G65">
            <v>35.56</v>
          </cell>
        </row>
        <row r="65">
          <cell r="J65">
            <v>0.048651144633</v>
          </cell>
        </row>
        <row r="66">
          <cell r="A66" t="str">
            <v>88188（1）</v>
          </cell>
          <cell r="B66" t="str">
            <v>纸箱（1个装）</v>
          </cell>
          <cell r="C66" t="str">
            <v>背包狗</v>
          </cell>
        </row>
        <row r="66">
          <cell r="E66">
            <v>24.13</v>
          </cell>
          <cell r="F66">
            <v>19.05</v>
          </cell>
          <cell r="G66">
            <v>34.29</v>
          </cell>
        </row>
        <row r="66">
          <cell r="J66">
            <v>0.015762307185</v>
          </cell>
        </row>
        <row r="67">
          <cell r="A67">
            <v>95526</v>
          </cell>
          <cell r="B67" t="str">
            <v>纸箱（18个装）</v>
          </cell>
        </row>
        <row r="67">
          <cell r="E67">
            <v>24</v>
          </cell>
          <cell r="F67">
            <v>22</v>
          </cell>
          <cell r="G67">
            <v>39.5</v>
          </cell>
        </row>
        <row r="67">
          <cell r="J67">
            <v>0.020856</v>
          </cell>
        </row>
        <row r="68">
          <cell r="A68" t="str">
            <v>42062（2）</v>
          </cell>
          <cell r="B68" t="str">
            <v>纸箱（2个装）</v>
          </cell>
          <cell r="C68" t="str">
            <v>大狗</v>
          </cell>
        </row>
        <row r="68">
          <cell r="E68">
            <v>35</v>
          </cell>
          <cell r="F68">
            <v>32.5</v>
          </cell>
          <cell r="G68">
            <v>29.5</v>
          </cell>
        </row>
        <row r="68">
          <cell r="J68">
            <v>0.03355625</v>
          </cell>
        </row>
        <row r="69">
          <cell r="A69" t="str">
            <v>42064（2）</v>
          </cell>
          <cell r="B69" t="str">
            <v>纸箱（2个装）</v>
          </cell>
          <cell r="C69" t="str">
            <v>大马</v>
          </cell>
        </row>
        <row r="69">
          <cell r="E69">
            <v>35</v>
          </cell>
          <cell r="F69">
            <v>32.5</v>
          </cell>
          <cell r="G69">
            <v>29.5</v>
          </cell>
        </row>
        <row r="69">
          <cell r="J69">
            <v>0.03355625</v>
          </cell>
        </row>
        <row r="70">
          <cell r="A70" t="str">
            <v>42062（6）</v>
          </cell>
          <cell r="B70" t="str">
            <v>纸箱（6个装）</v>
          </cell>
          <cell r="C70" t="str">
            <v>大狗</v>
          </cell>
        </row>
        <row r="70">
          <cell r="E70">
            <v>57.15</v>
          </cell>
          <cell r="F70">
            <v>51.435</v>
          </cell>
          <cell r="G70">
            <v>31.75</v>
          </cell>
        </row>
        <row r="70">
          <cell r="J70">
            <v>0.0933294504375</v>
          </cell>
        </row>
        <row r="71">
          <cell r="A71" t="str">
            <v>42064（6）</v>
          </cell>
          <cell r="B71" t="str">
            <v>纸箱（6个装）</v>
          </cell>
          <cell r="C71" t="str">
            <v>大马</v>
          </cell>
        </row>
        <row r="71">
          <cell r="E71">
            <v>57.15</v>
          </cell>
          <cell r="F71">
            <v>51.435</v>
          </cell>
          <cell r="G71">
            <v>31.75</v>
          </cell>
        </row>
        <row r="71">
          <cell r="J71">
            <v>0.0933294504375</v>
          </cell>
        </row>
        <row r="72">
          <cell r="A72" t="str">
            <v>42069(6)</v>
          </cell>
          <cell r="B72" t="str">
            <v>纸箱（6个装）</v>
          </cell>
          <cell r="C72" t="str">
            <v>大狗</v>
          </cell>
        </row>
        <row r="72">
          <cell r="E72">
            <v>57.15</v>
          </cell>
          <cell r="F72">
            <v>51.435</v>
          </cell>
          <cell r="G72">
            <v>31.75</v>
          </cell>
        </row>
        <row r="72">
          <cell r="J72">
            <v>0.0933294504375</v>
          </cell>
        </row>
        <row r="73">
          <cell r="A73" t="str">
            <v>42068(6)</v>
          </cell>
          <cell r="B73" t="str">
            <v>纸箱（6个装）</v>
          </cell>
          <cell r="C73" t="str">
            <v>大马</v>
          </cell>
        </row>
        <row r="73">
          <cell r="E73">
            <v>57.15</v>
          </cell>
          <cell r="F73">
            <v>51.435</v>
          </cell>
          <cell r="G73">
            <v>31.75</v>
          </cell>
        </row>
        <row r="73">
          <cell r="J73">
            <v>0.0933294504375</v>
          </cell>
        </row>
        <row r="74">
          <cell r="A74" t="str">
            <v>42087(6)</v>
          </cell>
          <cell r="B74" t="str">
            <v>纸箱（6个装）</v>
          </cell>
          <cell r="C74" t="str">
            <v>大马</v>
          </cell>
        </row>
        <row r="74">
          <cell r="E74">
            <v>57.15</v>
          </cell>
          <cell r="F74">
            <v>51.435</v>
          </cell>
          <cell r="G74">
            <v>31.75</v>
          </cell>
        </row>
        <row r="74">
          <cell r="J74">
            <v>0.0933294504375</v>
          </cell>
        </row>
        <row r="75">
          <cell r="A75" t="str">
            <v>42069/87</v>
          </cell>
          <cell r="B75" t="str">
            <v>纸箱（6个装）</v>
          </cell>
          <cell r="C75" t="str">
            <v>大狗/大马混装</v>
          </cell>
        </row>
        <row r="75">
          <cell r="E75">
            <v>57.15</v>
          </cell>
          <cell r="F75">
            <v>51.435</v>
          </cell>
          <cell r="G75">
            <v>31.75</v>
          </cell>
        </row>
        <row r="75">
          <cell r="J75">
            <v>0.0933294504375</v>
          </cell>
        </row>
        <row r="76">
          <cell r="A76" t="str">
            <v>470111（4）</v>
          </cell>
          <cell r="B76" t="str">
            <v>纸箱（4个装）</v>
          </cell>
          <cell r="C76" t="str">
            <v>卷发女孩</v>
          </cell>
        </row>
        <row r="76">
          <cell r="E76">
            <v>27.94</v>
          </cell>
          <cell r="F76">
            <v>16.51</v>
          </cell>
          <cell r="G76">
            <v>33</v>
          </cell>
        </row>
        <row r="76">
          <cell r="J76">
            <v>0.0152225502</v>
          </cell>
        </row>
        <row r="77">
          <cell r="A77" t="str">
            <v>470112（4）</v>
          </cell>
          <cell r="B77" t="str">
            <v>纸箱（4个装）</v>
          </cell>
          <cell r="C77" t="str">
            <v>黄色狗</v>
          </cell>
        </row>
        <row r="77">
          <cell r="E77">
            <v>27.94</v>
          </cell>
          <cell r="F77">
            <v>16.51</v>
          </cell>
          <cell r="G77">
            <v>33</v>
          </cell>
        </row>
        <row r="77">
          <cell r="J77">
            <v>0.0152225502</v>
          </cell>
        </row>
        <row r="78">
          <cell r="A78" t="str">
            <v>470113（4）</v>
          </cell>
          <cell r="B78" t="str">
            <v>纸箱（4个装）</v>
          </cell>
          <cell r="C78" t="str">
            <v>直发女孩</v>
          </cell>
        </row>
        <row r="78">
          <cell r="E78">
            <v>27.94</v>
          </cell>
          <cell r="F78">
            <v>16.51</v>
          </cell>
          <cell r="G78">
            <v>33</v>
          </cell>
        </row>
        <row r="78">
          <cell r="J78">
            <v>0.0152225502</v>
          </cell>
        </row>
        <row r="79">
          <cell r="A79" t="str">
            <v>470114（4）</v>
          </cell>
          <cell r="B79" t="str">
            <v>纸箱（4个装）</v>
          </cell>
          <cell r="C79" t="str">
            <v>粉色兔子</v>
          </cell>
        </row>
        <row r="79">
          <cell r="E79">
            <v>27.94</v>
          </cell>
          <cell r="F79">
            <v>16.51</v>
          </cell>
          <cell r="G79">
            <v>33</v>
          </cell>
        </row>
        <row r="79">
          <cell r="J79">
            <v>0.0152225502</v>
          </cell>
        </row>
        <row r="80">
          <cell r="A80" t="str">
            <v>470111（18）</v>
          </cell>
          <cell r="B80" t="str">
            <v>纸箱（18个装）</v>
          </cell>
          <cell r="C80" t="str">
            <v>卷发女孩</v>
          </cell>
        </row>
        <row r="80">
          <cell r="E80">
            <v>48.26</v>
          </cell>
          <cell r="F80">
            <v>40.64</v>
          </cell>
          <cell r="G80">
            <v>31.75</v>
          </cell>
        </row>
        <row r="80">
          <cell r="J80">
            <v>0.0622708432</v>
          </cell>
        </row>
        <row r="81">
          <cell r="A81" t="str">
            <v>470112（18）</v>
          </cell>
          <cell r="B81" t="str">
            <v>纸箱（18个装）</v>
          </cell>
          <cell r="C81" t="str">
            <v>黄色狗</v>
          </cell>
        </row>
        <row r="81">
          <cell r="E81">
            <v>48.26</v>
          </cell>
          <cell r="F81">
            <v>40.64</v>
          </cell>
          <cell r="G81">
            <v>31.75</v>
          </cell>
        </row>
        <row r="81">
          <cell r="J81">
            <v>0.0622708432</v>
          </cell>
        </row>
        <row r="82">
          <cell r="A82" t="str">
            <v>470113（18）</v>
          </cell>
          <cell r="B82" t="str">
            <v>纸箱（18个装）</v>
          </cell>
          <cell r="C82" t="str">
            <v>直发女孩</v>
          </cell>
        </row>
        <row r="82">
          <cell r="E82">
            <v>48.26</v>
          </cell>
          <cell r="F82">
            <v>40.64</v>
          </cell>
          <cell r="G82">
            <v>31.75</v>
          </cell>
        </row>
        <row r="82">
          <cell r="J82">
            <v>0.0622708432</v>
          </cell>
        </row>
        <row r="83">
          <cell r="A83" t="str">
            <v>470114（18）</v>
          </cell>
          <cell r="B83" t="str">
            <v>纸箱（18个装）</v>
          </cell>
          <cell r="C83" t="str">
            <v>粉色兔子</v>
          </cell>
        </row>
        <row r="83">
          <cell r="E83">
            <v>48.26</v>
          </cell>
          <cell r="F83">
            <v>40.64</v>
          </cell>
          <cell r="G83">
            <v>31.75</v>
          </cell>
        </row>
        <row r="83">
          <cell r="J83">
            <v>0.0622708432</v>
          </cell>
        </row>
        <row r="84">
          <cell r="A84" t="str">
            <v>470616（4）</v>
          </cell>
          <cell r="B84" t="str">
            <v>纸箱（4个装）</v>
          </cell>
          <cell r="C84" t="str">
            <v>直发仙女</v>
          </cell>
        </row>
        <row r="84">
          <cell r="E84">
            <v>33</v>
          </cell>
          <cell r="F84">
            <v>17.2</v>
          </cell>
          <cell r="G84">
            <v>28</v>
          </cell>
        </row>
        <row r="84">
          <cell r="J84">
            <v>0.0158928</v>
          </cell>
        </row>
        <row r="85">
          <cell r="A85" t="str">
            <v>12136（1）</v>
          </cell>
          <cell r="B85" t="str">
            <v>1个装纸箱</v>
          </cell>
          <cell r="C85" t="str">
            <v>爬爬米奇</v>
          </cell>
        </row>
        <row r="85">
          <cell r="E85">
            <v>30.48</v>
          </cell>
          <cell r="F85">
            <v>14.605</v>
          </cell>
          <cell r="G85">
            <v>24.13</v>
          </cell>
        </row>
        <row r="85">
          <cell r="J85">
            <v>0.010741720452</v>
          </cell>
        </row>
        <row r="86">
          <cell r="A86" t="str">
            <v>12136（2）</v>
          </cell>
          <cell r="B86" t="str">
            <v>2个装纸箱</v>
          </cell>
          <cell r="C86" t="str">
            <v>爬爬米奇</v>
          </cell>
        </row>
        <row r="86">
          <cell r="E86">
            <v>30.48</v>
          </cell>
          <cell r="F86">
            <v>27.94</v>
          </cell>
          <cell r="G86">
            <v>24.13</v>
          </cell>
        </row>
        <row r="86">
          <cell r="J86">
            <v>0.020549378256</v>
          </cell>
        </row>
        <row r="87">
          <cell r="A87" t="str">
            <v>12136（4）</v>
          </cell>
          <cell r="B87" t="str">
            <v>4个装纸箱</v>
          </cell>
          <cell r="C87" t="str">
            <v>爬爬米奇</v>
          </cell>
        </row>
        <row r="87">
          <cell r="E87">
            <v>57.785</v>
          </cell>
          <cell r="F87">
            <v>27.94</v>
          </cell>
          <cell r="G87">
            <v>24.13</v>
          </cell>
        </row>
        <row r="87">
          <cell r="J87">
            <v>0.038958196277</v>
          </cell>
        </row>
        <row r="88">
          <cell r="A88" t="str">
            <v>12136（8）</v>
          </cell>
          <cell r="B88" t="str">
            <v>8个装纸箱</v>
          </cell>
          <cell r="C88" t="str">
            <v>爬爬米奇</v>
          </cell>
        </row>
        <row r="88">
          <cell r="E88">
            <v>57.785</v>
          </cell>
          <cell r="F88">
            <v>57.15</v>
          </cell>
          <cell r="G88">
            <v>25.4</v>
          </cell>
        </row>
        <row r="88">
          <cell r="J88">
            <v>0.08388128385</v>
          </cell>
        </row>
        <row r="89">
          <cell r="A89" t="str">
            <v>12137（1）</v>
          </cell>
          <cell r="B89" t="str">
            <v>1个装纸箱</v>
          </cell>
          <cell r="C89" t="str">
            <v>爬爬米妮</v>
          </cell>
        </row>
        <row r="89">
          <cell r="E89">
            <v>30.48</v>
          </cell>
          <cell r="F89">
            <v>14.605</v>
          </cell>
          <cell r="G89">
            <v>24.13</v>
          </cell>
        </row>
        <row r="89">
          <cell r="J89">
            <v>0.010741720452</v>
          </cell>
        </row>
        <row r="90">
          <cell r="A90" t="str">
            <v>12137（2）</v>
          </cell>
          <cell r="B90" t="str">
            <v>2个装纸箱</v>
          </cell>
          <cell r="C90" t="str">
            <v>爬爬米妮</v>
          </cell>
        </row>
        <row r="90">
          <cell r="E90">
            <v>30.48</v>
          </cell>
          <cell r="F90">
            <v>27.94</v>
          </cell>
          <cell r="G90">
            <v>24.13</v>
          </cell>
        </row>
        <row r="90">
          <cell r="J90">
            <v>0.020549378256</v>
          </cell>
        </row>
        <row r="91">
          <cell r="A91" t="str">
            <v>12137（4）</v>
          </cell>
          <cell r="B91" t="str">
            <v>4个装纸箱</v>
          </cell>
          <cell r="C91" t="str">
            <v>爬爬米妮</v>
          </cell>
        </row>
        <row r="91">
          <cell r="E91">
            <v>57.785</v>
          </cell>
          <cell r="F91">
            <v>27.94</v>
          </cell>
          <cell r="G91">
            <v>24.13</v>
          </cell>
        </row>
        <row r="91">
          <cell r="J91">
            <v>0.038958196277</v>
          </cell>
        </row>
        <row r="92">
          <cell r="A92" t="str">
            <v>12137（8）</v>
          </cell>
          <cell r="B92" t="str">
            <v>8个装纸箱</v>
          </cell>
          <cell r="C92" t="str">
            <v>爬爬米妮</v>
          </cell>
        </row>
        <row r="92">
          <cell r="E92">
            <v>57.785</v>
          </cell>
          <cell r="F92">
            <v>57.15</v>
          </cell>
          <cell r="G92">
            <v>25.4</v>
          </cell>
        </row>
        <row r="92">
          <cell r="J92">
            <v>0.08388128385</v>
          </cell>
        </row>
        <row r="93">
          <cell r="A93" t="str">
            <v>12125（4）</v>
          </cell>
          <cell r="B93" t="str">
            <v>4个装纸箱</v>
          </cell>
          <cell r="C93" t="str">
            <v>爬爬系列</v>
          </cell>
        </row>
        <row r="93">
          <cell r="E93">
            <v>57.785</v>
          </cell>
          <cell r="F93">
            <v>27.94</v>
          </cell>
          <cell r="G93">
            <v>24.13</v>
          </cell>
        </row>
        <row r="93">
          <cell r="J93">
            <v>0.038958196277</v>
          </cell>
        </row>
        <row r="94">
          <cell r="A94" t="str">
            <v>320398（14）</v>
          </cell>
          <cell r="B94" t="str">
            <v>14个装纸箱</v>
          </cell>
          <cell r="C94" t="str">
            <v>兔子家族</v>
          </cell>
        </row>
        <row r="94">
          <cell r="E94">
            <v>42</v>
          </cell>
          <cell r="F94">
            <v>36</v>
          </cell>
          <cell r="G94">
            <v>22.5</v>
          </cell>
        </row>
        <row r="94">
          <cell r="J94">
            <v>0.03402</v>
          </cell>
        </row>
        <row r="95">
          <cell r="A95">
            <v>320635</v>
          </cell>
          <cell r="B95" t="str">
            <v>2个装纸箱</v>
          </cell>
          <cell r="C95" t="str">
            <v>校车</v>
          </cell>
        </row>
        <row r="95">
          <cell r="E95">
            <v>35.18</v>
          </cell>
          <cell r="F95">
            <v>27.18</v>
          </cell>
          <cell r="G95">
            <v>16.51</v>
          </cell>
        </row>
        <row r="95">
          <cell r="J95">
            <v>0.015786736524</v>
          </cell>
        </row>
        <row r="96">
          <cell r="A96">
            <v>470230</v>
          </cell>
          <cell r="B96" t="str">
            <v>2个装纸箱</v>
          </cell>
          <cell r="C96" t="str">
            <v>转面公仔</v>
          </cell>
        </row>
        <row r="96">
          <cell r="E96">
            <v>35.56</v>
          </cell>
          <cell r="F96">
            <v>22.86</v>
          </cell>
          <cell r="G96">
            <v>30</v>
          </cell>
        </row>
        <row r="96">
          <cell r="J96">
            <v>0.024387048</v>
          </cell>
        </row>
        <row r="97">
          <cell r="A97">
            <v>470231</v>
          </cell>
          <cell r="B97" t="str">
            <v>2个装纸箱</v>
          </cell>
          <cell r="C97" t="str">
            <v>转面公仔</v>
          </cell>
        </row>
        <row r="97">
          <cell r="E97">
            <v>35.56</v>
          </cell>
          <cell r="F97">
            <v>22.86</v>
          </cell>
          <cell r="G97">
            <v>31.75</v>
          </cell>
        </row>
        <row r="97">
          <cell r="J97">
            <v>0.0258096258</v>
          </cell>
        </row>
        <row r="98">
          <cell r="A98" t="str">
            <v>470232-KH</v>
          </cell>
          <cell r="B98" t="str">
            <v>2个装纸箱</v>
          </cell>
          <cell r="C98" t="str">
            <v>转面公仔</v>
          </cell>
        </row>
        <row r="98">
          <cell r="E98">
            <v>35.56</v>
          </cell>
          <cell r="F98">
            <v>22.86</v>
          </cell>
          <cell r="G98">
            <v>31.75</v>
          </cell>
        </row>
        <row r="98">
          <cell r="J98">
            <v>0.0258096258</v>
          </cell>
        </row>
        <row r="99">
          <cell r="A99">
            <v>470232</v>
          </cell>
          <cell r="B99" t="str">
            <v>2个装纸箱</v>
          </cell>
          <cell r="C99" t="str">
            <v>转面公仔</v>
          </cell>
        </row>
        <row r="99">
          <cell r="E99">
            <v>35.56</v>
          </cell>
          <cell r="F99">
            <v>22.86</v>
          </cell>
          <cell r="G99">
            <v>31.75</v>
          </cell>
        </row>
        <row r="99">
          <cell r="J99">
            <v>0.0258096258</v>
          </cell>
        </row>
        <row r="100">
          <cell r="A100">
            <v>470227</v>
          </cell>
          <cell r="B100" t="str">
            <v>2个装纸箱</v>
          </cell>
          <cell r="C100" t="str">
            <v>转面公仔</v>
          </cell>
        </row>
        <row r="100">
          <cell r="E100">
            <v>35.56</v>
          </cell>
          <cell r="F100">
            <v>22.86</v>
          </cell>
          <cell r="G100">
            <v>31.75</v>
          </cell>
        </row>
        <row r="100">
          <cell r="J100">
            <v>0.0258096258</v>
          </cell>
        </row>
        <row r="101">
          <cell r="A101">
            <v>470228</v>
          </cell>
          <cell r="B101" t="str">
            <v>2个装纸箱</v>
          </cell>
          <cell r="C101" t="str">
            <v>转面公仔</v>
          </cell>
        </row>
        <row r="101">
          <cell r="E101">
            <v>35.56</v>
          </cell>
          <cell r="F101">
            <v>22.86</v>
          </cell>
          <cell r="G101">
            <v>31.75</v>
          </cell>
        </row>
        <row r="101">
          <cell r="J101">
            <v>0.0258096258</v>
          </cell>
        </row>
        <row r="102">
          <cell r="A102">
            <v>86330</v>
          </cell>
          <cell r="B102" t="str">
            <v>2个装纸箱</v>
          </cell>
          <cell r="C102" t="str">
            <v>搪胶小鸭</v>
          </cell>
        </row>
        <row r="102">
          <cell r="E102">
            <v>25</v>
          </cell>
          <cell r="F102">
            <v>36</v>
          </cell>
          <cell r="G102">
            <v>39</v>
          </cell>
        </row>
        <row r="102">
          <cell r="J102">
            <v>0.0351</v>
          </cell>
        </row>
        <row r="103">
          <cell r="A103" t="str">
            <v>58725(48)</v>
          </cell>
          <cell r="B103" t="str">
            <v>48个装纸箱</v>
          </cell>
          <cell r="C103" t="str">
            <v>搪胶小鸭</v>
          </cell>
        </row>
        <row r="103">
          <cell r="E103">
            <v>34.925</v>
          </cell>
          <cell r="F103">
            <v>22.225</v>
          </cell>
          <cell r="G103">
            <v>19.05</v>
          </cell>
        </row>
        <row r="103">
          <cell r="J103">
            <v>0.01478676478125</v>
          </cell>
        </row>
        <row r="104">
          <cell r="A104">
            <v>26850</v>
          </cell>
          <cell r="B104" t="str">
            <v>48个装纸箱</v>
          </cell>
          <cell r="C104" t="str">
            <v>搪胶小鸭</v>
          </cell>
        </row>
        <row r="104">
          <cell r="E104">
            <v>34.925</v>
          </cell>
          <cell r="F104">
            <v>22.225</v>
          </cell>
          <cell r="G104">
            <v>19.05</v>
          </cell>
        </row>
        <row r="104">
          <cell r="J104">
            <v>0.01478676478125</v>
          </cell>
        </row>
        <row r="105">
          <cell r="A105" t="str">
            <v>33415（48）</v>
          </cell>
          <cell r="B105" t="str">
            <v>48个装纸箱</v>
          </cell>
          <cell r="C105" t="str">
            <v>搪胶小鸭</v>
          </cell>
          <cell r="D105">
            <v>48</v>
          </cell>
          <cell r="E105">
            <v>34.925</v>
          </cell>
          <cell r="F105">
            <v>22.225</v>
          </cell>
          <cell r="G105">
            <v>19.05</v>
          </cell>
        </row>
        <row r="105">
          <cell r="J105">
            <v>0.01478676478125</v>
          </cell>
        </row>
        <row r="106">
          <cell r="A106" t="str">
            <v>33415（24）</v>
          </cell>
          <cell r="B106" t="str">
            <v>24个装纸箱</v>
          </cell>
          <cell r="C106" t="str">
            <v>搪胶小鸭</v>
          </cell>
          <cell r="D106">
            <v>24</v>
          </cell>
          <cell r="E106">
            <v>28.575</v>
          </cell>
          <cell r="F106">
            <v>19.05</v>
          </cell>
          <cell r="G106">
            <v>16.51</v>
          </cell>
        </row>
        <row r="106">
          <cell r="J106">
            <v>0.0089872804125</v>
          </cell>
        </row>
        <row r="107">
          <cell r="A107" t="str">
            <v>33415（18）</v>
          </cell>
          <cell r="B107" t="str">
            <v>18个装纸箱</v>
          </cell>
          <cell r="C107" t="str">
            <v>搪胶小鸭</v>
          </cell>
          <cell r="D107">
            <v>18</v>
          </cell>
          <cell r="E107">
            <v>32.385</v>
          </cell>
          <cell r="F107">
            <v>17.78</v>
          </cell>
          <cell r="G107">
            <v>10.16</v>
          </cell>
        </row>
        <row r="107">
          <cell r="J107">
            <v>0.005850181848</v>
          </cell>
        </row>
        <row r="108">
          <cell r="A108" t="str">
            <v>33415（36）</v>
          </cell>
          <cell r="B108" t="str">
            <v>36个装纸箱</v>
          </cell>
          <cell r="C108" t="str">
            <v>搪胶小鸭</v>
          </cell>
          <cell r="D108">
            <v>36</v>
          </cell>
          <cell r="E108">
            <v>31.75</v>
          </cell>
          <cell r="F108">
            <v>17.145</v>
          </cell>
          <cell r="G108">
            <v>19.05</v>
          </cell>
        </row>
        <row r="108">
          <cell r="J108">
            <v>0.0103699389375</v>
          </cell>
        </row>
        <row r="109">
          <cell r="A109" t="str">
            <v>33465（24）</v>
          </cell>
          <cell r="B109" t="str">
            <v>24个装纸箱</v>
          </cell>
          <cell r="C109" t="str">
            <v>搪胶小鸭</v>
          </cell>
        </row>
        <row r="109">
          <cell r="E109">
            <v>31</v>
          </cell>
          <cell r="F109">
            <v>22</v>
          </cell>
          <cell r="G109">
            <v>19.5</v>
          </cell>
        </row>
        <row r="109">
          <cell r="J109">
            <v>0.013299</v>
          </cell>
        </row>
        <row r="110">
          <cell r="A110">
            <v>33440</v>
          </cell>
          <cell r="B110" t="str">
            <v>36个装纸箱</v>
          </cell>
          <cell r="C110" t="str">
            <v>搪胶小鸭</v>
          </cell>
        </row>
        <row r="110">
          <cell r="E110">
            <v>37</v>
          </cell>
          <cell r="F110">
            <v>30</v>
          </cell>
          <cell r="G110">
            <v>13.5</v>
          </cell>
        </row>
        <row r="110">
          <cell r="J110">
            <v>0.014985</v>
          </cell>
        </row>
        <row r="111">
          <cell r="A111">
            <v>92058</v>
          </cell>
          <cell r="B111" t="str">
            <v>2个装纸箱</v>
          </cell>
        </row>
        <row r="111">
          <cell r="E111">
            <v>47.625</v>
          </cell>
          <cell r="F111">
            <v>34.925</v>
          </cell>
          <cell r="G111">
            <v>38.1</v>
          </cell>
        </row>
        <row r="111">
          <cell r="J111">
            <v>0.0633718490625</v>
          </cell>
        </row>
        <row r="112">
          <cell r="A112">
            <v>42803</v>
          </cell>
          <cell r="B112" t="str">
            <v>4个装纸箱</v>
          </cell>
        </row>
        <row r="112">
          <cell r="E112">
            <v>32.385</v>
          </cell>
          <cell r="F112">
            <v>11.43</v>
          </cell>
          <cell r="G112">
            <v>16.51</v>
          </cell>
        </row>
        <row r="112">
          <cell r="J112">
            <v>0.0061113506805</v>
          </cell>
        </row>
        <row r="113">
          <cell r="A113">
            <v>470194</v>
          </cell>
          <cell r="B113" t="str">
            <v>2个装纸箱</v>
          </cell>
          <cell r="C113" t="str">
            <v>树屋</v>
          </cell>
        </row>
        <row r="113">
          <cell r="E113">
            <v>41.91</v>
          </cell>
          <cell r="F113">
            <v>31.75</v>
          </cell>
          <cell r="G113">
            <v>30.48</v>
          </cell>
        </row>
        <row r="113">
          <cell r="J113">
            <v>0.0405579834</v>
          </cell>
        </row>
        <row r="114">
          <cell r="A114" t="str">
            <v>14746(3)</v>
          </cell>
          <cell r="B114" t="str">
            <v>3个装纸箱</v>
          </cell>
          <cell r="C114" t="str">
            <v>坐姿米奇</v>
          </cell>
        </row>
        <row r="114">
          <cell r="E114">
            <v>51.435</v>
          </cell>
          <cell r="F114">
            <v>22.225</v>
          </cell>
          <cell r="G114">
            <v>34.925</v>
          </cell>
        </row>
        <row r="114">
          <cell r="J114">
            <v>0.039924264909375</v>
          </cell>
        </row>
        <row r="115">
          <cell r="A115" t="str">
            <v>14747(3)</v>
          </cell>
          <cell r="B115" t="str">
            <v>3个装纸箱</v>
          </cell>
          <cell r="C115" t="str">
            <v>坐姿米妮</v>
          </cell>
        </row>
        <row r="115">
          <cell r="E115">
            <v>51.435</v>
          </cell>
          <cell r="F115">
            <v>22.225</v>
          </cell>
          <cell r="G115">
            <v>34.925</v>
          </cell>
        </row>
        <row r="115">
          <cell r="J115">
            <v>0.039924264909375</v>
          </cell>
        </row>
        <row r="116">
          <cell r="A116" t="str">
            <v>14745(3)</v>
          </cell>
          <cell r="B116" t="str">
            <v>3个装纸箱</v>
          </cell>
          <cell r="C116" t="str">
            <v>坐姿米奇&amp;米妮</v>
          </cell>
        </row>
        <row r="116">
          <cell r="E116">
            <v>51.435</v>
          </cell>
          <cell r="F116">
            <v>22.225</v>
          </cell>
          <cell r="G116">
            <v>34.925</v>
          </cell>
        </row>
        <row r="116">
          <cell r="J116">
            <v>0.039924264909375</v>
          </cell>
        </row>
        <row r="117">
          <cell r="A117">
            <v>320738</v>
          </cell>
          <cell r="B117" t="str">
            <v>HOPSCOTCH LANE BOOSTER SEAT with TRAY</v>
          </cell>
          <cell r="C117" t="str">
            <v>跳伞车道座椅和托盘系列</v>
          </cell>
          <cell r="D117">
            <v>1</v>
          </cell>
          <cell r="E117">
            <v>35.56</v>
          </cell>
          <cell r="F117">
            <v>22</v>
          </cell>
          <cell r="G117">
            <v>40</v>
          </cell>
          <cell r="H117">
            <v>1.92</v>
          </cell>
          <cell r="I117">
            <v>2.22</v>
          </cell>
          <cell r="J117">
            <v>0.0312928</v>
          </cell>
        </row>
        <row r="118">
          <cell r="A118">
            <v>470448</v>
          </cell>
          <cell r="B118" t="str">
            <v>16装纸箱</v>
          </cell>
        </row>
        <row r="118">
          <cell r="E118">
            <v>33.02</v>
          </cell>
          <cell r="F118">
            <v>25.4</v>
          </cell>
          <cell r="G118">
            <v>14.605</v>
          </cell>
        </row>
        <row r="118">
          <cell r="J118">
            <v>0.01224933034</v>
          </cell>
        </row>
        <row r="119">
          <cell r="A119">
            <v>470449</v>
          </cell>
          <cell r="B119" t="str">
            <v>16装纸箱</v>
          </cell>
        </row>
        <row r="119">
          <cell r="E119">
            <v>33.02</v>
          </cell>
          <cell r="F119">
            <v>25.4</v>
          </cell>
          <cell r="G119">
            <v>14.605</v>
          </cell>
        </row>
        <row r="119">
          <cell r="J119">
            <v>0.01224933034</v>
          </cell>
        </row>
        <row r="120">
          <cell r="A120">
            <v>470450</v>
          </cell>
          <cell r="B120" t="str">
            <v>16装纸箱</v>
          </cell>
        </row>
        <row r="120">
          <cell r="E120">
            <v>33.02</v>
          </cell>
          <cell r="F120">
            <v>25.4</v>
          </cell>
          <cell r="G120">
            <v>14.605</v>
          </cell>
        </row>
        <row r="120">
          <cell r="J120">
            <v>0.01224933034</v>
          </cell>
        </row>
        <row r="121">
          <cell r="A121">
            <v>470451</v>
          </cell>
          <cell r="B121" t="str">
            <v>16装纸箱</v>
          </cell>
        </row>
        <row r="121">
          <cell r="E121">
            <v>33.02</v>
          </cell>
          <cell r="F121">
            <v>25.4</v>
          </cell>
          <cell r="G121">
            <v>14.605</v>
          </cell>
        </row>
        <row r="121">
          <cell r="J121">
            <v>0.01224933034</v>
          </cell>
        </row>
        <row r="122">
          <cell r="A122">
            <v>470453</v>
          </cell>
          <cell r="B122" t="str">
            <v>16装纸箱</v>
          </cell>
        </row>
        <row r="122">
          <cell r="E122">
            <v>39.37</v>
          </cell>
          <cell r="F122">
            <v>24.765</v>
          </cell>
          <cell r="G122">
            <v>17.145</v>
          </cell>
        </row>
        <row r="122">
          <cell r="J122">
            <v>0.01671634156725</v>
          </cell>
        </row>
        <row r="123">
          <cell r="A123">
            <v>470454</v>
          </cell>
          <cell r="B123" t="str">
            <v>16装纸箱</v>
          </cell>
        </row>
        <row r="123">
          <cell r="E123">
            <v>39.37</v>
          </cell>
          <cell r="F123">
            <v>24.765</v>
          </cell>
          <cell r="G123">
            <v>17.145</v>
          </cell>
        </row>
        <row r="123">
          <cell r="J123">
            <v>0.01671634156725</v>
          </cell>
        </row>
        <row r="124">
          <cell r="A124">
            <v>470455</v>
          </cell>
          <cell r="B124" t="str">
            <v>16装纸箱</v>
          </cell>
        </row>
        <row r="124">
          <cell r="E124">
            <v>39.37</v>
          </cell>
          <cell r="F124">
            <v>25.4</v>
          </cell>
          <cell r="G124">
            <v>25.4</v>
          </cell>
        </row>
        <row r="124">
          <cell r="J124">
            <v>0.0253999492</v>
          </cell>
        </row>
        <row r="125">
          <cell r="A125">
            <v>470456</v>
          </cell>
          <cell r="B125" t="str">
            <v>16装纸箱</v>
          </cell>
        </row>
        <row r="125">
          <cell r="E125">
            <v>39.37</v>
          </cell>
          <cell r="F125">
            <v>24.765</v>
          </cell>
          <cell r="G125">
            <v>17.145</v>
          </cell>
        </row>
        <row r="125">
          <cell r="J125">
            <v>0.01671634156725</v>
          </cell>
        </row>
        <row r="126">
          <cell r="A126">
            <v>470457</v>
          </cell>
          <cell r="B126" t="str">
            <v>16装纸箱</v>
          </cell>
        </row>
        <row r="126">
          <cell r="E126">
            <v>26.67</v>
          </cell>
          <cell r="F126">
            <v>17.78</v>
          </cell>
          <cell r="G126">
            <v>14.605</v>
          </cell>
        </row>
        <row r="126">
          <cell r="J126">
            <v>0.006925582923</v>
          </cell>
        </row>
        <row r="127">
          <cell r="A127">
            <v>470458</v>
          </cell>
          <cell r="B127" t="str">
            <v>16装纸箱</v>
          </cell>
        </row>
        <row r="127">
          <cell r="E127">
            <v>26.67</v>
          </cell>
          <cell r="F127">
            <v>17.78</v>
          </cell>
          <cell r="G127">
            <v>12.7</v>
          </cell>
        </row>
        <row r="127">
          <cell r="J127">
            <v>0.00602224602</v>
          </cell>
        </row>
        <row r="128">
          <cell r="A128">
            <v>470459</v>
          </cell>
          <cell r="B128" t="str">
            <v>16装纸箱</v>
          </cell>
        </row>
        <row r="128">
          <cell r="E128">
            <v>26.67</v>
          </cell>
          <cell r="F128">
            <v>17.78</v>
          </cell>
          <cell r="G128">
            <v>14.605</v>
          </cell>
        </row>
        <row r="128">
          <cell r="J128">
            <v>0.006925582923</v>
          </cell>
        </row>
        <row r="129">
          <cell r="A129">
            <v>470460</v>
          </cell>
          <cell r="B129" t="str">
            <v>16装纸箱</v>
          </cell>
        </row>
        <row r="129">
          <cell r="E129">
            <v>26.67</v>
          </cell>
          <cell r="F129">
            <v>17.78</v>
          </cell>
          <cell r="G129">
            <v>11.43</v>
          </cell>
        </row>
        <row r="129">
          <cell r="J129">
            <v>0.005420021418</v>
          </cell>
        </row>
        <row r="130">
          <cell r="A130">
            <v>470461</v>
          </cell>
          <cell r="B130" t="str">
            <v>16装纸箱</v>
          </cell>
        </row>
        <row r="130">
          <cell r="E130">
            <v>21.59</v>
          </cell>
          <cell r="F130">
            <v>16.51</v>
          </cell>
          <cell r="G130">
            <v>19.05</v>
          </cell>
        </row>
        <row r="130">
          <cell r="J130">
            <v>0.006790389645</v>
          </cell>
        </row>
        <row r="131">
          <cell r="A131">
            <v>470462</v>
          </cell>
          <cell r="B131" t="str">
            <v>16装纸箱</v>
          </cell>
        </row>
        <row r="131">
          <cell r="E131">
            <v>21.59</v>
          </cell>
          <cell r="F131">
            <v>16.51</v>
          </cell>
          <cell r="G131">
            <v>13.97</v>
          </cell>
        </row>
        <row r="131">
          <cell r="J131">
            <v>0.004979619073</v>
          </cell>
        </row>
        <row r="132">
          <cell r="A132">
            <v>470463</v>
          </cell>
          <cell r="B132" t="str">
            <v>16装纸箱</v>
          </cell>
        </row>
        <row r="132">
          <cell r="E132">
            <v>21.59</v>
          </cell>
          <cell r="F132">
            <v>16.51</v>
          </cell>
          <cell r="G132">
            <v>13.97</v>
          </cell>
        </row>
        <row r="132">
          <cell r="J132">
            <v>0.004979619073</v>
          </cell>
        </row>
        <row r="133">
          <cell r="A133">
            <v>470464</v>
          </cell>
          <cell r="B133" t="str">
            <v>16装纸箱</v>
          </cell>
        </row>
        <row r="133">
          <cell r="E133">
            <v>21.59</v>
          </cell>
          <cell r="F133">
            <v>16.51</v>
          </cell>
          <cell r="G133">
            <v>20.32</v>
          </cell>
        </row>
        <row r="133">
          <cell r="J133">
            <v>0.007243082288</v>
          </cell>
        </row>
        <row r="134">
          <cell r="A134">
            <v>11356</v>
          </cell>
          <cell r="B134" t="str">
            <v>6装纸箱</v>
          </cell>
          <cell r="C134" t="str">
            <v>米奇</v>
          </cell>
        </row>
        <row r="134">
          <cell r="E134">
            <v>36.83</v>
          </cell>
          <cell r="F134">
            <v>29.21</v>
          </cell>
          <cell r="G134">
            <v>17.78</v>
          </cell>
        </row>
        <row r="134">
          <cell r="J134">
            <v>0.019127800454</v>
          </cell>
        </row>
        <row r="135">
          <cell r="A135" t="str">
            <v>12136(4)</v>
          </cell>
          <cell r="B135" t="str">
            <v>4个装纸箱</v>
          </cell>
        </row>
        <row r="135">
          <cell r="E135">
            <v>57.785</v>
          </cell>
          <cell r="F135">
            <v>27.94</v>
          </cell>
          <cell r="G135">
            <v>24.13</v>
          </cell>
        </row>
        <row r="135">
          <cell r="J135">
            <v>0.038958196277</v>
          </cell>
        </row>
        <row r="136">
          <cell r="A136" t="str">
            <v>12137(4)</v>
          </cell>
          <cell r="B136" t="str">
            <v>4个装纸箱</v>
          </cell>
        </row>
        <row r="136">
          <cell r="E136">
            <v>57.785</v>
          </cell>
          <cell r="F136">
            <v>27.94</v>
          </cell>
          <cell r="G136">
            <v>24.13</v>
          </cell>
        </row>
        <row r="136">
          <cell r="J136">
            <v>0.038958196277</v>
          </cell>
        </row>
        <row r="137">
          <cell r="A137" t="str">
            <v>14878(4)</v>
          </cell>
          <cell r="B137" t="str">
            <v>4个装纸箱</v>
          </cell>
        </row>
        <row r="137">
          <cell r="E137">
            <v>57.785</v>
          </cell>
          <cell r="F137">
            <v>27.94</v>
          </cell>
          <cell r="G137">
            <v>24.13</v>
          </cell>
        </row>
        <row r="137">
          <cell r="J137">
            <v>0.038958196277</v>
          </cell>
        </row>
        <row r="138">
          <cell r="A138">
            <v>11356</v>
          </cell>
          <cell r="B138" t="str">
            <v>6装纸箱</v>
          </cell>
          <cell r="C138" t="str">
            <v>米奇</v>
          </cell>
        </row>
        <row r="138">
          <cell r="E138">
            <v>36.83</v>
          </cell>
          <cell r="F138">
            <v>29.21</v>
          </cell>
          <cell r="G138">
            <v>17.78</v>
          </cell>
        </row>
        <row r="138">
          <cell r="J138">
            <v>0.019127800454</v>
          </cell>
        </row>
        <row r="139">
          <cell r="A139">
            <v>11357</v>
          </cell>
          <cell r="B139" t="str">
            <v>6装纸箱</v>
          </cell>
          <cell r="C139" t="str">
            <v>米妮</v>
          </cell>
        </row>
        <row r="139">
          <cell r="E139">
            <v>36.83</v>
          </cell>
          <cell r="F139">
            <v>29.21</v>
          </cell>
          <cell r="G139">
            <v>17.78</v>
          </cell>
        </row>
        <row r="139">
          <cell r="J139">
            <v>0.019127800454</v>
          </cell>
        </row>
        <row r="140">
          <cell r="A140">
            <v>11358</v>
          </cell>
          <cell r="B140" t="str">
            <v>6装纸箱</v>
          </cell>
          <cell r="C140" t="str">
            <v>史迪仔</v>
          </cell>
        </row>
        <row r="140">
          <cell r="E140">
            <v>36.83</v>
          </cell>
          <cell r="F140">
            <v>29.21</v>
          </cell>
          <cell r="G140">
            <v>17.78</v>
          </cell>
        </row>
        <row r="140">
          <cell r="J140">
            <v>0.019127800454</v>
          </cell>
        </row>
        <row r="141">
          <cell r="A141">
            <v>11359</v>
          </cell>
          <cell r="B141" t="str">
            <v>6装纸箱</v>
          </cell>
          <cell r="C141" t="str">
            <v>辛巴</v>
          </cell>
        </row>
        <row r="141">
          <cell r="E141">
            <v>36.83</v>
          </cell>
          <cell r="F141">
            <v>29.21</v>
          </cell>
          <cell r="G141">
            <v>17.78</v>
          </cell>
        </row>
        <row r="141">
          <cell r="J141">
            <v>0.019127800454</v>
          </cell>
        </row>
        <row r="142">
          <cell r="A142">
            <v>11361</v>
          </cell>
          <cell r="B142" t="str">
            <v>6装纸箱</v>
          </cell>
          <cell r="C142" t="str">
            <v>冥王狗</v>
          </cell>
        </row>
        <row r="142">
          <cell r="E142">
            <v>36.83</v>
          </cell>
          <cell r="F142">
            <v>29.21</v>
          </cell>
          <cell r="G142">
            <v>17.78</v>
          </cell>
        </row>
        <row r="142">
          <cell r="J142">
            <v>0.019127800454</v>
          </cell>
        </row>
        <row r="143">
          <cell r="A143">
            <v>11362</v>
          </cell>
          <cell r="B143" t="str">
            <v>6装纸箱</v>
          </cell>
          <cell r="C143" t="str">
            <v>小飞象</v>
          </cell>
        </row>
        <row r="143">
          <cell r="E143">
            <v>36.83</v>
          </cell>
          <cell r="F143">
            <v>29.21</v>
          </cell>
          <cell r="G143">
            <v>17.78</v>
          </cell>
        </row>
        <row r="143">
          <cell r="J143">
            <v>0.019127800454</v>
          </cell>
        </row>
        <row r="144">
          <cell r="A144">
            <v>11363</v>
          </cell>
          <cell r="B144" t="str">
            <v>6装纸箱</v>
          </cell>
          <cell r="C144" t="str">
            <v>维尼熊</v>
          </cell>
        </row>
        <row r="144">
          <cell r="E144">
            <v>36.83</v>
          </cell>
          <cell r="F144">
            <v>29.21</v>
          </cell>
          <cell r="G144">
            <v>17.78</v>
          </cell>
        </row>
        <row r="144">
          <cell r="J144">
            <v>0.019127800454</v>
          </cell>
        </row>
        <row r="145">
          <cell r="A145">
            <v>11364</v>
          </cell>
          <cell r="B145" t="str">
            <v>6装纸箱</v>
          </cell>
          <cell r="C145" t="str">
            <v>玛丽猫</v>
          </cell>
        </row>
        <row r="145">
          <cell r="E145">
            <v>36.83</v>
          </cell>
          <cell r="F145">
            <v>29.21</v>
          </cell>
          <cell r="G145">
            <v>17.78</v>
          </cell>
        </row>
        <row r="145">
          <cell r="J145">
            <v>0.019127800454</v>
          </cell>
        </row>
        <row r="146">
          <cell r="A146">
            <v>26870</v>
          </cell>
          <cell r="B146" t="str">
            <v>48个装纸箱</v>
          </cell>
          <cell r="C146" t="str">
            <v>搪胶小鸭</v>
          </cell>
        </row>
        <row r="146">
          <cell r="E146">
            <v>34.925</v>
          </cell>
          <cell r="F146">
            <v>22.225</v>
          </cell>
          <cell r="G146">
            <v>19.05</v>
          </cell>
        </row>
        <row r="146">
          <cell r="J146">
            <v>0.01478676478125</v>
          </cell>
        </row>
        <row r="147">
          <cell r="A147">
            <v>320752</v>
          </cell>
          <cell r="B147" t="str">
            <v>BATMAN BOOSTER SEAT WITH TABLE</v>
          </cell>
          <cell r="C147" t="str">
            <v>蝙蝠侠座椅和托盘系列</v>
          </cell>
          <cell r="D147">
            <v>1</v>
          </cell>
          <cell r="E147">
            <v>35.56</v>
          </cell>
          <cell r="F147">
            <v>22</v>
          </cell>
          <cell r="G147">
            <v>40</v>
          </cell>
        </row>
        <row r="147">
          <cell r="J147">
            <v>0.0312928</v>
          </cell>
        </row>
        <row r="148">
          <cell r="A148">
            <v>320753</v>
          </cell>
          <cell r="B148" t="str">
            <v>COCOMELON BOOSTER SEAT with TRAY</v>
          </cell>
          <cell r="C148" t="str">
            <v>JJ座椅和托盘系列</v>
          </cell>
          <cell r="D148">
            <v>1</v>
          </cell>
          <cell r="E148">
            <v>35.56</v>
          </cell>
          <cell r="F148">
            <v>22</v>
          </cell>
          <cell r="G148">
            <v>40</v>
          </cell>
        </row>
        <row r="148">
          <cell r="J148">
            <v>0.0312928</v>
          </cell>
        </row>
        <row r="149">
          <cell r="A149">
            <v>470631</v>
          </cell>
        </row>
        <row r="149">
          <cell r="C149" t="str">
            <v>圣代雪糕树</v>
          </cell>
          <cell r="D149">
            <v>8</v>
          </cell>
          <cell r="E149">
            <v>30.7</v>
          </cell>
          <cell r="F149">
            <v>26.3</v>
          </cell>
          <cell r="G149">
            <v>18.8</v>
          </cell>
        </row>
        <row r="149">
          <cell r="J149">
            <v>0.015179308</v>
          </cell>
        </row>
        <row r="150">
          <cell r="A150">
            <v>470632</v>
          </cell>
        </row>
        <row r="150">
          <cell r="C150" t="str">
            <v>草莓吊饰</v>
          </cell>
          <cell r="D150">
            <v>8</v>
          </cell>
          <cell r="E150">
            <v>30.7</v>
          </cell>
          <cell r="F150">
            <v>26.3</v>
          </cell>
          <cell r="G150">
            <v>18.8</v>
          </cell>
        </row>
        <row r="150">
          <cell r="J150">
            <v>0.015179308</v>
          </cell>
        </row>
        <row r="151">
          <cell r="A151">
            <v>470633</v>
          </cell>
        </row>
        <row r="151">
          <cell r="C151" t="str">
            <v>粉色爱心书本</v>
          </cell>
          <cell r="D151">
            <v>8</v>
          </cell>
          <cell r="E151">
            <v>25.7</v>
          </cell>
          <cell r="F151">
            <v>21.2</v>
          </cell>
          <cell r="G151">
            <v>19.8</v>
          </cell>
        </row>
        <row r="151">
          <cell r="J151">
            <v>0.010787832</v>
          </cell>
        </row>
        <row r="152">
          <cell r="A152">
            <v>470634</v>
          </cell>
        </row>
        <row r="152">
          <cell r="C152" t="str">
            <v>书本糖果盒</v>
          </cell>
          <cell r="D152">
            <v>8</v>
          </cell>
          <cell r="E152">
            <v>25.7</v>
          </cell>
          <cell r="F152">
            <v>21.2</v>
          </cell>
          <cell r="G152">
            <v>19.8</v>
          </cell>
        </row>
        <row r="152">
          <cell r="J152">
            <v>0.010787832</v>
          </cell>
        </row>
        <row r="153">
          <cell r="A153" t="str">
            <v>16390（12）</v>
          </cell>
          <cell r="B153" t="str">
            <v>12个装纸箱</v>
          </cell>
          <cell r="C153" t="str">
            <v>情人节系列</v>
          </cell>
          <cell r="D153">
            <v>12</v>
          </cell>
          <cell r="E153">
            <v>20.955</v>
          </cell>
          <cell r="F153">
            <v>17.51</v>
          </cell>
          <cell r="G153">
            <v>8.255</v>
          </cell>
        </row>
        <row r="153">
          <cell r="J153">
            <v>0.00302894152275</v>
          </cell>
        </row>
        <row r="154">
          <cell r="A154" t="str">
            <v>16390（54）</v>
          </cell>
          <cell r="B154" t="str">
            <v>54个装纸箱</v>
          </cell>
          <cell r="C154" t="str">
            <v>情人节系列</v>
          </cell>
          <cell r="D154">
            <v>54</v>
          </cell>
          <cell r="E154">
            <v>35.29</v>
          </cell>
          <cell r="F154">
            <v>20.685</v>
          </cell>
          <cell r="G154">
            <v>34.29</v>
          </cell>
        </row>
        <row r="154">
          <cell r="J154">
            <v>0.0250307964585</v>
          </cell>
        </row>
        <row r="155">
          <cell r="A155" t="str">
            <v>16390（18）</v>
          </cell>
          <cell r="B155" t="str">
            <v>18个装纸箱</v>
          </cell>
          <cell r="C155" t="str">
            <v>情人节系列</v>
          </cell>
          <cell r="D155">
            <v>18</v>
          </cell>
          <cell r="E155">
            <v>32.385</v>
          </cell>
          <cell r="F155">
            <v>18.78</v>
          </cell>
          <cell r="G155">
            <v>9.525</v>
          </cell>
        </row>
        <row r="155">
          <cell r="J155">
            <v>0.0057930126075</v>
          </cell>
        </row>
        <row r="156">
          <cell r="A156" t="str">
            <v>33465（24）</v>
          </cell>
          <cell r="B156" t="str">
            <v>24个装纸箱</v>
          </cell>
          <cell r="C156" t="str">
            <v>WM小搪胶鸭子系列</v>
          </cell>
          <cell r="D156">
            <v>24</v>
          </cell>
          <cell r="E156">
            <v>28.575</v>
          </cell>
          <cell r="F156">
            <v>19.05</v>
          </cell>
          <cell r="G156">
            <v>16.51</v>
          </cell>
        </row>
        <row r="156">
          <cell r="J156">
            <v>0.0089872804125</v>
          </cell>
        </row>
        <row r="157">
          <cell r="A157" t="str">
            <v>36015（12）</v>
          </cell>
          <cell r="B157" t="str">
            <v>12个装纸箱</v>
          </cell>
          <cell r="C157" t="str">
            <v>复活节小鸭</v>
          </cell>
          <cell r="D157">
            <v>12</v>
          </cell>
          <cell r="E157">
            <v>22.7</v>
          </cell>
          <cell r="F157">
            <v>18.6</v>
          </cell>
          <cell r="G157">
            <v>9.8</v>
          </cell>
        </row>
        <row r="157">
          <cell r="J157">
            <v>0.004137756</v>
          </cell>
        </row>
        <row r="158">
          <cell r="A158" t="str">
            <v>36015（18）</v>
          </cell>
          <cell r="B158" t="str">
            <v>18个装纸箱</v>
          </cell>
          <cell r="C158" t="str">
            <v>复活节小鸭</v>
          </cell>
          <cell r="D158">
            <v>18</v>
          </cell>
          <cell r="E158">
            <v>32.385</v>
          </cell>
          <cell r="F158">
            <v>18.78</v>
          </cell>
          <cell r="G158">
            <v>9.525</v>
          </cell>
        </row>
        <row r="158">
          <cell r="J158">
            <v>0.0057930126075</v>
          </cell>
        </row>
        <row r="159">
          <cell r="A159" t="str">
            <v>36015（36）</v>
          </cell>
          <cell r="B159" t="str">
            <v>36个装纸箱</v>
          </cell>
          <cell r="C159" t="str">
            <v>复活节小鸭</v>
          </cell>
          <cell r="D159">
            <v>36</v>
          </cell>
          <cell r="E159">
            <v>22.225</v>
          </cell>
          <cell r="F159">
            <v>18.78</v>
          </cell>
          <cell r="G159">
            <v>26.035</v>
          </cell>
        </row>
        <row r="159">
          <cell r="J159">
            <v>0.0108666314925</v>
          </cell>
        </row>
        <row r="160">
          <cell r="A160" t="str">
            <v>36015（54）</v>
          </cell>
          <cell r="B160" t="str">
            <v>54个装纸箱</v>
          </cell>
          <cell r="C160" t="str">
            <v>复活节小鸭</v>
          </cell>
          <cell r="D160">
            <v>54</v>
          </cell>
          <cell r="E160">
            <v>34.29</v>
          </cell>
          <cell r="F160">
            <v>20.685</v>
          </cell>
          <cell r="G160">
            <v>34.29</v>
          </cell>
        </row>
        <row r="160">
          <cell r="J160">
            <v>0.0243215078085</v>
          </cell>
        </row>
        <row r="161">
          <cell r="A161" t="str">
            <v>470662（14）</v>
          </cell>
          <cell r="B161" t="str">
            <v>17个装纸箱</v>
          </cell>
        </row>
        <row r="161">
          <cell r="D161">
            <v>14</v>
          </cell>
          <cell r="E161">
            <v>46.99</v>
          </cell>
          <cell r="F161">
            <v>33.385</v>
          </cell>
          <cell r="G161">
            <v>31.75</v>
          </cell>
        </row>
        <row r="161">
          <cell r="J161">
            <v>0.0498081665125</v>
          </cell>
        </row>
        <row r="162">
          <cell r="A162">
            <v>320770</v>
          </cell>
          <cell r="B162" t="str">
            <v>3个装纸箱</v>
          </cell>
          <cell r="C162" t="str">
            <v>320405、406、407混装</v>
          </cell>
          <cell r="D162">
            <v>3</v>
          </cell>
          <cell r="E162">
            <v>31.5</v>
          </cell>
          <cell r="F162">
            <v>27</v>
          </cell>
          <cell r="G162">
            <v>20</v>
          </cell>
          <cell r="H162">
            <v>1.5</v>
          </cell>
          <cell r="I162">
            <v>1.83</v>
          </cell>
          <cell r="J162">
            <v>0.01701</v>
          </cell>
        </row>
        <row r="163">
          <cell r="A163" t="str">
            <v>470615（4）</v>
          </cell>
          <cell r="B163" t="str">
            <v>纸箱（4个装）</v>
          </cell>
        </row>
        <row r="163">
          <cell r="E163">
            <v>33</v>
          </cell>
          <cell r="F163">
            <v>17.2</v>
          </cell>
          <cell r="G163">
            <v>28</v>
          </cell>
        </row>
        <row r="163">
          <cell r="J163">
            <v>0.0158928</v>
          </cell>
        </row>
        <row r="164">
          <cell r="A164">
            <v>320913</v>
          </cell>
        </row>
        <row r="164">
          <cell r="C164" t="str">
            <v>卡车</v>
          </cell>
        </row>
        <row r="165">
          <cell r="A165">
            <v>320920</v>
          </cell>
        </row>
        <row r="165">
          <cell r="C165" t="str">
            <v>学校</v>
          </cell>
        </row>
        <row r="166">
          <cell r="A166" t="str">
            <v>17185(36)</v>
          </cell>
          <cell r="B166" t="str">
            <v>36个装纸箱</v>
          </cell>
          <cell r="C166" t="str">
            <v>复活节小鸭</v>
          </cell>
          <cell r="D166">
            <v>36</v>
          </cell>
          <cell r="E166">
            <v>22.225</v>
          </cell>
          <cell r="F166">
            <v>18.78</v>
          </cell>
          <cell r="G166">
            <v>26.035</v>
          </cell>
        </row>
        <row r="166">
          <cell r="J166">
            <v>0.0108666314925</v>
          </cell>
        </row>
        <row r="167">
          <cell r="A167" t="str">
            <v>320409-X</v>
          </cell>
          <cell r="B167" t="str">
            <v>HONEY BEE ACRES SUNFLOWER COUNTRY COTTAGE with Adult Figure </v>
          </cell>
          <cell r="C167" t="str">
            <v>向日葵家</v>
          </cell>
          <cell r="D167">
            <v>2</v>
          </cell>
          <cell r="E167">
            <v>40.259</v>
          </cell>
          <cell r="F167">
            <v>26.543</v>
          </cell>
          <cell r="G167">
            <v>26.035</v>
          </cell>
          <cell r="H167">
            <v>2.34</v>
          </cell>
          <cell r="I167">
            <v>3</v>
          </cell>
          <cell r="J167">
            <v>0.027820861374295</v>
          </cell>
        </row>
        <row r="168">
          <cell r="A168" t="str">
            <v>46113(1)</v>
          </cell>
          <cell r="B168" t="str">
            <v>1个装纸箱</v>
          </cell>
        </row>
        <row r="168">
          <cell r="D168">
            <v>1</v>
          </cell>
          <cell r="E168">
            <v>36</v>
          </cell>
          <cell r="F168">
            <v>24.3</v>
          </cell>
          <cell r="G168">
            <v>44</v>
          </cell>
        </row>
        <row r="168">
          <cell r="J168">
            <v>0.0384912</v>
          </cell>
        </row>
        <row r="169">
          <cell r="A169">
            <v>92568</v>
          </cell>
        </row>
        <row r="169">
          <cell r="D169">
            <v>60</v>
          </cell>
          <cell r="E169">
            <v>70.485</v>
          </cell>
          <cell r="F169">
            <v>47.355</v>
          </cell>
          <cell r="G169">
            <v>42.545</v>
          </cell>
        </row>
        <row r="169">
          <cell r="J169">
            <v>0.142007431710375</v>
          </cell>
        </row>
        <row r="170">
          <cell r="A170">
            <v>92569</v>
          </cell>
        </row>
        <row r="170">
          <cell r="D170">
            <v>60</v>
          </cell>
          <cell r="E170">
            <v>70.485</v>
          </cell>
          <cell r="F170">
            <v>47.355</v>
          </cell>
          <cell r="G170">
            <v>42.545</v>
          </cell>
        </row>
        <row r="170">
          <cell r="J170">
            <v>0.142007431710375</v>
          </cell>
        </row>
        <row r="171">
          <cell r="A171" t="str">
            <v>26850（18）</v>
          </cell>
          <cell r="B171" t="str">
            <v>18个装纸箱</v>
          </cell>
          <cell r="C171" t="str">
            <v>假日小鸭</v>
          </cell>
          <cell r="D171">
            <v>18</v>
          </cell>
          <cell r="E171">
            <v>32.385</v>
          </cell>
          <cell r="F171">
            <v>18.78</v>
          </cell>
          <cell r="G171">
            <v>9.525</v>
          </cell>
        </row>
        <row r="171">
          <cell r="J171">
            <v>0.0057930126075</v>
          </cell>
        </row>
        <row r="172">
          <cell r="A172" t="str">
            <v>26870（48）</v>
          </cell>
          <cell r="B172" t="str">
            <v>48个装纸箱</v>
          </cell>
          <cell r="C172" t="str">
            <v>恐怖小鸭</v>
          </cell>
          <cell r="D172">
            <v>48</v>
          </cell>
          <cell r="E172">
            <v>34.925</v>
          </cell>
          <cell r="F172">
            <v>22.225</v>
          </cell>
          <cell r="G172">
            <v>19.05</v>
          </cell>
        </row>
        <row r="172">
          <cell r="J172">
            <v>0.01478676478125</v>
          </cell>
        </row>
        <row r="173">
          <cell r="A173" t="str">
            <v>26850（48）</v>
          </cell>
          <cell r="B173" t="str">
            <v>48个装纸箱</v>
          </cell>
          <cell r="C173" t="str">
            <v>假日小鸭</v>
          </cell>
          <cell r="D173">
            <v>48</v>
          </cell>
          <cell r="E173">
            <v>34.925</v>
          </cell>
          <cell r="F173">
            <v>22.225</v>
          </cell>
          <cell r="G173">
            <v>19.05</v>
          </cell>
        </row>
        <row r="173">
          <cell r="J173">
            <v>0.01478676478125</v>
          </cell>
        </row>
        <row r="174">
          <cell r="A174" t="str">
            <v>46113(2)</v>
          </cell>
          <cell r="B174" t="str">
            <v>1个装纸箱</v>
          </cell>
          <cell r="C174" t="str">
            <v>史迪仔</v>
          </cell>
          <cell r="D174">
            <v>2</v>
          </cell>
          <cell r="E174">
            <v>45.72</v>
          </cell>
          <cell r="F174">
            <v>36.56</v>
          </cell>
          <cell r="G174">
            <v>41.91</v>
          </cell>
        </row>
        <row r="174">
          <cell r="J174">
            <v>0.070053537312</v>
          </cell>
        </row>
        <row r="175">
          <cell r="A175">
            <v>470805</v>
          </cell>
          <cell r="B175" t="str">
            <v>12个装纸箱</v>
          </cell>
          <cell r="C175" t="str">
            <v>硅胶鹿</v>
          </cell>
          <cell r="D175">
            <v>12</v>
          </cell>
          <cell r="E175">
            <v>20.32</v>
          </cell>
          <cell r="F175">
            <v>13.7</v>
          </cell>
          <cell r="G175">
            <v>11.684</v>
          </cell>
        </row>
        <row r="175">
          <cell r="J175">
            <v>0.003252638656</v>
          </cell>
        </row>
        <row r="176">
          <cell r="A176" t="str">
            <v>33438（72）</v>
          </cell>
          <cell r="B176" t="str">
            <v>74个装纸箱</v>
          </cell>
          <cell r="C176" t="str">
            <v>眼镜鸭子</v>
          </cell>
          <cell r="D176">
            <v>72</v>
          </cell>
          <cell r="E176">
            <v>24.765</v>
          </cell>
          <cell r="F176">
            <v>25.765</v>
          </cell>
          <cell r="G176">
            <v>30.48</v>
          </cell>
        </row>
        <row r="176">
          <cell r="J176">
            <v>0.019448380458</v>
          </cell>
        </row>
        <row r="177">
          <cell r="A177" t="str">
            <v>11839（8）</v>
          </cell>
          <cell r="B177" t="str">
            <v>8个装纸箱</v>
          </cell>
          <cell r="C177" t="str">
            <v>磁铁肩膀史迪仔</v>
          </cell>
          <cell r="D177">
            <v>8</v>
          </cell>
          <cell r="E177">
            <v>30.48</v>
          </cell>
          <cell r="F177">
            <v>27.67</v>
          </cell>
          <cell r="G177">
            <v>15.24</v>
          </cell>
        </row>
        <row r="177">
          <cell r="J177">
            <v>0.012853135584</v>
          </cell>
        </row>
        <row r="178">
          <cell r="A178" t="str">
            <v>26870（36）</v>
          </cell>
          <cell r="B178" t="str">
            <v>36个装纸箱</v>
          </cell>
          <cell r="C178" t="str">
            <v>假日小鸭</v>
          </cell>
          <cell r="D178">
            <v>36</v>
          </cell>
          <cell r="E178">
            <v>22.225</v>
          </cell>
          <cell r="F178">
            <v>18.78</v>
          </cell>
          <cell r="G178">
            <v>26.035</v>
          </cell>
        </row>
        <row r="178">
          <cell r="J178">
            <v>0.0108666314925</v>
          </cell>
        </row>
        <row r="179">
          <cell r="A179">
            <v>470764</v>
          </cell>
          <cell r="B179" t="str">
            <v>1个装纸箱</v>
          </cell>
          <cell r="C179" t="str">
            <v>大型自卸车</v>
          </cell>
          <cell r="D179">
            <v>1</v>
          </cell>
          <cell r="E179">
            <v>42</v>
          </cell>
          <cell r="F179">
            <v>22</v>
          </cell>
          <cell r="G179">
            <v>29</v>
          </cell>
        </row>
        <row r="179">
          <cell r="J179">
            <v>0.026796</v>
          </cell>
        </row>
        <row r="180">
          <cell r="A180">
            <v>470813</v>
          </cell>
          <cell r="B180" t="str">
            <v>纸箱（4个装）</v>
          </cell>
        </row>
        <row r="180">
          <cell r="E180">
            <v>33</v>
          </cell>
          <cell r="F180">
            <v>17.2</v>
          </cell>
          <cell r="G180">
            <v>28</v>
          </cell>
        </row>
        <row r="180">
          <cell r="J180">
            <v>0.0158928</v>
          </cell>
        </row>
        <row r="181">
          <cell r="A181">
            <v>470814</v>
          </cell>
          <cell r="B181" t="str">
            <v>纸箱（4个装）</v>
          </cell>
        </row>
        <row r="181">
          <cell r="E181">
            <v>33</v>
          </cell>
          <cell r="F181">
            <v>17.2</v>
          </cell>
          <cell r="G181">
            <v>28</v>
          </cell>
        </row>
        <row r="181">
          <cell r="J181">
            <v>0.0158928</v>
          </cell>
        </row>
        <row r="182">
          <cell r="A182">
            <v>470725</v>
          </cell>
          <cell r="B182" t="str">
            <v>独角兽家族</v>
          </cell>
          <cell r="C182" t="str">
            <v>独角兽家族</v>
          </cell>
          <cell r="D182">
            <v>4</v>
          </cell>
          <cell r="E182">
            <v>25.5</v>
          </cell>
          <cell r="F182">
            <v>21</v>
          </cell>
          <cell r="G182">
            <v>20</v>
          </cell>
          <cell r="H182">
            <v>0.5</v>
          </cell>
          <cell r="I182">
            <v>0.7</v>
          </cell>
          <cell r="J182">
            <v>0.01071</v>
          </cell>
        </row>
        <row r="183">
          <cell r="A183" t="str">
            <v>33475（18）</v>
          </cell>
          <cell r="B183" t="str">
            <v>纸箱（18个装）</v>
          </cell>
          <cell r="C183" t="str">
            <v>鸭子</v>
          </cell>
          <cell r="D183">
            <v>18</v>
          </cell>
          <cell r="E183">
            <v>32.385</v>
          </cell>
          <cell r="F183">
            <v>18.78</v>
          </cell>
          <cell r="G183">
            <v>9.525</v>
          </cell>
        </row>
        <row r="183">
          <cell r="J183">
            <v>0.0057930126075</v>
          </cell>
        </row>
        <row r="184">
          <cell r="A184" t="str">
            <v>33395（36）</v>
          </cell>
          <cell r="B184" t="str">
            <v>纸箱（36个装）</v>
          </cell>
          <cell r="C184" t="str">
            <v>鸭子</v>
          </cell>
          <cell r="D184">
            <v>36</v>
          </cell>
          <cell r="E184">
            <v>22.225</v>
          </cell>
          <cell r="F184">
            <v>18.78</v>
          </cell>
          <cell r="G184">
            <v>26.035</v>
          </cell>
        </row>
        <row r="184">
          <cell r="J184">
            <v>0.0108666314925</v>
          </cell>
        </row>
        <row r="185">
          <cell r="A185" t="str">
            <v>26870（18）</v>
          </cell>
          <cell r="B185" t="str">
            <v>纸箱（18个装）</v>
          </cell>
          <cell r="C185" t="str">
            <v>鸭子</v>
          </cell>
          <cell r="D185">
            <v>18</v>
          </cell>
          <cell r="E185">
            <v>32.385</v>
          </cell>
          <cell r="F185">
            <v>18.78</v>
          </cell>
          <cell r="G185">
            <v>9.525</v>
          </cell>
        </row>
        <row r="185">
          <cell r="J185">
            <v>0.0057930126075</v>
          </cell>
        </row>
        <row r="186">
          <cell r="A186">
            <v>470534</v>
          </cell>
          <cell r="B186" t="str">
            <v>纸箱（3个装）</v>
          </cell>
          <cell r="C186" t="str">
            <v>搪胶公仔白种人</v>
          </cell>
          <cell r="D186">
            <v>3</v>
          </cell>
          <cell r="E186">
            <v>40.64</v>
          </cell>
          <cell r="F186">
            <v>21.701</v>
          </cell>
          <cell r="G186">
            <v>33.401</v>
          </cell>
        </row>
        <row r="186">
          <cell r="J186">
            <v>0.02945729850464</v>
          </cell>
        </row>
        <row r="187">
          <cell r="A187">
            <v>470535</v>
          </cell>
          <cell r="B187" t="str">
            <v>纸箱（3个装）</v>
          </cell>
          <cell r="C187" t="str">
            <v>搪胶公仔亚洲人</v>
          </cell>
          <cell r="D187">
            <v>3</v>
          </cell>
          <cell r="E187">
            <v>40.64</v>
          </cell>
          <cell r="F187">
            <v>21.701</v>
          </cell>
          <cell r="G187">
            <v>33.401</v>
          </cell>
        </row>
        <row r="187">
          <cell r="J187">
            <v>0.02945729850464</v>
          </cell>
        </row>
        <row r="188">
          <cell r="A188">
            <v>470536</v>
          </cell>
          <cell r="B188" t="str">
            <v>纸箱（3个装）</v>
          </cell>
          <cell r="C188" t="str">
            <v>搪胶公仔西班牙人</v>
          </cell>
          <cell r="D188">
            <v>3</v>
          </cell>
          <cell r="E188">
            <v>40.64</v>
          </cell>
          <cell r="F188">
            <v>21.701</v>
          </cell>
          <cell r="G188">
            <v>33.401</v>
          </cell>
        </row>
        <row r="188">
          <cell r="J188">
            <v>0.02945729850464</v>
          </cell>
        </row>
        <row r="189">
          <cell r="A189">
            <v>470537</v>
          </cell>
          <cell r="B189" t="str">
            <v>纸箱（3个装）</v>
          </cell>
          <cell r="C189" t="str">
            <v>搪胶公仔非洲人</v>
          </cell>
          <cell r="D189">
            <v>3</v>
          </cell>
          <cell r="E189">
            <v>40.64</v>
          </cell>
          <cell r="F189">
            <v>21.701</v>
          </cell>
          <cell r="G189">
            <v>33.401</v>
          </cell>
        </row>
        <row r="189">
          <cell r="J189">
            <v>0.02945729850464</v>
          </cell>
        </row>
        <row r="190">
          <cell r="A190" t="str">
            <v>33490（18）</v>
          </cell>
          <cell r="B190" t="str">
            <v>纸箱（18个装）</v>
          </cell>
          <cell r="C190" t="str">
            <v>鸭子</v>
          </cell>
          <cell r="D190">
            <v>18</v>
          </cell>
          <cell r="E190">
            <v>32.385</v>
          </cell>
          <cell r="F190">
            <v>18.78</v>
          </cell>
          <cell r="G190">
            <v>9.525</v>
          </cell>
        </row>
        <row r="190">
          <cell r="J190">
            <v>0.0057930126075</v>
          </cell>
        </row>
        <row r="191">
          <cell r="A191" t="str">
            <v>33465（12）</v>
          </cell>
          <cell r="B191" t="str">
            <v>纸箱（12个装）</v>
          </cell>
          <cell r="C191" t="str">
            <v>鸭子</v>
          </cell>
          <cell r="D191">
            <v>12</v>
          </cell>
          <cell r="E191">
            <v>20.955</v>
          </cell>
          <cell r="F191">
            <v>17.51</v>
          </cell>
          <cell r="G191">
            <v>8.255</v>
          </cell>
        </row>
        <row r="191">
          <cell r="J191">
            <v>0.00302894152275</v>
          </cell>
        </row>
        <row r="192">
          <cell r="A192">
            <v>470528</v>
          </cell>
          <cell r="B192" t="str">
            <v>纸箱（3个装）</v>
          </cell>
          <cell r="C192" t="str">
            <v>冰淇淋系列</v>
          </cell>
          <cell r="D192">
            <v>3</v>
          </cell>
          <cell r="E192">
            <v>32.7</v>
          </cell>
          <cell r="F192">
            <v>31.75</v>
          </cell>
          <cell r="G192">
            <v>33.35</v>
          </cell>
        </row>
        <row r="192">
          <cell r="J192">
            <v>0.03462480375</v>
          </cell>
        </row>
        <row r="193">
          <cell r="A193">
            <v>470688</v>
          </cell>
          <cell r="B193" t="str">
            <v>纸箱（3个装）</v>
          </cell>
          <cell r="C193" t="str">
            <v>生日蛋糕系列</v>
          </cell>
          <cell r="D193">
            <v>3</v>
          </cell>
          <cell r="E193">
            <v>31.43</v>
          </cell>
          <cell r="F193">
            <v>29.85</v>
          </cell>
          <cell r="G193">
            <v>33.35</v>
          </cell>
        </row>
        <row r="193">
          <cell r="J193">
            <v>0.031288486425</v>
          </cell>
        </row>
        <row r="194">
          <cell r="A194">
            <v>470689</v>
          </cell>
          <cell r="B194" t="str">
            <v>纸箱（3个装）</v>
          </cell>
          <cell r="C194" t="str">
            <v>甜品糕系列</v>
          </cell>
          <cell r="D194">
            <v>3</v>
          </cell>
          <cell r="E194">
            <v>31.43</v>
          </cell>
          <cell r="F194">
            <v>29.85</v>
          </cell>
          <cell r="G194">
            <v>33.35</v>
          </cell>
        </row>
        <row r="194">
          <cell r="J194">
            <v>0.031288486425</v>
          </cell>
        </row>
        <row r="195">
          <cell r="A195" t="str">
            <v>11369（1）</v>
          </cell>
          <cell r="B195" t="str">
            <v>纸箱（1个装）</v>
          </cell>
          <cell r="C195" t="str">
            <v>投影米奇</v>
          </cell>
          <cell r="D195">
            <v>1</v>
          </cell>
          <cell r="E195">
            <v>26.67</v>
          </cell>
          <cell r="F195">
            <v>18.78</v>
          </cell>
          <cell r="G195">
            <v>32.385</v>
          </cell>
        </row>
        <row r="195">
          <cell r="J195">
            <v>0.016220435301</v>
          </cell>
        </row>
        <row r="196">
          <cell r="A196" t="str">
            <v>33454(48)</v>
          </cell>
          <cell r="B196" t="str">
            <v>纸箱（48个装）</v>
          </cell>
          <cell r="C196" t="str">
            <v>鸭子</v>
          </cell>
          <cell r="D196">
            <v>48</v>
          </cell>
          <cell r="E196">
            <v>37.15</v>
          </cell>
          <cell r="F196">
            <v>33</v>
          </cell>
          <cell r="G196">
            <v>33.34</v>
          </cell>
        </row>
        <row r="196">
          <cell r="J196">
            <v>0.040873173</v>
          </cell>
        </row>
        <row r="197">
          <cell r="A197">
            <v>470529</v>
          </cell>
          <cell r="B197" t="str">
            <v>纸箱（3个装）</v>
          </cell>
          <cell r="C197" t="str">
            <v>搅拌机系列</v>
          </cell>
          <cell r="D197">
            <v>3</v>
          </cell>
          <cell r="E197">
            <v>41.59</v>
          </cell>
          <cell r="F197">
            <v>33</v>
          </cell>
          <cell r="G197">
            <v>33.35</v>
          </cell>
        </row>
        <row r="197">
          <cell r="J197">
            <v>0.0457718745</v>
          </cell>
        </row>
        <row r="198">
          <cell r="A198">
            <v>470690</v>
          </cell>
          <cell r="B198" t="str">
            <v>纸箱（3个装）</v>
          </cell>
          <cell r="C198" t="str">
            <v>电磁炉系列</v>
          </cell>
          <cell r="D198">
            <v>3</v>
          </cell>
          <cell r="E198">
            <v>41.59</v>
          </cell>
          <cell r="F198">
            <v>28.5</v>
          </cell>
          <cell r="G198">
            <v>33.35</v>
          </cell>
        </row>
        <row r="198">
          <cell r="J198">
            <v>0.03953025525</v>
          </cell>
        </row>
        <row r="199">
          <cell r="A199">
            <v>470691</v>
          </cell>
          <cell r="B199" t="str">
            <v>纸箱（3个装）</v>
          </cell>
          <cell r="C199" t="str">
            <v>华夫饼系列</v>
          </cell>
          <cell r="D199">
            <v>3</v>
          </cell>
          <cell r="E199">
            <v>41.59</v>
          </cell>
          <cell r="F199">
            <v>24.77</v>
          </cell>
          <cell r="G199">
            <v>33.35</v>
          </cell>
        </row>
        <row r="199">
          <cell r="J199">
            <v>0.034356646405</v>
          </cell>
        </row>
        <row r="200">
          <cell r="A200">
            <v>470692</v>
          </cell>
          <cell r="B200" t="str">
            <v>纸箱（3个装）</v>
          </cell>
          <cell r="C200" t="str">
            <v>酸奶系列</v>
          </cell>
          <cell r="D200">
            <v>3</v>
          </cell>
          <cell r="E200">
            <v>31.43</v>
          </cell>
          <cell r="F200">
            <v>26.9</v>
          </cell>
          <cell r="G200">
            <v>33.35</v>
          </cell>
        </row>
        <row r="200">
          <cell r="J200">
            <v>0.02819632445</v>
          </cell>
        </row>
        <row r="201">
          <cell r="A201" t="str">
            <v>33487（96）</v>
          </cell>
          <cell r="B201" t="str">
            <v>纸箱（96个装）</v>
          </cell>
          <cell r="C201" t="str">
            <v>盲盒小鸭</v>
          </cell>
          <cell r="D201">
            <v>96</v>
          </cell>
          <cell r="E201">
            <v>54.95</v>
          </cell>
          <cell r="F201">
            <v>34.95</v>
          </cell>
          <cell r="G201">
            <v>42.9</v>
          </cell>
        </row>
        <row r="201">
          <cell r="J201">
            <v>0.08238955725</v>
          </cell>
        </row>
        <row r="202">
          <cell r="A202" t="str">
            <v>棉</v>
          </cell>
        </row>
        <row r="202">
          <cell r="E202">
            <v>120</v>
          </cell>
          <cell r="F202">
            <v>110</v>
          </cell>
          <cell r="G202">
            <v>75</v>
          </cell>
        </row>
        <row r="202">
          <cell r="J202">
            <v>0.99</v>
          </cell>
        </row>
        <row r="203">
          <cell r="A203" t="str">
            <v>33369(96）</v>
          </cell>
          <cell r="B203" t="str">
            <v>纸箱（96个装）</v>
          </cell>
          <cell r="C203" t="str">
            <v>迷你搪胶小鸭</v>
          </cell>
          <cell r="D203">
            <v>96</v>
          </cell>
          <cell r="E203">
            <v>39.7</v>
          </cell>
          <cell r="F203">
            <v>22.9</v>
          </cell>
          <cell r="G203">
            <v>30.8</v>
          </cell>
        </row>
        <row r="203">
          <cell r="J203">
            <v>0.028001204</v>
          </cell>
        </row>
        <row r="204">
          <cell r="A204">
            <v>46092</v>
          </cell>
          <cell r="B204" t="str">
            <v>纸箱（10个装）</v>
          </cell>
          <cell r="C204" t="str">
            <v>玩具总动员系列</v>
          </cell>
          <cell r="D204">
            <v>10</v>
          </cell>
          <cell r="E204">
            <v>40.01</v>
          </cell>
          <cell r="F204">
            <v>26.67</v>
          </cell>
          <cell r="G204">
            <v>20.96</v>
          </cell>
        </row>
        <row r="204">
          <cell r="J204">
            <v>0.022365718032</v>
          </cell>
        </row>
        <row r="205">
          <cell r="A205">
            <v>46134</v>
          </cell>
          <cell r="B205" t="str">
            <v>纸箱（10个装）</v>
          </cell>
          <cell r="C205" t="str">
            <v>海洋奇缘系列</v>
          </cell>
          <cell r="D205">
            <v>10</v>
          </cell>
          <cell r="E205">
            <v>40.01</v>
          </cell>
          <cell r="F205">
            <v>26.67</v>
          </cell>
          <cell r="G205">
            <v>20.96</v>
          </cell>
        </row>
        <row r="205">
          <cell r="J205">
            <v>0.022365718032</v>
          </cell>
        </row>
        <row r="206">
          <cell r="A206">
            <v>46132</v>
          </cell>
          <cell r="B206" t="str">
            <v>纸箱（10个装）</v>
          </cell>
          <cell r="C206" t="str">
            <v>赛车总动员系列</v>
          </cell>
          <cell r="D206">
            <v>10</v>
          </cell>
          <cell r="E206">
            <v>40.01</v>
          </cell>
          <cell r="F206">
            <v>26.67</v>
          </cell>
          <cell r="G206">
            <v>20.96</v>
          </cell>
        </row>
        <row r="206">
          <cell r="J206">
            <v>0.022365718032</v>
          </cell>
        </row>
        <row r="207">
          <cell r="A207">
            <v>470745</v>
          </cell>
        </row>
        <row r="207">
          <cell r="D207">
            <v>3</v>
          </cell>
          <cell r="E207">
            <v>32.7</v>
          </cell>
          <cell r="F207">
            <v>31.75</v>
          </cell>
          <cell r="G207">
            <v>33.35</v>
          </cell>
        </row>
        <row r="207">
          <cell r="J207">
            <v>0.03462480375</v>
          </cell>
        </row>
        <row r="208">
          <cell r="A208">
            <v>470746</v>
          </cell>
        </row>
        <row r="208">
          <cell r="D208">
            <v>3</v>
          </cell>
          <cell r="E208">
            <v>41.59</v>
          </cell>
          <cell r="F208">
            <v>33</v>
          </cell>
          <cell r="G208">
            <v>33.35</v>
          </cell>
        </row>
        <row r="208">
          <cell r="J208">
            <v>0.0457718745</v>
          </cell>
        </row>
        <row r="209">
          <cell r="A209">
            <v>470748</v>
          </cell>
        </row>
        <row r="209">
          <cell r="D209">
            <v>3</v>
          </cell>
          <cell r="E209">
            <v>31.43</v>
          </cell>
          <cell r="F209">
            <v>29.85</v>
          </cell>
          <cell r="G209">
            <v>33.35</v>
          </cell>
        </row>
        <row r="209">
          <cell r="J209">
            <v>0.031288486425</v>
          </cell>
        </row>
        <row r="210">
          <cell r="A210">
            <v>470749</v>
          </cell>
        </row>
        <row r="210">
          <cell r="D210">
            <v>3</v>
          </cell>
          <cell r="E210">
            <v>31.43</v>
          </cell>
          <cell r="F210">
            <v>29.85</v>
          </cell>
          <cell r="G210">
            <v>33.35</v>
          </cell>
        </row>
        <row r="210">
          <cell r="J210">
            <v>0.031288486425</v>
          </cell>
        </row>
        <row r="211">
          <cell r="A211">
            <v>470751</v>
          </cell>
        </row>
        <row r="211">
          <cell r="D211">
            <v>3</v>
          </cell>
          <cell r="E211">
            <v>41.59</v>
          </cell>
          <cell r="F211">
            <v>24.77</v>
          </cell>
          <cell r="G211">
            <v>33.35</v>
          </cell>
        </row>
        <row r="211">
          <cell r="J211">
            <v>0.034356646405</v>
          </cell>
        </row>
        <row r="212">
          <cell r="A212">
            <v>470752</v>
          </cell>
        </row>
        <row r="212">
          <cell r="D212">
            <v>3</v>
          </cell>
          <cell r="E212">
            <v>31.43</v>
          </cell>
          <cell r="F212">
            <v>26.9</v>
          </cell>
          <cell r="G212">
            <v>33.35</v>
          </cell>
        </row>
        <row r="212">
          <cell r="J212">
            <v>0.02819632445</v>
          </cell>
        </row>
        <row r="213">
          <cell r="A213">
            <v>470753</v>
          </cell>
        </row>
        <row r="213">
          <cell r="D213">
            <v>3</v>
          </cell>
          <cell r="E213">
            <v>31.43</v>
          </cell>
          <cell r="F213">
            <v>22.86</v>
          </cell>
          <cell r="G213">
            <v>33.34</v>
          </cell>
        </row>
        <row r="213">
          <cell r="J213">
            <v>0.023954449932</v>
          </cell>
        </row>
        <row r="214">
          <cell r="A214">
            <v>470724</v>
          </cell>
        </row>
        <row r="214">
          <cell r="D214">
            <v>2</v>
          </cell>
          <cell r="E214">
            <v>62.55</v>
          </cell>
          <cell r="F214">
            <v>21.59</v>
          </cell>
          <cell r="G214">
            <v>41.59</v>
          </cell>
        </row>
        <row r="214">
          <cell r="J214">
            <v>0.056165402655</v>
          </cell>
        </row>
        <row r="215">
          <cell r="A215">
            <v>320628</v>
          </cell>
        </row>
        <row r="215">
          <cell r="C215" t="str">
            <v>生日趴对</v>
          </cell>
          <cell r="D215">
            <v>4</v>
          </cell>
          <cell r="E215">
            <v>25.75</v>
          </cell>
          <cell r="F215">
            <v>17.78</v>
          </cell>
          <cell r="G215">
            <v>20.64</v>
          </cell>
        </row>
        <row r="215">
          <cell r="J215">
            <v>0.0094497144</v>
          </cell>
        </row>
        <row r="216">
          <cell r="A216" t="str">
            <v>33475（36）</v>
          </cell>
        </row>
        <row r="216">
          <cell r="C216" t="str">
            <v>搪胶小鸭</v>
          </cell>
          <cell r="D216">
            <v>36</v>
          </cell>
          <cell r="E216">
            <v>31.75</v>
          </cell>
          <cell r="F216">
            <v>18.41</v>
          </cell>
          <cell r="G216">
            <v>20.32</v>
          </cell>
        </row>
        <row r="216">
          <cell r="J216">
            <v>0.0118773956</v>
          </cell>
        </row>
        <row r="217">
          <cell r="A217" t="str">
            <v>11369（4）</v>
          </cell>
          <cell r="B217" t="str">
            <v>纸箱（4个装）</v>
          </cell>
          <cell r="C217" t="str">
            <v>投影米奇</v>
          </cell>
          <cell r="D217">
            <v>4</v>
          </cell>
          <cell r="E217">
            <v>64.135</v>
          </cell>
          <cell r="F217">
            <v>36.83</v>
          </cell>
          <cell r="G217">
            <v>42.545</v>
          </cell>
        </row>
        <row r="217">
          <cell r="J217">
            <v>0.10049520626725</v>
          </cell>
        </row>
        <row r="218">
          <cell r="A218" t="str">
            <v>58725(12)</v>
          </cell>
        </row>
        <row r="218">
          <cell r="D218">
            <v>12</v>
          </cell>
          <cell r="E218">
            <v>22.54</v>
          </cell>
          <cell r="F218">
            <v>18.42</v>
          </cell>
          <cell r="G218">
            <v>11.11</v>
          </cell>
        </row>
        <row r="218">
          <cell r="J218">
            <v>0.004612725348</v>
          </cell>
        </row>
        <row r="219">
          <cell r="A219" t="str">
            <v>88188（2）</v>
          </cell>
        </row>
        <row r="219">
          <cell r="C219" t="str">
            <v>背包狗</v>
          </cell>
          <cell r="D219">
            <v>2</v>
          </cell>
          <cell r="E219">
            <v>37.15</v>
          </cell>
          <cell r="F219">
            <v>27.77</v>
          </cell>
          <cell r="G219">
            <v>35.88</v>
          </cell>
        </row>
        <row r="219">
          <cell r="J219">
            <v>0.03701579934</v>
          </cell>
        </row>
        <row r="220">
          <cell r="A220" t="str">
            <v>58725(36)</v>
          </cell>
        </row>
        <row r="220">
          <cell r="D220">
            <v>36</v>
          </cell>
          <cell r="E220">
            <v>31.75</v>
          </cell>
          <cell r="F220">
            <v>18.41</v>
          </cell>
          <cell r="G220">
            <v>20.32</v>
          </cell>
        </row>
        <row r="220">
          <cell r="J220">
            <v>0.0118773956</v>
          </cell>
        </row>
        <row r="221">
          <cell r="A221">
            <v>33580</v>
          </cell>
        </row>
        <row r="221">
          <cell r="C221" t="str">
            <v>搪胶小鸭</v>
          </cell>
          <cell r="D221">
            <v>48</v>
          </cell>
          <cell r="E221">
            <v>35.6</v>
          </cell>
          <cell r="F221">
            <v>23.4</v>
          </cell>
          <cell r="G221">
            <v>19.5</v>
          </cell>
        </row>
        <row r="221">
          <cell r="J221">
            <v>0.01624428</v>
          </cell>
        </row>
        <row r="222">
          <cell r="A222">
            <v>571067</v>
          </cell>
          <cell r="B222" t="str">
            <v>571067-2L（320915/320632/320402）</v>
          </cell>
          <cell r="C222" t="str">
            <v>（320915/632/402）混装</v>
          </cell>
          <cell r="D222">
            <v>4</v>
          </cell>
          <cell r="E222">
            <v>31.5</v>
          </cell>
          <cell r="F222">
            <v>25</v>
          </cell>
          <cell r="G222">
            <v>20</v>
          </cell>
        </row>
        <row r="222">
          <cell r="J222">
            <v>0.01575</v>
          </cell>
        </row>
        <row r="223">
          <cell r="A223">
            <v>470026</v>
          </cell>
          <cell r="B223" t="str">
            <v>470026-2L（470725/320630/320631/320918）</v>
          </cell>
        </row>
        <row r="223">
          <cell r="D223">
            <v>4</v>
          </cell>
          <cell r="E223">
            <v>25</v>
          </cell>
          <cell r="F223">
            <v>20.5</v>
          </cell>
          <cell r="G223">
            <v>20</v>
          </cell>
        </row>
        <row r="223">
          <cell r="J223">
            <v>0.01025</v>
          </cell>
        </row>
        <row r="224">
          <cell r="A224">
            <v>570929</v>
          </cell>
          <cell r="B224" t="str">
            <v>570929（470195/320785/320629/320627）</v>
          </cell>
          <cell r="C224" t="str">
            <v>（195/785/629/627）混装</v>
          </cell>
          <cell r="D224">
            <v>4</v>
          </cell>
          <cell r="E224">
            <v>28.89</v>
          </cell>
          <cell r="F224">
            <v>17.78</v>
          </cell>
          <cell r="G224">
            <v>20</v>
          </cell>
        </row>
        <row r="224">
          <cell r="J224">
            <v>0.010273284</v>
          </cell>
        </row>
        <row r="225">
          <cell r="A225">
            <v>320770</v>
          </cell>
          <cell r="B225" t="str">
            <v>3个装纸箱</v>
          </cell>
          <cell r="C225" t="str">
            <v>320405、406、407混装</v>
          </cell>
          <cell r="D225">
            <v>3</v>
          </cell>
          <cell r="E225">
            <v>31.5</v>
          </cell>
          <cell r="F225">
            <v>27</v>
          </cell>
          <cell r="G225">
            <v>20</v>
          </cell>
        </row>
        <row r="225">
          <cell r="J225">
            <v>0.01701</v>
          </cell>
        </row>
        <row r="226">
          <cell r="A226">
            <v>75280</v>
          </cell>
          <cell r="B226" t="str">
            <v>4个装纸箱</v>
          </cell>
        </row>
        <row r="226">
          <cell r="D226">
            <v>4</v>
          </cell>
          <cell r="E226">
            <v>33.97</v>
          </cell>
          <cell r="F226">
            <v>20.96</v>
          </cell>
          <cell r="G226">
            <v>34.61</v>
          </cell>
        </row>
        <row r="226">
          <cell r="J226">
            <v>0.024642707632</v>
          </cell>
        </row>
        <row r="227">
          <cell r="A227">
            <v>33550</v>
          </cell>
          <cell r="B227" t="str">
            <v>巨鸭</v>
          </cell>
          <cell r="C227" t="str">
            <v>巨鸭</v>
          </cell>
          <cell r="D227">
            <v>6</v>
          </cell>
          <cell r="E227">
            <v>60.5</v>
          </cell>
          <cell r="F227">
            <v>38.7</v>
          </cell>
          <cell r="G227">
            <v>25.7</v>
          </cell>
        </row>
        <row r="227">
          <cell r="J227">
            <v>0.060172695</v>
          </cell>
        </row>
        <row r="228">
          <cell r="A228">
            <v>28458</v>
          </cell>
          <cell r="B228" t="str">
            <v>五款硅胶手感球</v>
          </cell>
          <cell r="C228" t="str">
            <v>五款硅胶手感球</v>
          </cell>
          <cell r="D228">
            <v>15</v>
          </cell>
          <cell r="E228">
            <v>26.99</v>
          </cell>
          <cell r="F228">
            <v>27.31</v>
          </cell>
          <cell r="G228">
            <v>28.26</v>
          </cell>
        </row>
        <row r="228">
          <cell r="J228">
            <v>0.020830358394</v>
          </cell>
        </row>
        <row r="229">
          <cell r="A229">
            <v>28468</v>
          </cell>
          <cell r="B229" t="str">
            <v>大象</v>
          </cell>
          <cell r="C229" t="str">
            <v>大象</v>
          </cell>
          <cell r="D229">
            <v>1</v>
          </cell>
          <cell r="E229">
            <v>30</v>
          </cell>
          <cell r="F229">
            <v>20</v>
          </cell>
          <cell r="G229">
            <v>28</v>
          </cell>
        </row>
        <row r="229">
          <cell r="J229">
            <v>0.0168</v>
          </cell>
        </row>
        <row r="230">
          <cell r="A230">
            <v>28467</v>
          </cell>
          <cell r="B230" t="str">
            <v>青蛙</v>
          </cell>
          <cell r="C230" t="str">
            <v>青蛙</v>
          </cell>
          <cell r="D230">
            <v>1</v>
          </cell>
          <cell r="E230">
            <v>30</v>
          </cell>
          <cell r="F230">
            <v>20</v>
          </cell>
          <cell r="G230">
            <v>28</v>
          </cell>
        </row>
        <row r="230">
          <cell r="J230">
            <v>0.0168</v>
          </cell>
        </row>
        <row r="231">
          <cell r="A231">
            <v>28466</v>
          </cell>
          <cell r="B231" t="str">
            <v>长颈鹿</v>
          </cell>
          <cell r="C231" t="str">
            <v>长颈鹿</v>
          </cell>
          <cell r="D231">
            <v>1</v>
          </cell>
          <cell r="E231">
            <v>30</v>
          </cell>
          <cell r="F231">
            <v>20</v>
          </cell>
          <cell r="G231">
            <v>28</v>
          </cell>
        </row>
        <row r="231">
          <cell r="J231">
            <v>0.0168</v>
          </cell>
        </row>
        <row r="232">
          <cell r="A232">
            <v>28472</v>
          </cell>
          <cell r="B232" t="str">
            <v>狮子</v>
          </cell>
          <cell r="C232" t="str">
            <v>狮子</v>
          </cell>
          <cell r="D232">
            <v>1</v>
          </cell>
          <cell r="E232">
            <v>30</v>
          </cell>
          <cell r="F232">
            <v>17</v>
          </cell>
          <cell r="G232">
            <v>36</v>
          </cell>
        </row>
        <row r="232">
          <cell r="J232">
            <v>0.01836</v>
          </cell>
        </row>
        <row r="233">
          <cell r="A233">
            <v>320923</v>
          </cell>
          <cell r="B233" t="str">
            <v>花店</v>
          </cell>
          <cell r="C233" t="str">
            <v>花店</v>
          </cell>
          <cell r="D233">
            <v>1</v>
          </cell>
          <cell r="E233">
            <v>39.94</v>
          </cell>
          <cell r="F233">
            <v>30.1</v>
          </cell>
          <cell r="G233">
            <v>21.91</v>
          </cell>
        </row>
        <row r="233">
          <cell r="J233">
            <v>0.02634007054</v>
          </cell>
        </row>
        <row r="234">
          <cell r="A234">
            <v>28465</v>
          </cell>
          <cell r="B234" t="str">
            <v>14寸动物</v>
          </cell>
          <cell r="C234" t="str">
            <v>大象&amp;青蛙&amp;长颈鹿</v>
          </cell>
          <cell r="D234">
            <v>6</v>
          </cell>
          <cell r="E234">
            <v>63</v>
          </cell>
          <cell r="F234">
            <v>43</v>
          </cell>
          <cell r="G234">
            <v>30</v>
          </cell>
        </row>
        <row r="234">
          <cell r="J234">
            <v>0.08127</v>
          </cell>
        </row>
        <row r="235">
          <cell r="A235">
            <v>11441</v>
          </cell>
          <cell r="B235" t="str">
            <v>搪胶小鸭</v>
          </cell>
          <cell r="C235" t="str">
            <v>搪胶小鸭</v>
          </cell>
          <cell r="D235">
            <v>45</v>
          </cell>
          <cell r="E235">
            <v>27</v>
          </cell>
          <cell r="F235">
            <v>16.6</v>
          </cell>
          <cell r="G235">
            <v>26.5</v>
          </cell>
        </row>
        <row r="235">
          <cell r="J235">
            <v>0.0118773</v>
          </cell>
        </row>
        <row r="236">
          <cell r="A236">
            <v>14245</v>
          </cell>
          <cell r="B236" t="str">
            <v>磁铁肩膀公仔</v>
          </cell>
          <cell r="C236" t="str">
            <v>磁铁肩膀史迪仔</v>
          </cell>
          <cell r="D236">
            <v>4</v>
          </cell>
          <cell r="E236">
            <v>21.91</v>
          </cell>
          <cell r="F236">
            <v>22.23</v>
          </cell>
          <cell r="G236">
            <v>18.1</v>
          </cell>
        </row>
        <row r="236">
          <cell r="J236">
            <v>0.00881577333</v>
          </cell>
        </row>
        <row r="237">
          <cell r="A237" t="str">
            <v>D70850/470724</v>
          </cell>
          <cell r="B237" t="str">
            <v>火车</v>
          </cell>
        </row>
        <row r="237">
          <cell r="D237">
            <v>12</v>
          </cell>
          <cell r="E237">
            <v>119</v>
          </cell>
          <cell r="F237">
            <v>49</v>
          </cell>
          <cell r="G237">
            <v>111</v>
          </cell>
        </row>
        <row r="237">
          <cell r="J237">
            <v>0.647241</v>
          </cell>
        </row>
        <row r="238">
          <cell r="A238">
            <v>470875</v>
          </cell>
          <cell r="B238" t="str">
            <v>3个装纸箱</v>
          </cell>
          <cell r="C238" t="str">
            <v>320405、406、407混装</v>
          </cell>
          <cell r="D238">
            <v>3</v>
          </cell>
          <cell r="E238">
            <v>31.5</v>
          </cell>
          <cell r="F238">
            <v>27</v>
          </cell>
          <cell r="G238">
            <v>20</v>
          </cell>
          <cell r="H238">
            <v>1.5</v>
          </cell>
          <cell r="I238">
            <v>1.83</v>
          </cell>
          <cell r="J238">
            <v>0.01701</v>
          </cell>
        </row>
        <row r="239">
          <cell r="A239" t="str">
            <v>470689（12）</v>
          </cell>
          <cell r="B239" t="str">
            <v>12个装纸箱</v>
          </cell>
        </row>
        <row r="239">
          <cell r="D239">
            <v>12</v>
          </cell>
          <cell r="E239">
            <v>57.5</v>
          </cell>
          <cell r="F239">
            <v>30.8</v>
          </cell>
          <cell r="G239">
            <v>62</v>
          </cell>
        </row>
        <row r="239">
          <cell r="J239">
            <v>0.109802</v>
          </cell>
        </row>
        <row r="240">
          <cell r="A240" t="str">
            <v>470688（12）</v>
          </cell>
          <cell r="B240" t="str">
            <v>12个装纸箱</v>
          </cell>
        </row>
        <row r="240">
          <cell r="D240">
            <v>12</v>
          </cell>
          <cell r="E240">
            <v>57.5</v>
          </cell>
          <cell r="F240">
            <v>30.8</v>
          </cell>
          <cell r="G240">
            <v>62</v>
          </cell>
        </row>
        <row r="240">
          <cell r="J240">
            <v>0.109802</v>
          </cell>
        </row>
        <row r="241">
          <cell r="A241" t="str">
            <v>胶筐</v>
          </cell>
          <cell r="B241" t="str">
            <v>胶筐</v>
          </cell>
        </row>
        <row r="241">
          <cell r="D241">
            <v>1</v>
          </cell>
          <cell r="E241">
            <v>68</v>
          </cell>
          <cell r="F241">
            <v>48</v>
          </cell>
          <cell r="G241">
            <v>40</v>
          </cell>
        </row>
        <row r="241">
          <cell r="J241">
            <v>0.13056</v>
          </cell>
        </row>
        <row r="242">
          <cell r="A242" t="str">
            <v>33630（36）</v>
          </cell>
          <cell r="B242" t="str">
            <v>搪胶小鸭</v>
          </cell>
          <cell r="C242" t="str">
            <v>搪胶小鸭</v>
          </cell>
          <cell r="D242">
            <v>36</v>
          </cell>
          <cell r="E242">
            <v>31.75</v>
          </cell>
          <cell r="F242">
            <v>18.41</v>
          </cell>
          <cell r="G242">
            <v>20.32</v>
          </cell>
        </row>
        <row r="242">
          <cell r="J242">
            <v>0.0118773956</v>
          </cell>
        </row>
        <row r="243">
          <cell r="A243" t="str">
            <v>27694（2）</v>
          </cell>
          <cell r="B243" t="str">
            <v>侏罗纪棘龙</v>
          </cell>
        </row>
        <row r="243">
          <cell r="D243">
            <v>2</v>
          </cell>
          <cell r="E243">
            <v>41</v>
          </cell>
          <cell r="F243">
            <v>41</v>
          </cell>
          <cell r="G243">
            <v>35</v>
          </cell>
        </row>
        <row r="243">
          <cell r="J243">
            <v>0.058835</v>
          </cell>
        </row>
        <row r="244">
          <cell r="A244" t="str">
            <v>27694（3）</v>
          </cell>
          <cell r="B244" t="str">
            <v>侏罗纪棘龙</v>
          </cell>
        </row>
        <row r="244">
          <cell r="D244">
            <v>3</v>
          </cell>
          <cell r="E244">
            <v>60</v>
          </cell>
          <cell r="F244">
            <v>44</v>
          </cell>
          <cell r="G244">
            <v>35</v>
          </cell>
        </row>
        <row r="244">
          <cell r="J244">
            <v>0.0924</v>
          </cell>
        </row>
        <row r="245">
          <cell r="A245" t="str">
            <v>33490（36）</v>
          </cell>
          <cell r="B245" t="str">
            <v>搪胶小鸭</v>
          </cell>
          <cell r="C245" t="str">
            <v>搪胶小鸭</v>
          </cell>
          <cell r="D245">
            <v>36</v>
          </cell>
          <cell r="E245">
            <v>33.02</v>
          </cell>
          <cell r="F245">
            <v>18.41</v>
          </cell>
          <cell r="G245">
            <v>20.3</v>
          </cell>
        </row>
        <row r="245">
          <cell r="J245">
            <v>0.01234033346</v>
          </cell>
        </row>
        <row r="246">
          <cell r="A246" t="str">
            <v>58725(18)</v>
          </cell>
          <cell r="B246" t="str">
            <v>搪胶小鸭</v>
          </cell>
        </row>
        <row r="246">
          <cell r="D246">
            <v>18</v>
          </cell>
          <cell r="E246">
            <v>49.53</v>
          </cell>
          <cell r="F246">
            <v>15.25</v>
          </cell>
          <cell r="G246">
            <v>11.45</v>
          </cell>
        </row>
        <row r="246">
          <cell r="J246">
            <v>0.008648557125</v>
          </cell>
        </row>
        <row r="247">
          <cell r="A247" t="str">
            <v>D70950/470764</v>
          </cell>
          <cell r="B247" t="str">
            <v>15个装</v>
          </cell>
        </row>
        <row r="247">
          <cell r="D247">
            <v>15</v>
          </cell>
          <cell r="E247">
            <v>120.5</v>
          </cell>
          <cell r="F247">
            <v>48.5</v>
          </cell>
          <cell r="G247">
            <v>92</v>
          </cell>
        </row>
        <row r="247">
          <cell r="J247">
            <v>0.537671</v>
          </cell>
        </row>
        <row r="248">
          <cell r="A248">
            <v>14225</v>
          </cell>
          <cell r="B248" t="str">
            <v>8个装纸箱</v>
          </cell>
          <cell r="C248" t="str">
            <v>磁铁肩膀史迪仔</v>
          </cell>
          <cell r="D248">
            <v>8</v>
          </cell>
          <cell r="E248">
            <v>30.48</v>
          </cell>
          <cell r="F248">
            <v>27.67</v>
          </cell>
          <cell r="G248">
            <v>15.24</v>
          </cell>
        </row>
        <row r="248">
          <cell r="J248">
            <v>0.012853135584</v>
          </cell>
        </row>
        <row r="249">
          <cell r="A249" t="str">
            <v>14225（21）</v>
          </cell>
          <cell r="B249" t="str">
            <v>21个装纸箱</v>
          </cell>
        </row>
        <row r="249">
          <cell r="D249">
            <v>21</v>
          </cell>
          <cell r="E249">
            <v>125</v>
          </cell>
          <cell r="F249">
            <v>35</v>
          </cell>
          <cell r="G249">
            <v>16</v>
          </cell>
        </row>
        <row r="249">
          <cell r="J249">
            <v>0.07</v>
          </cell>
        </row>
        <row r="250">
          <cell r="A250">
            <v>46489</v>
          </cell>
          <cell r="B250" t="str">
            <v>史迪仔</v>
          </cell>
        </row>
        <row r="250">
          <cell r="D250">
            <v>12</v>
          </cell>
          <cell r="E250">
            <v>121.5</v>
          </cell>
          <cell r="F250">
            <v>53.5</v>
          </cell>
          <cell r="G250">
            <v>115</v>
          </cell>
        </row>
        <row r="250">
          <cell r="J250">
            <v>0.74752875</v>
          </cell>
        </row>
        <row r="251">
          <cell r="A251" t="str">
            <v>D70950(470764)</v>
          </cell>
        </row>
        <row r="251">
          <cell r="D251">
            <v>15</v>
          </cell>
          <cell r="E251">
            <v>120.5</v>
          </cell>
          <cell r="F251">
            <v>48.5</v>
          </cell>
          <cell r="G251">
            <v>92</v>
          </cell>
        </row>
        <row r="251">
          <cell r="J251">
            <v>0.537671</v>
          </cell>
        </row>
        <row r="252">
          <cell r="A252" t="str">
            <v>D70850(470724)</v>
          </cell>
        </row>
        <row r="252">
          <cell r="D252">
            <v>12</v>
          </cell>
          <cell r="E252">
            <v>119</v>
          </cell>
          <cell r="F252">
            <v>49</v>
          </cell>
          <cell r="G252">
            <v>111</v>
          </cell>
        </row>
        <row r="252">
          <cell r="J252">
            <v>0.647241</v>
          </cell>
        </row>
        <row r="253">
          <cell r="A253">
            <v>33410</v>
          </cell>
        </row>
        <row r="253">
          <cell r="C253" t="str">
            <v>搪胶小鸭</v>
          </cell>
          <cell r="D253">
            <v>400</v>
          </cell>
          <cell r="E253">
            <v>52.83</v>
          </cell>
          <cell r="F253">
            <v>52.32</v>
          </cell>
          <cell r="G253">
            <v>113</v>
          </cell>
        </row>
        <row r="253">
          <cell r="J253">
            <v>0.3123394128</v>
          </cell>
        </row>
        <row r="254">
          <cell r="A254" t="str">
            <v>14265（18）</v>
          </cell>
          <cell r="B254" t="str">
            <v>钥匙扣系列</v>
          </cell>
          <cell r="C254" t="str">
            <v>钥匙扣系列</v>
          </cell>
          <cell r="D254">
            <v>18</v>
          </cell>
          <cell r="E254">
            <v>42.48</v>
          </cell>
          <cell r="F254">
            <v>22.8</v>
          </cell>
          <cell r="G254">
            <v>15.5</v>
          </cell>
        </row>
        <row r="254">
          <cell r="J254">
            <v>0.015012432</v>
          </cell>
        </row>
        <row r="255">
          <cell r="A255" t="str">
            <v>卡板</v>
          </cell>
        </row>
        <row r="255">
          <cell r="E255">
            <v>107</v>
          </cell>
          <cell r="F255">
            <v>48</v>
          </cell>
          <cell r="G255">
            <v>12</v>
          </cell>
        </row>
        <row r="255">
          <cell r="J255">
            <v>0.061632</v>
          </cell>
        </row>
        <row r="256">
          <cell r="A256">
            <v>14746</v>
          </cell>
        </row>
        <row r="256">
          <cell r="C256" t="str">
            <v>坐姿米奇</v>
          </cell>
          <cell r="D256">
            <v>12</v>
          </cell>
          <cell r="E256">
            <v>61.5</v>
          </cell>
          <cell r="F256">
            <v>51</v>
          </cell>
          <cell r="G256">
            <v>34.5</v>
          </cell>
        </row>
        <row r="256">
          <cell r="J256">
            <v>0.10820925</v>
          </cell>
        </row>
        <row r="257">
          <cell r="A257">
            <v>33611</v>
          </cell>
          <cell r="B257" t="str">
            <v>18个装纸箱</v>
          </cell>
          <cell r="C257" t="str">
            <v>搪胶小鸭</v>
          </cell>
          <cell r="D257">
            <v>18</v>
          </cell>
          <cell r="E257">
            <v>32.39</v>
          </cell>
          <cell r="F257">
            <v>17.78</v>
          </cell>
          <cell r="G257">
            <v>9.53</v>
          </cell>
        </row>
        <row r="257">
          <cell r="J257">
            <v>0.005488271726</v>
          </cell>
        </row>
        <row r="258">
          <cell r="A258">
            <v>33612</v>
          </cell>
          <cell r="B258" t="str">
            <v>18个装纸箱</v>
          </cell>
          <cell r="C258" t="str">
            <v>搪胶小鸭</v>
          </cell>
          <cell r="D258">
            <v>18</v>
          </cell>
          <cell r="E258">
            <v>32.39</v>
          </cell>
          <cell r="F258">
            <v>17.78</v>
          </cell>
          <cell r="G258">
            <v>9.53</v>
          </cell>
        </row>
        <row r="258">
          <cell r="J258">
            <v>0.005488271726</v>
          </cell>
        </row>
        <row r="259">
          <cell r="A259">
            <v>33613</v>
          </cell>
          <cell r="B259" t="str">
            <v>18个装纸箱</v>
          </cell>
          <cell r="C259" t="str">
            <v>搪胶小鸭</v>
          </cell>
          <cell r="D259">
            <v>18</v>
          </cell>
          <cell r="E259">
            <v>32.39</v>
          </cell>
          <cell r="F259">
            <v>17.78</v>
          </cell>
          <cell r="G259">
            <v>9.53</v>
          </cell>
        </row>
        <row r="259">
          <cell r="J259">
            <v>0.005488271726</v>
          </cell>
        </row>
        <row r="260">
          <cell r="A260">
            <v>33614</v>
          </cell>
          <cell r="B260" t="str">
            <v>18个装纸箱</v>
          </cell>
          <cell r="C260" t="str">
            <v>搪胶小鸭</v>
          </cell>
          <cell r="D260">
            <v>18</v>
          </cell>
          <cell r="E260">
            <v>32.39</v>
          </cell>
          <cell r="F260">
            <v>17.78</v>
          </cell>
          <cell r="G260">
            <v>9.53</v>
          </cell>
        </row>
        <row r="260">
          <cell r="J260">
            <v>0.005488271726</v>
          </cell>
        </row>
        <row r="261">
          <cell r="A261">
            <v>41502</v>
          </cell>
          <cell r="B261" t="str">
            <v>4个装纸箱</v>
          </cell>
          <cell r="C261" t="str">
            <v>梅根头</v>
          </cell>
          <cell r="D261">
            <v>18</v>
          </cell>
          <cell r="E261">
            <v>43.18</v>
          </cell>
          <cell r="F261">
            <v>35.56</v>
          </cell>
          <cell r="G261">
            <v>36.2</v>
          </cell>
        </row>
        <row r="261">
          <cell r="J261">
            <v>0.05558440496</v>
          </cell>
        </row>
        <row r="262">
          <cell r="A262" t="str">
            <v>14747(12)</v>
          </cell>
          <cell r="B262" t="str">
            <v>12个装纸箱</v>
          </cell>
        </row>
        <row r="262">
          <cell r="D262">
            <v>12</v>
          </cell>
          <cell r="E262">
            <v>60.96</v>
          </cell>
          <cell r="F262">
            <v>51.8</v>
          </cell>
          <cell r="G262">
            <v>33.02</v>
          </cell>
        </row>
        <row r="262">
          <cell r="J262">
            <v>0.10426817856</v>
          </cell>
        </row>
        <row r="263">
          <cell r="A263" t="str">
            <v>14746(12)</v>
          </cell>
          <cell r="B263" t="str">
            <v>12个装纸箱</v>
          </cell>
        </row>
        <row r="263">
          <cell r="D263">
            <v>12</v>
          </cell>
          <cell r="E263">
            <v>60.96</v>
          </cell>
          <cell r="F263">
            <v>51.8</v>
          </cell>
          <cell r="G263">
            <v>33.02</v>
          </cell>
        </row>
        <row r="263">
          <cell r="J263">
            <v>0.10426817856</v>
          </cell>
        </row>
        <row r="264">
          <cell r="A264">
            <v>58770</v>
          </cell>
          <cell r="B264" t="str">
            <v>12个装纸箱</v>
          </cell>
          <cell r="C264" t="str">
            <v>搪胶小鸭</v>
          </cell>
          <cell r="D264">
            <v>12</v>
          </cell>
          <cell r="E264">
            <v>22.54</v>
          </cell>
          <cell r="F264">
            <v>18.42</v>
          </cell>
          <cell r="G264">
            <v>11.11</v>
          </cell>
        </row>
        <row r="264">
          <cell r="J264">
            <v>0.004612725348</v>
          </cell>
        </row>
        <row r="265">
          <cell r="A265">
            <v>11783</v>
          </cell>
          <cell r="B265" t="str">
            <v>24个装纸箱</v>
          </cell>
          <cell r="C265" t="str">
            <v>搪胶小鸭</v>
          </cell>
          <cell r="D265">
            <v>24</v>
          </cell>
          <cell r="E265">
            <v>25.72</v>
          </cell>
          <cell r="F265">
            <v>19.69</v>
          </cell>
          <cell r="G265">
            <v>28.26</v>
          </cell>
        </row>
        <row r="265">
          <cell r="J265">
            <v>0.014311621368</v>
          </cell>
        </row>
        <row r="266">
          <cell r="A266">
            <v>11781</v>
          </cell>
          <cell r="B266" t="str">
            <v>24个装纸箱</v>
          </cell>
          <cell r="C266" t="str">
            <v>搪胶小鸭</v>
          </cell>
          <cell r="D266">
            <v>24</v>
          </cell>
          <cell r="E266">
            <v>25.72</v>
          </cell>
          <cell r="F266">
            <v>19.69</v>
          </cell>
          <cell r="G266">
            <v>28.26</v>
          </cell>
        </row>
        <row r="266">
          <cell r="J266">
            <v>0.014311621368</v>
          </cell>
        </row>
        <row r="267">
          <cell r="A267">
            <v>11782</v>
          </cell>
          <cell r="B267" t="str">
            <v>24个装纸箱</v>
          </cell>
          <cell r="C267" t="str">
            <v>搪胶小鸭</v>
          </cell>
          <cell r="D267">
            <v>24</v>
          </cell>
          <cell r="E267">
            <v>25.72</v>
          </cell>
          <cell r="F267">
            <v>19.69</v>
          </cell>
          <cell r="G267">
            <v>28.26</v>
          </cell>
        </row>
        <row r="267">
          <cell r="J267">
            <v>0.014311621368</v>
          </cell>
        </row>
        <row r="268">
          <cell r="A268">
            <v>45586</v>
          </cell>
          <cell r="B268" t="str">
            <v>24个装纸箱</v>
          </cell>
        </row>
        <row r="268">
          <cell r="D268">
            <v>24</v>
          </cell>
          <cell r="E268">
            <v>25.72</v>
          </cell>
          <cell r="F268">
            <v>19.69</v>
          </cell>
          <cell r="G268">
            <v>28.26</v>
          </cell>
        </row>
        <row r="268">
          <cell r="J268">
            <v>0.014311621368</v>
          </cell>
        </row>
        <row r="269">
          <cell r="A269">
            <v>570974</v>
          </cell>
          <cell r="B269" t="str">
            <v>1个装纸箱</v>
          </cell>
          <cell r="C269" t="str">
            <v>蓝球</v>
          </cell>
          <cell r="D269">
            <v>1</v>
          </cell>
          <cell r="E269">
            <v>59.05</v>
          </cell>
          <cell r="F269">
            <v>26.04</v>
          </cell>
          <cell r="G269">
            <v>55.88</v>
          </cell>
        </row>
        <row r="269">
          <cell r="J269">
            <v>0.08592455256</v>
          </cell>
        </row>
        <row r="270">
          <cell r="A270">
            <v>570975</v>
          </cell>
          <cell r="B270" t="str">
            <v>1个装纸箱</v>
          </cell>
          <cell r="C270" t="str">
            <v>棒球</v>
          </cell>
          <cell r="D270">
            <v>1</v>
          </cell>
          <cell r="E270">
            <v>30.48</v>
          </cell>
          <cell r="F270">
            <v>11.795</v>
          </cell>
          <cell r="G270">
            <v>53.34</v>
          </cell>
        </row>
        <row r="270">
          <cell r="J270">
            <v>0.019176348744</v>
          </cell>
        </row>
        <row r="271">
          <cell r="A271">
            <v>25250</v>
          </cell>
          <cell r="B271" t="str">
            <v>6个装纸箱</v>
          </cell>
          <cell r="C271" t="str">
            <v>磁铁公仔</v>
          </cell>
          <cell r="D271">
            <v>6</v>
          </cell>
          <cell r="E271">
            <v>32.4</v>
          </cell>
          <cell r="F271">
            <v>21</v>
          </cell>
          <cell r="G271">
            <v>17.8</v>
          </cell>
        </row>
        <row r="271">
          <cell r="J271">
            <v>0.01211112</v>
          </cell>
        </row>
        <row r="272">
          <cell r="A272">
            <v>45188</v>
          </cell>
          <cell r="B272" t="str">
            <v>6个装纸箱</v>
          </cell>
        </row>
        <row r="272">
          <cell r="D272">
            <v>6</v>
          </cell>
          <cell r="E272">
            <v>32.4</v>
          </cell>
          <cell r="F272">
            <v>21</v>
          </cell>
          <cell r="G272">
            <v>17.8</v>
          </cell>
        </row>
        <row r="272">
          <cell r="J272">
            <v>0.01211112</v>
          </cell>
        </row>
        <row r="273">
          <cell r="A273">
            <v>11884</v>
          </cell>
        </row>
        <row r="273">
          <cell r="D273">
            <v>8</v>
          </cell>
          <cell r="E273">
            <v>25.72</v>
          </cell>
          <cell r="F273">
            <v>19.69</v>
          </cell>
          <cell r="G273">
            <v>28.26</v>
          </cell>
        </row>
        <row r="273">
          <cell r="J273">
            <v>0.014311621368</v>
          </cell>
        </row>
        <row r="274">
          <cell r="A274">
            <v>46097</v>
          </cell>
          <cell r="B274" t="str">
            <v>纸箱（10个装）</v>
          </cell>
          <cell r="C274" t="str">
            <v>小熊维尼历险记系列</v>
          </cell>
          <cell r="D274">
            <v>10</v>
          </cell>
          <cell r="E274">
            <v>40.01</v>
          </cell>
          <cell r="F274">
            <v>26.67</v>
          </cell>
          <cell r="G274">
            <v>20.96</v>
          </cell>
        </row>
        <row r="274">
          <cell r="J274">
            <v>0.022365718032</v>
          </cell>
        </row>
        <row r="275">
          <cell r="A275">
            <v>570989</v>
          </cell>
          <cell r="B275" t="str">
            <v>纸箱（27个装）</v>
          </cell>
          <cell r="C275" t="str">
            <v>盲盒系列</v>
          </cell>
          <cell r="D275">
            <v>27</v>
          </cell>
          <cell r="E275">
            <v>31.115</v>
          </cell>
          <cell r="F275">
            <v>22.59</v>
          </cell>
          <cell r="G275">
            <v>15.875</v>
          </cell>
        </row>
        <row r="275">
          <cell r="J275">
            <v>0.01115834461875</v>
          </cell>
        </row>
        <row r="276">
          <cell r="A276" t="str">
            <v>14225（6）</v>
          </cell>
          <cell r="B276" t="str">
            <v>纸箱（6个装）</v>
          </cell>
        </row>
        <row r="276">
          <cell r="D276">
            <v>6</v>
          </cell>
          <cell r="E276">
            <v>32.39</v>
          </cell>
          <cell r="F276">
            <v>20.32</v>
          </cell>
          <cell r="G276">
            <v>17.15</v>
          </cell>
        </row>
        <row r="276">
          <cell r="J276">
            <v>0.01128752632</v>
          </cell>
        </row>
        <row r="277">
          <cell r="A277" t="str">
            <v>33769（72）</v>
          </cell>
          <cell r="B277" t="str">
            <v>纸箱（24个装）</v>
          </cell>
          <cell r="C277" t="str">
            <v>搪胶小鸭</v>
          </cell>
          <cell r="D277">
            <v>72</v>
          </cell>
          <cell r="E277">
            <v>25.4</v>
          </cell>
          <cell r="F277">
            <v>24.765</v>
          </cell>
          <cell r="G277">
            <v>31.75</v>
          </cell>
        </row>
        <row r="277">
          <cell r="J277">
            <v>0.01997173425</v>
          </cell>
        </row>
        <row r="278">
          <cell r="A278">
            <v>28481</v>
          </cell>
          <cell r="B278" t="str">
            <v>骰子</v>
          </cell>
          <cell r="C278" t="str">
            <v>骰子</v>
          </cell>
          <cell r="D278">
            <v>4</v>
          </cell>
          <cell r="E278">
            <v>23.81</v>
          </cell>
          <cell r="F278">
            <v>17.78</v>
          </cell>
          <cell r="G278">
            <v>23.81</v>
          </cell>
        </row>
        <row r="278">
          <cell r="J278">
            <v>0.010079768258</v>
          </cell>
        </row>
        <row r="279">
          <cell r="A279">
            <v>28483</v>
          </cell>
          <cell r="B279" t="str">
            <v>振动球</v>
          </cell>
          <cell r="C279" t="str">
            <v>振动球</v>
          </cell>
          <cell r="D279">
            <v>1</v>
          </cell>
          <cell r="E279">
            <v>16.83</v>
          </cell>
          <cell r="F279">
            <v>17.15</v>
          </cell>
          <cell r="G279">
            <v>20</v>
          </cell>
        </row>
        <row r="279">
          <cell r="J279">
            <v>0.00577269</v>
          </cell>
        </row>
        <row r="280">
          <cell r="A280">
            <v>82165</v>
          </cell>
          <cell r="B280" t="str">
            <v>纸箱（6个装）</v>
          </cell>
          <cell r="C280" t="str">
            <v>磁铁肩膀海棉宝宝&amp;派大星</v>
          </cell>
          <cell r="D280">
            <v>6</v>
          </cell>
          <cell r="E280">
            <v>25.72</v>
          </cell>
          <cell r="F280">
            <v>19.69</v>
          </cell>
          <cell r="G280">
            <v>28.26</v>
          </cell>
        </row>
        <row r="280">
          <cell r="J280">
            <v>0.014311621368</v>
          </cell>
        </row>
        <row r="281">
          <cell r="A281">
            <v>571299</v>
          </cell>
          <cell r="B281" t="str">
            <v>自卸车</v>
          </cell>
          <cell r="C281" t="str">
            <v>自卸车</v>
          </cell>
          <cell r="D281">
            <v>1</v>
          </cell>
          <cell r="E281">
            <v>42</v>
          </cell>
          <cell r="F281">
            <v>22</v>
          </cell>
          <cell r="G281">
            <v>29</v>
          </cell>
        </row>
        <row r="281">
          <cell r="J281">
            <v>0.026796</v>
          </cell>
        </row>
        <row r="282">
          <cell r="A282" t="str">
            <v>14878（8）</v>
          </cell>
          <cell r="B282" t="str">
            <v>8个装纸箱</v>
          </cell>
        </row>
        <row r="282">
          <cell r="D282">
            <v>8</v>
          </cell>
          <cell r="E282">
            <v>57.785</v>
          </cell>
          <cell r="F282">
            <v>57.15</v>
          </cell>
          <cell r="G282">
            <v>25.4</v>
          </cell>
        </row>
        <row r="282">
          <cell r="J282">
            <v>0.08388128385</v>
          </cell>
        </row>
        <row r="283">
          <cell r="A283">
            <v>21150</v>
          </cell>
          <cell r="B283" t="str">
            <v>纸箱（12个装）</v>
          </cell>
          <cell r="C283" t="str">
            <v>豆袋系列</v>
          </cell>
          <cell r="D283">
            <v>12</v>
          </cell>
          <cell r="E283">
            <v>41.91</v>
          </cell>
          <cell r="F283">
            <v>32.75</v>
          </cell>
          <cell r="G283">
            <v>12.065</v>
          </cell>
        </row>
        <row r="283">
          <cell r="J283">
            <v>0.0165598459125</v>
          </cell>
        </row>
        <row r="284">
          <cell r="A284" t="str">
            <v>33735（12）</v>
          </cell>
          <cell r="B284" t="str">
            <v>纸箱（12个装）</v>
          </cell>
          <cell r="C284" t="str">
            <v>搪胶小鸭</v>
          </cell>
          <cell r="D284">
            <v>12</v>
          </cell>
          <cell r="E284">
            <v>22.5</v>
          </cell>
          <cell r="F284">
            <v>19.5</v>
          </cell>
          <cell r="G284">
            <v>11.3</v>
          </cell>
        </row>
        <row r="284">
          <cell r="J284">
            <v>0.004957875</v>
          </cell>
        </row>
        <row r="285">
          <cell r="A285" t="str">
            <v>33735（18）</v>
          </cell>
          <cell r="B285" t="str">
            <v>纸箱（18个装）</v>
          </cell>
          <cell r="C285" t="str">
            <v>搪胶小鸭</v>
          </cell>
          <cell r="D285">
            <v>18</v>
          </cell>
          <cell r="E285">
            <v>32.5</v>
          </cell>
          <cell r="F285">
            <v>18.3</v>
          </cell>
          <cell r="G285">
            <v>10.7</v>
          </cell>
        </row>
        <row r="285">
          <cell r="J285">
            <v>0.006363825</v>
          </cell>
        </row>
        <row r="286">
          <cell r="A286" t="str">
            <v>33475（192）</v>
          </cell>
          <cell r="B286" t="str">
            <v>纸箱（192个装）</v>
          </cell>
          <cell r="C286" t="str">
            <v>搪胶小鸭</v>
          </cell>
          <cell r="D286">
            <v>192</v>
          </cell>
          <cell r="E286">
            <v>32.7</v>
          </cell>
          <cell r="F286">
            <v>27.8</v>
          </cell>
          <cell r="G286">
            <v>41.6</v>
          </cell>
        </row>
        <row r="286">
          <cell r="J286">
            <v>0.037816896</v>
          </cell>
        </row>
        <row r="287">
          <cell r="A287" t="str">
            <v>33735（36）</v>
          </cell>
          <cell r="B287" t="str">
            <v>纸箱（36个装）</v>
          </cell>
          <cell r="C287" t="str">
            <v>搪胶小鸭</v>
          </cell>
          <cell r="D287">
            <v>36</v>
          </cell>
          <cell r="E287">
            <v>39.3</v>
          </cell>
          <cell r="F287">
            <v>35</v>
          </cell>
          <cell r="G287">
            <v>14.1</v>
          </cell>
        </row>
        <row r="287">
          <cell r="J287">
            <v>0.01939455</v>
          </cell>
        </row>
        <row r="288">
          <cell r="A288">
            <v>46133</v>
          </cell>
        </row>
        <row r="288">
          <cell r="C288" t="str">
            <v>小美人鱼系列</v>
          </cell>
          <cell r="D288">
            <v>2</v>
          </cell>
          <cell r="E288">
            <v>40.01</v>
          </cell>
          <cell r="F288">
            <v>26.67</v>
          </cell>
          <cell r="G288">
            <v>20.96</v>
          </cell>
        </row>
        <row r="288">
          <cell r="J288">
            <v>0.022365718032</v>
          </cell>
        </row>
        <row r="289">
          <cell r="A289">
            <v>46099</v>
          </cell>
        </row>
        <row r="289">
          <cell r="C289" t="str">
            <v>米奇老鼠系列</v>
          </cell>
          <cell r="D289">
            <v>2</v>
          </cell>
          <cell r="E289">
            <v>40.01</v>
          </cell>
          <cell r="F289">
            <v>26.67</v>
          </cell>
          <cell r="G289">
            <v>20.96</v>
          </cell>
        </row>
        <row r="289">
          <cell r="J289">
            <v>0.022365718032</v>
          </cell>
        </row>
        <row r="290">
          <cell r="A290" t="str">
            <v>33475（48）</v>
          </cell>
          <cell r="B290" t="str">
            <v>48个装纸箱</v>
          </cell>
          <cell r="C290" t="str">
            <v>搪胶小鸭</v>
          </cell>
          <cell r="D290">
            <v>48</v>
          </cell>
          <cell r="E290">
            <v>34.925</v>
          </cell>
          <cell r="F290">
            <v>22.225</v>
          </cell>
          <cell r="G290">
            <v>19.05</v>
          </cell>
        </row>
        <row r="290">
          <cell r="J290">
            <v>0.01478676478125</v>
          </cell>
        </row>
        <row r="291">
          <cell r="A291" t="str">
            <v>33490（48）</v>
          </cell>
          <cell r="B291" t="str">
            <v>48个装纸箱</v>
          </cell>
          <cell r="C291" t="str">
            <v>搪胶小鸭</v>
          </cell>
          <cell r="D291">
            <v>48</v>
          </cell>
          <cell r="E291">
            <v>34.925</v>
          </cell>
          <cell r="F291">
            <v>22.225</v>
          </cell>
          <cell r="G291">
            <v>19.05</v>
          </cell>
        </row>
        <row r="291">
          <cell r="J291">
            <v>0.01478676478125</v>
          </cell>
        </row>
        <row r="292">
          <cell r="A292" t="str">
            <v>33658（8）</v>
          </cell>
          <cell r="B292" t="str">
            <v>8个装纸箱</v>
          </cell>
          <cell r="C292" t="str">
            <v>我爱纽约组合小鸭</v>
          </cell>
          <cell r="D292">
            <v>8</v>
          </cell>
          <cell r="E292">
            <v>33</v>
          </cell>
          <cell r="F292">
            <v>16.7</v>
          </cell>
          <cell r="G292">
            <v>14.3</v>
          </cell>
        </row>
        <row r="292">
          <cell r="J292">
            <v>0.00788073</v>
          </cell>
        </row>
        <row r="293">
          <cell r="A293" t="str">
            <v>33708（8）</v>
          </cell>
          <cell r="B293" t="str">
            <v>8个装纸箱</v>
          </cell>
          <cell r="C293" t="str">
            <v>搪胶小鸭</v>
          </cell>
          <cell r="D293">
            <v>8</v>
          </cell>
          <cell r="E293">
            <v>33</v>
          </cell>
          <cell r="F293">
            <v>16.7</v>
          </cell>
          <cell r="G293">
            <v>14.3</v>
          </cell>
        </row>
        <row r="293">
          <cell r="J293">
            <v>0.00788073</v>
          </cell>
        </row>
        <row r="294">
          <cell r="A294">
            <v>33429</v>
          </cell>
        </row>
        <row r="294">
          <cell r="C294" t="str">
            <v>搪胶小鸭</v>
          </cell>
        </row>
        <row r="295">
          <cell r="A295">
            <v>33477</v>
          </cell>
        </row>
        <row r="295">
          <cell r="C295" t="str">
            <v>搪小鸭外星史迪仔</v>
          </cell>
        </row>
        <row r="296">
          <cell r="A296">
            <v>33476</v>
          </cell>
        </row>
        <row r="296">
          <cell r="C296" t="str">
            <v>搪小鸭天使</v>
          </cell>
        </row>
        <row r="297">
          <cell r="A297">
            <v>46462</v>
          </cell>
          <cell r="B297" t="str">
            <v>纸箱（2个装）</v>
          </cell>
          <cell r="C297" t="str">
            <v>史迪仔系列</v>
          </cell>
          <cell r="D297">
            <v>2</v>
          </cell>
          <cell r="E297">
            <v>40.01</v>
          </cell>
          <cell r="F297">
            <v>26.67</v>
          </cell>
          <cell r="G297">
            <v>20.96</v>
          </cell>
        </row>
        <row r="297">
          <cell r="J297">
            <v>0.022365718032</v>
          </cell>
        </row>
        <row r="298">
          <cell r="A298">
            <v>46496</v>
          </cell>
          <cell r="B298" t="str">
            <v>纸箱（2个装）</v>
          </cell>
          <cell r="C298" t="str">
            <v>米妮系列</v>
          </cell>
          <cell r="D298">
            <v>2</v>
          </cell>
          <cell r="E298">
            <v>40.01</v>
          </cell>
          <cell r="F298">
            <v>26.67</v>
          </cell>
          <cell r="G298">
            <v>20.96</v>
          </cell>
        </row>
        <row r="298">
          <cell r="J298">
            <v>0.022365718032</v>
          </cell>
        </row>
        <row r="299">
          <cell r="A299">
            <v>571412</v>
          </cell>
        </row>
        <row r="299">
          <cell r="C299" t="str">
            <v> 金属货车（黄色）</v>
          </cell>
          <cell r="D299">
            <v>2</v>
          </cell>
          <cell r="E299">
            <v>41</v>
          </cell>
          <cell r="F299">
            <v>38</v>
          </cell>
          <cell r="G299">
            <v>24</v>
          </cell>
        </row>
        <row r="299">
          <cell r="J299">
            <v>0.037392</v>
          </cell>
        </row>
        <row r="300">
          <cell r="A300">
            <v>571388</v>
          </cell>
        </row>
        <row r="300">
          <cell r="C300" t="str">
            <v>翰迪尔娃娃（咖色头发）</v>
          </cell>
          <cell r="D300">
            <v>4</v>
          </cell>
          <cell r="E300">
            <v>27.94</v>
          </cell>
          <cell r="F300">
            <v>16.51</v>
          </cell>
          <cell r="G300">
            <v>33</v>
          </cell>
        </row>
        <row r="300">
          <cell r="J300">
            <v>0.0152225502</v>
          </cell>
        </row>
        <row r="301">
          <cell r="A301">
            <v>33610</v>
          </cell>
        </row>
        <row r="301">
          <cell r="C301" t="str">
            <v>搪果鸭</v>
          </cell>
          <cell r="D301">
            <v>12</v>
          </cell>
          <cell r="E301">
            <v>22.7</v>
          </cell>
          <cell r="F301">
            <v>18.2</v>
          </cell>
          <cell r="G301">
            <v>11.1</v>
          </cell>
        </row>
        <row r="301">
          <cell r="J301">
            <v>0.004585854</v>
          </cell>
        </row>
        <row r="302">
          <cell r="A302">
            <v>33813</v>
          </cell>
        </row>
        <row r="302">
          <cell r="C302" t="str">
            <v>搪胶小鸭</v>
          </cell>
          <cell r="D302">
            <v>84</v>
          </cell>
          <cell r="E302">
            <v>29.6</v>
          </cell>
          <cell r="F302">
            <v>21.1</v>
          </cell>
          <cell r="G302">
            <v>30.4</v>
          </cell>
        </row>
        <row r="302">
          <cell r="J302">
            <v>0.018986624</v>
          </cell>
        </row>
        <row r="303">
          <cell r="A303">
            <v>33812</v>
          </cell>
        </row>
        <row r="303">
          <cell r="C303" t="str">
            <v>搪胶小鸭</v>
          </cell>
          <cell r="D303">
            <v>60</v>
          </cell>
          <cell r="E303">
            <v>32.2</v>
          </cell>
          <cell r="F303">
            <v>26.4</v>
          </cell>
          <cell r="G303">
            <v>17.9</v>
          </cell>
        </row>
        <row r="303">
          <cell r="J303">
            <v>0.015216432</v>
          </cell>
        </row>
        <row r="304">
          <cell r="A304">
            <v>33807</v>
          </cell>
        </row>
        <row r="304">
          <cell r="C304" t="str">
            <v>搪胶小鸭</v>
          </cell>
          <cell r="D304">
            <v>96</v>
          </cell>
          <cell r="E304">
            <v>32.5</v>
          </cell>
          <cell r="F304">
            <v>20.7</v>
          </cell>
          <cell r="G304">
            <v>33</v>
          </cell>
        </row>
        <row r="304">
          <cell r="J304">
            <v>0.02220075</v>
          </cell>
        </row>
        <row r="305">
          <cell r="A305">
            <v>33808</v>
          </cell>
        </row>
        <row r="305">
          <cell r="C305" t="str">
            <v>搪胶小鸭</v>
          </cell>
          <cell r="D305">
            <v>96</v>
          </cell>
          <cell r="E305">
            <v>32.5</v>
          </cell>
          <cell r="F305">
            <v>20.7</v>
          </cell>
          <cell r="G305">
            <v>33</v>
          </cell>
        </row>
        <row r="305">
          <cell r="J305">
            <v>0.02220075</v>
          </cell>
        </row>
        <row r="306">
          <cell r="A306">
            <v>46462</v>
          </cell>
        </row>
        <row r="306">
          <cell r="C306" t="str">
            <v>史迪仔系列</v>
          </cell>
          <cell r="D306">
            <v>2</v>
          </cell>
          <cell r="E306">
            <v>40.01</v>
          </cell>
          <cell r="F306">
            <v>26.67</v>
          </cell>
          <cell r="G306">
            <v>20.96</v>
          </cell>
        </row>
        <row r="306">
          <cell r="J306">
            <v>0.022365718032</v>
          </cell>
        </row>
        <row r="307">
          <cell r="A307">
            <v>46911</v>
          </cell>
        </row>
        <row r="307">
          <cell r="C307" t="str">
            <v> 蜘蛛侠系列</v>
          </cell>
          <cell r="D307">
            <v>2</v>
          </cell>
          <cell r="E307">
            <v>40.01</v>
          </cell>
          <cell r="F307">
            <v>26.67</v>
          </cell>
          <cell r="G307">
            <v>20.96</v>
          </cell>
        </row>
        <row r="307">
          <cell r="J307">
            <v>0.022365718032</v>
          </cell>
        </row>
        <row r="308">
          <cell r="A308">
            <v>46857</v>
          </cell>
        </row>
        <row r="308">
          <cell r="C308" t="str">
            <v>33477外星史迪仔</v>
          </cell>
        </row>
        <row r="309">
          <cell r="A309">
            <v>46886</v>
          </cell>
        </row>
        <row r="309">
          <cell r="C309" t="str">
            <v>33477外星史迪仔</v>
          </cell>
        </row>
        <row r="310">
          <cell r="A310">
            <v>46897</v>
          </cell>
        </row>
        <row r="310">
          <cell r="C310" t="str">
            <v>33476天使</v>
          </cell>
        </row>
        <row r="311">
          <cell r="A311" t="str">
            <v>46913-1</v>
          </cell>
        </row>
        <row r="311">
          <cell r="C311" t="str">
            <v>33476天使</v>
          </cell>
        </row>
        <row r="312">
          <cell r="A312" t="str">
            <v>46913-2</v>
          </cell>
        </row>
        <row r="312">
          <cell r="C312" t="str">
            <v>33416史迪仔</v>
          </cell>
        </row>
        <row r="313">
          <cell r="A313">
            <v>46862</v>
          </cell>
        </row>
        <row r="313">
          <cell r="C313" t="str">
            <v>荧光杰克</v>
          </cell>
        </row>
        <row r="314">
          <cell r="A314">
            <v>46094</v>
          </cell>
        </row>
        <row r="314">
          <cell r="C314" t="str">
            <v>漫威系列</v>
          </cell>
          <cell r="D314">
            <v>2</v>
          </cell>
          <cell r="E314">
            <v>40.01</v>
          </cell>
          <cell r="F314">
            <v>26.67</v>
          </cell>
          <cell r="G314">
            <v>20.96</v>
          </cell>
        </row>
        <row r="314">
          <cell r="J314">
            <v>0.022365718032</v>
          </cell>
        </row>
        <row r="315">
          <cell r="A315">
            <v>33776</v>
          </cell>
        </row>
        <row r="315">
          <cell r="C315" t="str">
            <v>搪胶小鸭子系列</v>
          </cell>
          <cell r="D315">
            <v>96</v>
          </cell>
          <cell r="E315">
            <v>54.95</v>
          </cell>
          <cell r="F315">
            <v>34.95</v>
          </cell>
          <cell r="G315">
            <v>42.9</v>
          </cell>
        </row>
        <row r="315">
          <cell r="J315">
            <v>0.08238955725</v>
          </cell>
        </row>
        <row r="316">
          <cell r="A316">
            <v>671509</v>
          </cell>
        </row>
        <row r="316">
          <cell r="C316" t="str">
            <v>绿色铁皮勾车</v>
          </cell>
          <cell r="D316">
            <v>2</v>
          </cell>
          <cell r="E316">
            <v>40.32</v>
          </cell>
          <cell r="F316">
            <v>37.47</v>
          </cell>
          <cell r="G316">
            <v>23.81</v>
          </cell>
        </row>
        <row r="316">
          <cell r="J316">
            <v>0.035971919424</v>
          </cell>
        </row>
        <row r="317">
          <cell r="A317">
            <v>33416</v>
          </cell>
        </row>
        <row r="317">
          <cell r="C317" t="str">
            <v>史迪仔</v>
          </cell>
          <cell r="D317">
            <v>1</v>
          </cell>
        </row>
        <row r="318">
          <cell r="A318" t="str">
            <v>33865（36）</v>
          </cell>
        </row>
        <row r="318">
          <cell r="C318" t="str">
            <v>搪胶小鸭子系列</v>
          </cell>
          <cell r="D318">
            <v>36</v>
          </cell>
          <cell r="E318">
            <v>32.1</v>
          </cell>
          <cell r="F318">
            <v>17.3</v>
          </cell>
          <cell r="G318">
            <v>18.5</v>
          </cell>
        </row>
        <row r="318">
          <cell r="J318">
            <v>0.010273605</v>
          </cell>
        </row>
        <row r="319">
          <cell r="A319" t="str">
            <v>33782（48）</v>
          </cell>
        </row>
        <row r="319">
          <cell r="C319" t="str">
            <v>搪胶小鸭子系列</v>
          </cell>
          <cell r="D319">
            <v>48</v>
          </cell>
          <cell r="E319">
            <v>37.15</v>
          </cell>
          <cell r="F319">
            <v>33</v>
          </cell>
          <cell r="G319">
            <v>33.34</v>
          </cell>
        </row>
        <row r="319">
          <cell r="J319">
            <v>0.040873173</v>
          </cell>
        </row>
        <row r="320">
          <cell r="A320">
            <v>46440</v>
          </cell>
        </row>
        <row r="320">
          <cell r="C320" t="str">
            <v>混装桶</v>
          </cell>
          <cell r="D320">
            <v>6</v>
          </cell>
          <cell r="E320">
            <v>41.3</v>
          </cell>
          <cell r="F320">
            <v>29.2</v>
          </cell>
          <cell r="G320">
            <v>65</v>
          </cell>
        </row>
        <row r="320">
          <cell r="J320">
            <v>0.0783874</v>
          </cell>
        </row>
        <row r="321">
          <cell r="A321" t="str">
            <v>470026-2L</v>
          </cell>
        </row>
        <row r="321">
          <cell r="C321" t="str">
            <v>（470725/320630）混装</v>
          </cell>
          <cell r="D321">
            <v>4</v>
          </cell>
          <cell r="E321">
            <v>25</v>
          </cell>
          <cell r="F321">
            <v>20.5</v>
          </cell>
          <cell r="G321">
            <v>20</v>
          </cell>
        </row>
        <row r="321">
          <cell r="J321">
            <v>0.01025</v>
          </cell>
        </row>
        <row r="322">
          <cell r="A322">
            <v>261731</v>
          </cell>
        </row>
        <row r="322">
          <cell r="C322" t="str">
            <v>酷乐</v>
          </cell>
          <cell r="D322">
            <v>10</v>
          </cell>
          <cell r="E322">
            <v>52.705</v>
          </cell>
          <cell r="F322">
            <v>41.275</v>
          </cell>
          <cell r="G322">
            <v>36.195</v>
          </cell>
        </row>
        <row r="322">
          <cell r="J322">
            <v>0.078738562280625</v>
          </cell>
        </row>
        <row r="323">
          <cell r="A323">
            <v>261732</v>
          </cell>
        </row>
        <row r="323">
          <cell r="C323" t="str">
            <v>欧诺</v>
          </cell>
          <cell r="D323">
            <v>10</v>
          </cell>
          <cell r="E323">
            <v>52.705</v>
          </cell>
          <cell r="F323">
            <v>41.275</v>
          </cell>
          <cell r="G323">
            <v>36.195</v>
          </cell>
        </row>
        <row r="323">
          <cell r="J323">
            <v>0.078738562280625</v>
          </cell>
        </row>
        <row r="324">
          <cell r="A324">
            <v>261733</v>
          </cell>
        </row>
        <row r="324">
          <cell r="C324" t="str">
            <v>安吉拉</v>
          </cell>
          <cell r="D324">
            <v>10</v>
          </cell>
          <cell r="E324">
            <v>52.705</v>
          </cell>
          <cell r="F324">
            <v>41.275</v>
          </cell>
          <cell r="G324">
            <v>36.195</v>
          </cell>
        </row>
        <row r="324">
          <cell r="J324">
            <v>0.078738562280625</v>
          </cell>
        </row>
        <row r="325">
          <cell r="A325">
            <v>261734</v>
          </cell>
        </row>
        <row r="325">
          <cell r="C325" t="str">
            <v>麦迪</v>
          </cell>
          <cell r="D325">
            <v>10</v>
          </cell>
          <cell r="E325">
            <v>52.705</v>
          </cell>
          <cell r="F325">
            <v>41.275</v>
          </cell>
          <cell r="G325">
            <v>36.195</v>
          </cell>
        </row>
        <row r="325">
          <cell r="J325">
            <v>0.078738562280625</v>
          </cell>
        </row>
        <row r="326">
          <cell r="A326">
            <v>261735</v>
          </cell>
        </row>
        <row r="326">
          <cell r="C326" t="str">
            <v>恩妮</v>
          </cell>
          <cell r="D326">
            <v>10</v>
          </cell>
          <cell r="E326">
            <v>52.705</v>
          </cell>
          <cell r="F326">
            <v>41.275</v>
          </cell>
          <cell r="G326">
            <v>36.195</v>
          </cell>
        </row>
        <row r="326">
          <cell r="J326">
            <v>0.078738562280625</v>
          </cell>
        </row>
        <row r="327">
          <cell r="A327">
            <v>261736</v>
          </cell>
        </row>
        <row r="327">
          <cell r="C327" t="str">
            <v>滨妮</v>
          </cell>
          <cell r="D327">
            <v>10</v>
          </cell>
          <cell r="E327">
            <v>52.705</v>
          </cell>
          <cell r="F327">
            <v>41.275</v>
          </cell>
          <cell r="G327">
            <v>36.195</v>
          </cell>
        </row>
        <row r="327">
          <cell r="J327">
            <v>0.078738562280625</v>
          </cell>
        </row>
        <row r="328">
          <cell r="A328">
            <v>261737</v>
          </cell>
        </row>
        <row r="328">
          <cell r="C328" t="str">
            <v>克拉</v>
          </cell>
          <cell r="D328">
            <v>10</v>
          </cell>
          <cell r="E328">
            <v>52.705</v>
          </cell>
          <cell r="F328">
            <v>41.275</v>
          </cell>
          <cell r="G328">
            <v>36.195</v>
          </cell>
        </row>
        <row r="328">
          <cell r="J328">
            <v>0.078738562280625</v>
          </cell>
        </row>
        <row r="329">
          <cell r="A329">
            <v>261740</v>
          </cell>
        </row>
        <row r="329">
          <cell r="C329" t="str">
            <v>安然</v>
          </cell>
          <cell r="D329">
            <v>10</v>
          </cell>
          <cell r="E329">
            <v>52.705</v>
          </cell>
          <cell r="F329">
            <v>41.275</v>
          </cell>
          <cell r="G329">
            <v>36.195</v>
          </cell>
        </row>
        <row r="329">
          <cell r="J329">
            <v>0.078738562280625</v>
          </cell>
        </row>
        <row r="330">
          <cell r="A330">
            <v>261741</v>
          </cell>
        </row>
        <row r="330">
          <cell r="C330" t="str">
            <v>欧曼</v>
          </cell>
          <cell r="D330">
            <v>10</v>
          </cell>
          <cell r="E330">
            <v>52.705</v>
          </cell>
          <cell r="F330">
            <v>41.275</v>
          </cell>
          <cell r="G330">
            <v>36.195</v>
          </cell>
        </row>
        <row r="330">
          <cell r="J330">
            <v>0.078738562280625</v>
          </cell>
        </row>
        <row r="331">
          <cell r="A331">
            <v>261742</v>
          </cell>
        </row>
        <row r="331">
          <cell r="C331" t="str">
            <v>吉娜</v>
          </cell>
          <cell r="D331">
            <v>10</v>
          </cell>
          <cell r="E331">
            <v>52.705</v>
          </cell>
          <cell r="F331">
            <v>41.275</v>
          </cell>
          <cell r="G331">
            <v>36.195</v>
          </cell>
        </row>
        <row r="331">
          <cell r="J331">
            <v>0.078738562280625</v>
          </cell>
        </row>
        <row r="332">
          <cell r="A332">
            <v>261743</v>
          </cell>
        </row>
        <row r="332">
          <cell r="C332" t="str">
            <v>妮塔</v>
          </cell>
          <cell r="D332">
            <v>10</v>
          </cell>
          <cell r="E332">
            <v>52.705</v>
          </cell>
          <cell r="F332">
            <v>41.275</v>
          </cell>
          <cell r="G332">
            <v>36.195</v>
          </cell>
        </row>
        <row r="332">
          <cell r="J332">
            <v>0.078738562280625</v>
          </cell>
        </row>
        <row r="333">
          <cell r="A333">
            <v>261744</v>
          </cell>
        </row>
        <row r="333">
          <cell r="C333" t="str">
            <v>恩诺</v>
          </cell>
          <cell r="D333">
            <v>10</v>
          </cell>
          <cell r="E333">
            <v>52.705</v>
          </cell>
          <cell r="F333">
            <v>41.275</v>
          </cell>
          <cell r="G333">
            <v>36.195</v>
          </cell>
        </row>
        <row r="333">
          <cell r="J333">
            <v>0.078738562280625</v>
          </cell>
        </row>
        <row r="334">
          <cell r="A334">
            <v>261745</v>
          </cell>
        </row>
        <row r="334">
          <cell r="C334" t="str">
            <v>酷咪</v>
          </cell>
          <cell r="D334">
            <v>10</v>
          </cell>
          <cell r="E334">
            <v>52.705</v>
          </cell>
          <cell r="F334">
            <v>41.275</v>
          </cell>
          <cell r="G334">
            <v>36.195</v>
          </cell>
        </row>
        <row r="334">
          <cell r="J334">
            <v>0.078738562280625</v>
          </cell>
        </row>
        <row r="335">
          <cell r="A335">
            <v>261746</v>
          </cell>
        </row>
        <row r="335">
          <cell r="C335" t="str">
            <v>酷拉</v>
          </cell>
          <cell r="D335">
            <v>10</v>
          </cell>
          <cell r="E335">
            <v>52.705</v>
          </cell>
          <cell r="F335">
            <v>41.275</v>
          </cell>
          <cell r="G335">
            <v>36.195</v>
          </cell>
        </row>
        <row r="335">
          <cell r="J335">
            <v>0.078738562280625</v>
          </cell>
        </row>
        <row r="336">
          <cell r="A336">
            <v>262791</v>
          </cell>
        </row>
        <row r="336">
          <cell r="C336" t="str">
            <v>云朵</v>
          </cell>
          <cell r="D336">
            <v>20</v>
          </cell>
          <cell r="E336">
            <v>33.655</v>
          </cell>
          <cell r="F336">
            <v>30.48</v>
          </cell>
          <cell r="G336">
            <v>29.845</v>
          </cell>
        </row>
        <row r="336">
          <cell r="J336">
            <v>0.030615132318</v>
          </cell>
        </row>
        <row r="337">
          <cell r="A337">
            <v>262792</v>
          </cell>
        </row>
        <row r="337">
          <cell r="C337" t="str">
            <v>苹果</v>
          </cell>
          <cell r="D337">
            <v>20</v>
          </cell>
          <cell r="E337">
            <v>33.655</v>
          </cell>
          <cell r="F337">
            <v>30.48</v>
          </cell>
          <cell r="G337">
            <v>29.845</v>
          </cell>
        </row>
        <row r="337">
          <cell r="J337">
            <v>0.030615132318</v>
          </cell>
        </row>
        <row r="338">
          <cell r="A338">
            <v>262793</v>
          </cell>
        </row>
        <row r="338">
          <cell r="C338" t="str">
            <v>爱心</v>
          </cell>
          <cell r="D338">
            <v>20</v>
          </cell>
          <cell r="E338">
            <v>33.655</v>
          </cell>
          <cell r="F338">
            <v>30.48</v>
          </cell>
          <cell r="G338">
            <v>29.845</v>
          </cell>
        </row>
        <row r="338">
          <cell r="J338">
            <v>0.030615132318</v>
          </cell>
        </row>
        <row r="339">
          <cell r="A339">
            <v>262794</v>
          </cell>
        </row>
        <row r="339">
          <cell r="C339" t="str">
            <v>樱花粉</v>
          </cell>
          <cell r="D339">
            <v>20</v>
          </cell>
          <cell r="E339">
            <v>33.655</v>
          </cell>
          <cell r="F339">
            <v>30.48</v>
          </cell>
          <cell r="G339">
            <v>29.845</v>
          </cell>
        </row>
        <row r="339">
          <cell r="J339">
            <v>0.030615132318</v>
          </cell>
        </row>
        <row r="340">
          <cell r="A340">
            <v>262795</v>
          </cell>
        </row>
        <row r="340">
          <cell r="C340" t="str">
            <v>芋泥紫</v>
          </cell>
          <cell r="D340">
            <v>20</v>
          </cell>
          <cell r="E340">
            <v>67.31</v>
          </cell>
          <cell r="F340">
            <v>31.115</v>
          </cell>
          <cell r="G340">
            <v>31.115</v>
          </cell>
        </row>
        <row r="340">
          <cell r="J340">
            <v>0.06516572047475</v>
          </cell>
        </row>
        <row r="341">
          <cell r="A341">
            <v>262796</v>
          </cell>
        </row>
        <row r="341">
          <cell r="C341" t="str">
            <v>薄荷绿</v>
          </cell>
          <cell r="D341">
            <v>20</v>
          </cell>
          <cell r="E341">
            <v>67.31</v>
          </cell>
          <cell r="F341">
            <v>31.115</v>
          </cell>
          <cell r="G341">
            <v>31.115</v>
          </cell>
        </row>
        <row r="341">
          <cell r="J341">
            <v>0.06516572047475</v>
          </cell>
        </row>
        <row r="342">
          <cell r="A342">
            <v>262797</v>
          </cell>
        </row>
        <row r="342">
          <cell r="C342" t="str">
            <v>芒果黄</v>
          </cell>
          <cell r="D342">
            <v>20</v>
          </cell>
          <cell r="E342">
            <v>67.31</v>
          </cell>
          <cell r="F342">
            <v>31.115</v>
          </cell>
          <cell r="G342">
            <v>31.115</v>
          </cell>
        </row>
        <row r="342">
          <cell r="J342">
            <v>0.06516572047475</v>
          </cell>
        </row>
        <row r="343">
          <cell r="A343">
            <v>268011</v>
          </cell>
        </row>
        <row r="343">
          <cell r="C343" t="str">
            <v>15"咖咖</v>
          </cell>
          <cell r="D343">
            <v>4</v>
          </cell>
          <cell r="E343">
            <v>53.34</v>
          </cell>
          <cell r="F343">
            <v>33.655</v>
          </cell>
          <cell r="G343">
            <v>34.925</v>
          </cell>
        </row>
        <row r="343">
          <cell r="J343">
            <v>0.0626958826725</v>
          </cell>
        </row>
        <row r="344">
          <cell r="A344">
            <v>268012</v>
          </cell>
        </row>
        <row r="344">
          <cell r="C344" t="str">
            <v>15"莓紫</v>
          </cell>
          <cell r="D344">
            <v>4</v>
          </cell>
          <cell r="E344">
            <v>53.34</v>
          </cell>
          <cell r="F344">
            <v>33.655</v>
          </cell>
          <cell r="G344">
            <v>34.925</v>
          </cell>
        </row>
        <row r="344">
          <cell r="J344">
            <v>0.0626958826725</v>
          </cell>
        </row>
        <row r="345">
          <cell r="A345">
            <v>264721</v>
          </cell>
        </row>
        <row r="345">
          <cell r="C345" t="str">
            <v>13.5"黄色大眼</v>
          </cell>
          <cell r="D345">
            <v>8</v>
          </cell>
          <cell r="E345">
            <v>49.53</v>
          </cell>
          <cell r="F345">
            <v>38.735</v>
          </cell>
          <cell r="G345">
            <v>30.48</v>
          </cell>
        </row>
        <row r="345">
          <cell r="J345">
            <v>0.058477237884</v>
          </cell>
        </row>
        <row r="346">
          <cell r="A346">
            <v>264722</v>
          </cell>
        </row>
        <row r="346">
          <cell r="C346" t="str">
            <v>13.5"粉色妞妞</v>
          </cell>
          <cell r="D346">
            <v>8</v>
          </cell>
          <cell r="E346">
            <v>49.53</v>
          </cell>
          <cell r="F346">
            <v>38.735</v>
          </cell>
          <cell r="G346">
            <v>30.48</v>
          </cell>
        </row>
        <row r="346">
          <cell r="J346">
            <v>0.058477237884</v>
          </cell>
        </row>
        <row r="347">
          <cell r="A347">
            <v>260781</v>
          </cell>
        </row>
        <row r="347">
          <cell r="C347" t="str">
            <v>绿紫金家族</v>
          </cell>
          <cell r="D347">
            <v>20</v>
          </cell>
          <cell r="E347">
            <v>34.925</v>
          </cell>
          <cell r="F347">
            <v>32.385</v>
          </cell>
          <cell r="G347">
            <v>32.385</v>
          </cell>
        </row>
        <row r="347">
          <cell r="J347">
            <v>0.036628928758125</v>
          </cell>
        </row>
        <row r="348">
          <cell r="A348">
            <v>260782</v>
          </cell>
        </row>
        <row r="348">
          <cell r="C348" t="str">
            <v>红黄肤家族</v>
          </cell>
          <cell r="D348">
            <v>20</v>
          </cell>
          <cell r="E348">
            <v>34.925</v>
          </cell>
          <cell r="F348">
            <v>32.385</v>
          </cell>
          <cell r="G348">
            <v>32.385</v>
          </cell>
        </row>
        <row r="348">
          <cell r="J348">
            <v>0.036628928758125</v>
          </cell>
        </row>
        <row r="349">
          <cell r="A349">
            <v>260783</v>
          </cell>
        </row>
        <row r="349">
          <cell r="C349" t="str">
            <v>绿紫肤家族</v>
          </cell>
          <cell r="D349">
            <v>20</v>
          </cell>
          <cell r="E349">
            <v>34.925</v>
          </cell>
          <cell r="F349">
            <v>32.385</v>
          </cell>
          <cell r="G349">
            <v>32.385</v>
          </cell>
        </row>
        <row r="349">
          <cell r="J349">
            <v>0.036628928758125</v>
          </cell>
        </row>
        <row r="350">
          <cell r="A350">
            <v>260784</v>
          </cell>
        </row>
        <row r="350">
          <cell r="C350" t="str">
            <v>斑点狗狗</v>
          </cell>
          <cell r="D350">
            <v>20</v>
          </cell>
          <cell r="E350">
            <v>34.925</v>
          </cell>
          <cell r="F350">
            <v>32.385</v>
          </cell>
          <cell r="G350">
            <v>32.385</v>
          </cell>
        </row>
        <row r="350">
          <cell r="J350">
            <v>0.036628928758125</v>
          </cell>
        </row>
        <row r="351">
          <cell r="A351">
            <v>268041</v>
          </cell>
        </row>
        <row r="351">
          <cell r="C351" t="str">
            <v>芭提</v>
          </cell>
          <cell r="D351">
            <v>10</v>
          </cell>
          <cell r="E351">
            <v>55.88</v>
          </cell>
          <cell r="F351">
            <v>22.86</v>
          </cell>
          <cell r="G351">
            <v>23.495</v>
          </cell>
        </row>
        <row r="351">
          <cell r="J351">
            <v>0.030012907716</v>
          </cell>
        </row>
        <row r="352">
          <cell r="A352">
            <v>268042</v>
          </cell>
        </row>
        <row r="352">
          <cell r="C352" t="str">
            <v>芭蕉</v>
          </cell>
          <cell r="D352">
            <v>10</v>
          </cell>
          <cell r="E352">
            <v>55.88</v>
          </cell>
          <cell r="F352">
            <v>22.86</v>
          </cell>
          <cell r="G352">
            <v>23.495</v>
          </cell>
        </row>
        <row r="352">
          <cell r="J352">
            <v>0.030012907716</v>
          </cell>
        </row>
        <row r="353">
          <cell r="A353">
            <v>268043</v>
          </cell>
        </row>
        <row r="353">
          <cell r="C353" t="str">
            <v>芭蒂</v>
          </cell>
          <cell r="D353">
            <v>10</v>
          </cell>
          <cell r="E353">
            <v>55.88</v>
          </cell>
          <cell r="F353">
            <v>22.86</v>
          </cell>
          <cell r="G353">
            <v>23.495</v>
          </cell>
        </row>
        <row r="353">
          <cell r="J353">
            <v>0.030012907716</v>
          </cell>
        </row>
        <row r="354">
          <cell r="A354">
            <v>268044</v>
          </cell>
        </row>
        <row r="354">
          <cell r="C354" t="str">
            <v>芭乐</v>
          </cell>
          <cell r="D354">
            <v>10</v>
          </cell>
          <cell r="E354">
            <v>55.88</v>
          </cell>
          <cell r="F354">
            <v>22.86</v>
          </cell>
          <cell r="G354">
            <v>23.495</v>
          </cell>
        </row>
        <row r="354">
          <cell r="J354">
            <v>0.030012907716</v>
          </cell>
        </row>
        <row r="355">
          <cell r="A355">
            <v>268045</v>
          </cell>
        </row>
        <row r="355">
          <cell r="C355" t="str">
            <v>芭布</v>
          </cell>
          <cell r="D355">
            <v>10</v>
          </cell>
          <cell r="E355">
            <v>55.88</v>
          </cell>
          <cell r="F355">
            <v>22.86</v>
          </cell>
          <cell r="G355">
            <v>23.495</v>
          </cell>
        </row>
        <row r="355">
          <cell r="J355">
            <v>0.030012907716</v>
          </cell>
        </row>
        <row r="356">
          <cell r="A356">
            <v>260771</v>
          </cell>
        </row>
        <row r="356">
          <cell r="C356" t="str">
            <v>小花</v>
          </cell>
          <cell r="D356">
            <v>20</v>
          </cell>
          <cell r="E356">
            <v>40.005</v>
          </cell>
          <cell r="F356">
            <v>26.67</v>
          </cell>
          <cell r="G356">
            <v>20.955</v>
          </cell>
        </row>
        <row r="356">
          <cell r="J356">
            <v>0.02235758834925</v>
          </cell>
        </row>
        <row r="357">
          <cell r="A357">
            <v>260772</v>
          </cell>
        </row>
        <row r="357">
          <cell r="C357" t="str">
            <v>小白</v>
          </cell>
          <cell r="D357">
            <v>20</v>
          </cell>
          <cell r="E357">
            <v>40.005</v>
          </cell>
          <cell r="F357">
            <v>26.67</v>
          </cell>
          <cell r="G357">
            <v>20.955</v>
          </cell>
        </row>
        <row r="357">
          <cell r="J357">
            <v>0.02235758834925</v>
          </cell>
        </row>
        <row r="358">
          <cell r="A358">
            <v>260773</v>
          </cell>
        </row>
        <row r="358">
          <cell r="C358" t="str">
            <v>小紫</v>
          </cell>
          <cell r="D358">
            <v>20</v>
          </cell>
          <cell r="E358">
            <v>40.005</v>
          </cell>
          <cell r="F358">
            <v>26.67</v>
          </cell>
          <cell r="G358">
            <v>20.955</v>
          </cell>
        </row>
        <row r="358">
          <cell r="J358">
            <v>0.02235758834925</v>
          </cell>
        </row>
        <row r="359">
          <cell r="A359">
            <v>260774</v>
          </cell>
        </row>
        <row r="359">
          <cell r="C359" t="str">
            <v>小兰</v>
          </cell>
          <cell r="D359">
            <v>20</v>
          </cell>
          <cell r="E359">
            <v>40.005</v>
          </cell>
          <cell r="F359">
            <v>26.67</v>
          </cell>
          <cell r="G359">
            <v>20.955</v>
          </cell>
        </row>
        <row r="359">
          <cell r="J359">
            <v>0.02235758834925</v>
          </cell>
        </row>
        <row r="360">
          <cell r="A360">
            <v>260775</v>
          </cell>
        </row>
        <row r="360">
          <cell r="C360" t="str">
            <v>小红</v>
          </cell>
          <cell r="D360">
            <v>20</v>
          </cell>
          <cell r="E360">
            <v>40.005</v>
          </cell>
          <cell r="F360">
            <v>26.67</v>
          </cell>
          <cell r="G360">
            <v>20.955</v>
          </cell>
        </row>
        <row r="360">
          <cell r="J360">
            <v>0.02235758834925</v>
          </cell>
        </row>
        <row r="361">
          <cell r="A361">
            <v>260776</v>
          </cell>
        </row>
        <row r="361">
          <cell r="C361" t="str">
            <v>小灰</v>
          </cell>
          <cell r="D361">
            <v>20</v>
          </cell>
          <cell r="E361">
            <v>40.005</v>
          </cell>
          <cell r="F361">
            <v>26.67</v>
          </cell>
          <cell r="G361">
            <v>20.955</v>
          </cell>
        </row>
        <row r="361">
          <cell r="J361">
            <v>0.02235758834925</v>
          </cell>
        </row>
        <row r="362">
          <cell r="A362">
            <v>260777</v>
          </cell>
        </row>
        <row r="362">
          <cell r="C362" t="str">
            <v>小咖</v>
          </cell>
          <cell r="D362">
            <v>20</v>
          </cell>
          <cell r="E362">
            <v>40.005</v>
          </cell>
          <cell r="F362">
            <v>26.67</v>
          </cell>
          <cell r="G362">
            <v>20.955</v>
          </cell>
        </row>
        <row r="362">
          <cell r="J362">
            <v>0.02235758834925</v>
          </cell>
        </row>
        <row r="363">
          <cell r="A363">
            <v>260778</v>
          </cell>
        </row>
        <row r="363">
          <cell r="C363" t="str">
            <v>小樱</v>
          </cell>
          <cell r="D363">
            <v>20</v>
          </cell>
          <cell r="E363">
            <v>40.005</v>
          </cell>
          <cell r="F363">
            <v>26.67</v>
          </cell>
          <cell r="G363">
            <v>20.955</v>
          </cell>
        </row>
        <row r="363">
          <cell r="J363">
            <v>0.02235758834925</v>
          </cell>
        </row>
        <row r="364">
          <cell r="A364">
            <v>261051</v>
          </cell>
        </row>
        <row r="364">
          <cell r="C364" t="str">
            <v>柠柠</v>
          </cell>
          <cell r="D364">
            <v>20</v>
          </cell>
          <cell r="E364">
            <v>33.02</v>
          </cell>
          <cell r="F364">
            <v>20.32</v>
          </cell>
          <cell r="G364">
            <v>17.78</v>
          </cell>
        </row>
        <row r="364">
          <cell r="J364">
            <v>0.011929782592</v>
          </cell>
        </row>
        <row r="365">
          <cell r="A365">
            <v>261052</v>
          </cell>
        </row>
        <row r="365">
          <cell r="C365" t="str">
            <v>橙橙</v>
          </cell>
          <cell r="D365">
            <v>20</v>
          </cell>
          <cell r="E365">
            <v>33.02</v>
          </cell>
          <cell r="F365">
            <v>20.32</v>
          </cell>
          <cell r="G365">
            <v>17.78</v>
          </cell>
        </row>
        <row r="365">
          <cell r="J365">
            <v>0.011929782592</v>
          </cell>
        </row>
        <row r="366">
          <cell r="A366">
            <v>261053</v>
          </cell>
        </row>
        <row r="366">
          <cell r="C366" t="str">
            <v>兰兰</v>
          </cell>
          <cell r="D366">
            <v>20</v>
          </cell>
          <cell r="E366">
            <v>33.02</v>
          </cell>
          <cell r="F366">
            <v>20.32</v>
          </cell>
          <cell r="G366">
            <v>17.78</v>
          </cell>
        </row>
        <row r="366">
          <cell r="J366">
            <v>0.011929782592</v>
          </cell>
        </row>
        <row r="367">
          <cell r="A367">
            <v>261054</v>
          </cell>
        </row>
        <row r="367">
          <cell r="C367" t="str">
            <v>桃桃</v>
          </cell>
          <cell r="D367">
            <v>20</v>
          </cell>
          <cell r="E367">
            <v>33.02</v>
          </cell>
          <cell r="F367">
            <v>20.32</v>
          </cell>
          <cell r="G367">
            <v>17.78</v>
          </cell>
        </row>
        <row r="367">
          <cell r="J367">
            <v>0.011929782592</v>
          </cell>
        </row>
        <row r="368">
          <cell r="A368">
            <v>261055</v>
          </cell>
        </row>
        <row r="368">
          <cell r="C368" t="str">
            <v>紫紫</v>
          </cell>
          <cell r="D368">
            <v>20</v>
          </cell>
          <cell r="E368">
            <v>33.02</v>
          </cell>
          <cell r="F368">
            <v>20.32</v>
          </cell>
          <cell r="G368">
            <v>17.78</v>
          </cell>
        </row>
        <row r="368">
          <cell r="J368">
            <v>0.011929782592</v>
          </cell>
        </row>
        <row r="369">
          <cell r="A369">
            <v>261056</v>
          </cell>
        </row>
        <row r="369">
          <cell r="C369" t="str">
            <v>青青</v>
          </cell>
          <cell r="D369">
            <v>20</v>
          </cell>
          <cell r="E369">
            <v>33.02</v>
          </cell>
          <cell r="F369">
            <v>20.32</v>
          </cell>
          <cell r="G369">
            <v>17.78</v>
          </cell>
        </row>
        <row r="369">
          <cell r="J369">
            <v>0.011929782592</v>
          </cell>
        </row>
        <row r="370">
          <cell r="A370">
            <v>261057</v>
          </cell>
        </row>
        <row r="370">
          <cell r="C370" t="str">
            <v>樱樱</v>
          </cell>
          <cell r="D370">
            <v>20</v>
          </cell>
          <cell r="E370">
            <v>33.02</v>
          </cell>
          <cell r="F370">
            <v>20.32</v>
          </cell>
          <cell r="G370">
            <v>17.78</v>
          </cell>
        </row>
        <row r="370">
          <cell r="J370">
            <v>0.011929782592</v>
          </cell>
        </row>
        <row r="371">
          <cell r="A371">
            <v>261058</v>
          </cell>
        </row>
        <row r="371">
          <cell r="C371" t="str">
            <v>莓莓</v>
          </cell>
          <cell r="D371">
            <v>20</v>
          </cell>
          <cell r="E371">
            <v>33.02</v>
          </cell>
          <cell r="F371">
            <v>20.32</v>
          </cell>
          <cell r="G371">
            <v>17.78</v>
          </cell>
        </row>
        <row r="371">
          <cell r="J371">
            <v>0.011929782592</v>
          </cell>
        </row>
        <row r="372">
          <cell r="A372">
            <v>261071</v>
          </cell>
        </row>
        <row r="372">
          <cell r="C372" t="str">
            <v>粉黄水晶狗</v>
          </cell>
          <cell r="D372">
            <v>20</v>
          </cell>
          <cell r="E372">
            <v>32.385</v>
          </cell>
          <cell r="F372">
            <v>22.86</v>
          </cell>
          <cell r="G372">
            <v>17.145</v>
          </cell>
        </row>
        <row r="372">
          <cell r="J372">
            <v>0.0126928052595</v>
          </cell>
        </row>
        <row r="373">
          <cell r="A373">
            <v>261072</v>
          </cell>
        </row>
        <row r="373">
          <cell r="C373" t="str">
            <v>蓝粉水晶狗</v>
          </cell>
          <cell r="D373">
            <v>20</v>
          </cell>
          <cell r="E373">
            <v>32.385</v>
          </cell>
          <cell r="F373">
            <v>22.86</v>
          </cell>
          <cell r="G373">
            <v>17.145</v>
          </cell>
        </row>
        <row r="373">
          <cell r="J373">
            <v>0.0126928052595</v>
          </cell>
        </row>
        <row r="374">
          <cell r="A374">
            <v>261073</v>
          </cell>
        </row>
        <row r="374">
          <cell r="C374" t="str">
            <v>橙绿水晶狗</v>
          </cell>
          <cell r="D374">
            <v>20</v>
          </cell>
          <cell r="E374">
            <v>32.385</v>
          </cell>
          <cell r="F374">
            <v>22.86</v>
          </cell>
          <cell r="G374">
            <v>17.145</v>
          </cell>
        </row>
        <row r="374">
          <cell r="J374">
            <v>0.0126928052595</v>
          </cell>
        </row>
        <row r="375">
          <cell r="A375">
            <v>261074</v>
          </cell>
        </row>
        <row r="375">
          <cell r="C375" t="str">
            <v>粉紫水晶狗</v>
          </cell>
          <cell r="D375">
            <v>20</v>
          </cell>
          <cell r="E375">
            <v>32.385</v>
          </cell>
          <cell r="F375">
            <v>22.86</v>
          </cell>
          <cell r="G375">
            <v>17.145</v>
          </cell>
        </row>
        <row r="375">
          <cell r="J375">
            <v>0.0126928052595</v>
          </cell>
        </row>
        <row r="376">
          <cell r="A376">
            <v>261075</v>
          </cell>
        </row>
        <row r="376">
          <cell r="C376" t="str">
            <v>绿水晶狗</v>
          </cell>
          <cell r="D376">
            <v>20</v>
          </cell>
          <cell r="E376">
            <v>32.385</v>
          </cell>
          <cell r="F376">
            <v>22.86</v>
          </cell>
          <cell r="G376">
            <v>17.145</v>
          </cell>
        </row>
        <row r="376">
          <cell r="J376">
            <v>0.0126928052595</v>
          </cell>
        </row>
        <row r="377">
          <cell r="A377">
            <v>261076</v>
          </cell>
        </row>
        <row r="377">
          <cell r="C377" t="str">
            <v>黑白水晶狗</v>
          </cell>
          <cell r="D377">
            <v>20</v>
          </cell>
          <cell r="E377">
            <v>32.385</v>
          </cell>
          <cell r="F377">
            <v>22.86</v>
          </cell>
          <cell r="G377">
            <v>17.145</v>
          </cell>
        </row>
        <row r="377">
          <cell r="J377">
            <v>0.0126928052595</v>
          </cell>
        </row>
        <row r="378">
          <cell r="A378">
            <v>261077</v>
          </cell>
        </row>
        <row r="378">
          <cell r="C378" t="str">
            <v>红绿水晶狗</v>
          </cell>
          <cell r="D378">
            <v>20</v>
          </cell>
          <cell r="E378">
            <v>32.385</v>
          </cell>
          <cell r="F378">
            <v>22.86</v>
          </cell>
          <cell r="G378">
            <v>17.145</v>
          </cell>
        </row>
        <row r="378">
          <cell r="J378">
            <v>0.0126928052595</v>
          </cell>
        </row>
        <row r="379">
          <cell r="A379">
            <v>261078</v>
          </cell>
        </row>
        <row r="379">
          <cell r="C379" t="str">
            <v>粉蓝水晶狗</v>
          </cell>
          <cell r="D379">
            <v>20</v>
          </cell>
          <cell r="E379">
            <v>32.385</v>
          </cell>
          <cell r="F379">
            <v>22.86</v>
          </cell>
          <cell r="G379">
            <v>17.145</v>
          </cell>
        </row>
        <row r="379">
          <cell r="J379">
            <v>0.0126928052595</v>
          </cell>
        </row>
        <row r="380">
          <cell r="A380">
            <v>261079</v>
          </cell>
        </row>
        <row r="380">
          <cell r="C380" t="str">
            <v>蓝白水晶狗</v>
          </cell>
          <cell r="D380">
            <v>20</v>
          </cell>
          <cell r="E380">
            <v>32.385</v>
          </cell>
          <cell r="F380">
            <v>22.86</v>
          </cell>
          <cell r="G380">
            <v>17.145</v>
          </cell>
        </row>
        <row r="380">
          <cell r="J380">
            <v>0.0126928052595</v>
          </cell>
        </row>
        <row r="381">
          <cell r="A381">
            <v>261080</v>
          </cell>
        </row>
        <row r="381">
          <cell r="C381" t="str">
            <v>橙红水晶狗</v>
          </cell>
          <cell r="D381">
            <v>20</v>
          </cell>
          <cell r="E381">
            <v>32.385</v>
          </cell>
          <cell r="F381">
            <v>22.86</v>
          </cell>
          <cell r="G381">
            <v>17.145</v>
          </cell>
        </row>
        <row r="381">
          <cell r="J381">
            <v>0.0126928052595</v>
          </cell>
        </row>
        <row r="382">
          <cell r="A382">
            <v>261081</v>
          </cell>
        </row>
        <row r="382">
          <cell r="C382" t="str">
            <v>蓝紫水晶狗</v>
          </cell>
          <cell r="D382">
            <v>20</v>
          </cell>
          <cell r="E382">
            <v>32.385</v>
          </cell>
          <cell r="F382">
            <v>22.86</v>
          </cell>
          <cell r="G382">
            <v>17.145</v>
          </cell>
        </row>
        <row r="382">
          <cell r="J382">
            <v>0.0126928052595</v>
          </cell>
        </row>
        <row r="383">
          <cell r="A383">
            <v>261082</v>
          </cell>
        </row>
        <row r="383">
          <cell r="C383" t="str">
            <v>黄水晶狗</v>
          </cell>
          <cell r="D383">
            <v>20</v>
          </cell>
          <cell r="E383">
            <v>32.385</v>
          </cell>
          <cell r="F383">
            <v>22.86</v>
          </cell>
          <cell r="G383">
            <v>17.145</v>
          </cell>
        </row>
        <row r="383">
          <cell r="J383">
            <v>0.0126928052595</v>
          </cell>
        </row>
        <row r="384">
          <cell r="A384">
            <v>263711</v>
          </cell>
        </row>
        <row r="384">
          <cell r="C384" t="str">
            <v>大眼妹</v>
          </cell>
          <cell r="D384">
            <v>4</v>
          </cell>
          <cell r="E384">
            <v>60.96</v>
          </cell>
          <cell r="F384">
            <v>35.56</v>
          </cell>
          <cell r="G384">
            <v>36.195</v>
          </cell>
        </row>
        <row r="384">
          <cell r="J384">
            <v>0.078461262432</v>
          </cell>
        </row>
        <row r="385">
          <cell r="A385">
            <v>263712</v>
          </cell>
        </row>
        <row r="385">
          <cell r="C385" t="str">
            <v>皮皮</v>
          </cell>
          <cell r="D385">
            <v>4</v>
          </cell>
          <cell r="E385">
            <v>60.96</v>
          </cell>
          <cell r="F385">
            <v>35.56</v>
          </cell>
          <cell r="G385">
            <v>36.195</v>
          </cell>
        </row>
        <row r="385">
          <cell r="J385">
            <v>0.078461262432</v>
          </cell>
        </row>
        <row r="386">
          <cell r="A386">
            <v>263713</v>
          </cell>
        </row>
        <row r="386">
          <cell r="C386" t="str">
            <v>爱心抱枕</v>
          </cell>
          <cell r="D386">
            <v>4</v>
          </cell>
          <cell r="E386">
            <v>60.96</v>
          </cell>
          <cell r="F386">
            <v>35.56</v>
          </cell>
          <cell r="G386">
            <v>36.195</v>
          </cell>
        </row>
        <row r="386">
          <cell r="J386">
            <v>0.078461262432</v>
          </cell>
        </row>
        <row r="387">
          <cell r="A387">
            <v>263714</v>
          </cell>
        </row>
        <row r="387">
          <cell r="C387" t="str">
            <v>彩发粉爱心</v>
          </cell>
          <cell r="D387">
            <v>4</v>
          </cell>
          <cell r="E387">
            <v>60.96</v>
          </cell>
          <cell r="F387">
            <v>35.56</v>
          </cell>
          <cell r="G387">
            <v>36.195</v>
          </cell>
        </row>
        <row r="387">
          <cell r="J387">
            <v>0.078461262432</v>
          </cell>
        </row>
        <row r="388">
          <cell r="A388">
            <v>263715</v>
          </cell>
        </row>
        <row r="388">
          <cell r="C388" t="str">
            <v>彩发黄爱心</v>
          </cell>
          <cell r="D388">
            <v>4</v>
          </cell>
          <cell r="E388">
            <v>60.96</v>
          </cell>
          <cell r="F388">
            <v>35.56</v>
          </cell>
          <cell r="G388">
            <v>36.195</v>
          </cell>
        </row>
        <row r="388">
          <cell r="J388">
            <v>0.078461262432</v>
          </cell>
        </row>
        <row r="389">
          <cell r="A389">
            <v>263717</v>
          </cell>
        </row>
        <row r="389">
          <cell r="C389" t="str">
            <v>米色皮皮妹</v>
          </cell>
          <cell r="D389">
            <v>4</v>
          </cell>
          <cell r="E389">
            <v>60.96</v>
          </cell>
          <cell r="F389">
            <v>35.56</v>
          </cell>
          <cell r="G389">
            <v>36.195</v>
          </cell>
        </row>
        <row r="389">
          <cell r="J389">
            <v>0.078461262432</v>
          </cell>
        </row>
        <row r="390">
          <cell r="A390">
            <v>263718</v>
          </cell>
        </row>
        <row r="390">
          <cell r="C390" t="str">
            <v>浅紫色大眼妹</v>
          </cell>
          <cell r="D390">
            <v>4</v>
          </cell>
          <cell r="E390">
            <v>60.96</v>
          </cell>
          <cell r="F390">
            <v>35.56</v>
          </cell>
          <cell r="G390">
            <v>36.195</v>
          </cell>
        </row>
        <row r="390">
          <cell r="J390">
            <v>0.078461262432</v>
          </cell>
        </row>
        <row r="391">
          <cell r="A391">
            <v>263719</v>
          </cell>
        </row>
        <row r="391">
          <cell r="C391" t="str">
            <v>深紫色大眼妹</v>
          </cell>
          <cell r="D391">
            <v>4</v>
          </cell>
          <cell r="E391">
            <v>60.96</v>
          </cell>
          <cell r="F391">
            <v>35.56</v>
          </cell>
          <cell r="G391">
            <v>36.195</v>
          </cell>
        </row>
        <row r="391">
          <cell r="J391">
            <v>0.078461262432</v>
          </cell>
        </row>
        <row r="392">
          <cell r="A392">
            <v>263716</v>
          </cell>
        </row>
        <row r="392">
          <cell r="C392" t="str">
            <v>南瓜</v>
          </cell>
          <cell r="D392">
            <v>4</v>
          </cell>
          <cell r="E392">
            <v>64.77</v>
          </cell>
          <cell r="F392">
            <v>29.21</v>
          </cell>
          <cell r="G392">
            <v>30.48</v>
          </cell>
        </row>
        <row r="392">
          <cell r="J392">
            <v>0.057666078216</v>
          </cell>
        </row>
        <row r="393">
          <cell r="A393">
            <v>268031</v>
          </cell>
        </row>
        <row r="393">
          <cell r="C393" t="str">
            <v>彩云咩咩</v>
          </cell>
          <cell r="D393">
            <v>4</v>
          </cell>
          <cell r="E393">
            <v>43.815</v>
          </cell>
          <cell r="F393">
            <v>27.94</v>
          </cell>
          <cell r="G393">
            <v>24.765</v>
          </cell>
        </row>
        <row r="393">
          <cell r="J393">
            <v>0.0303170925915</v>
          </cell>
        </row>
        <row r="394">
          <cell r="A394">
            <v>268032</v>
          </cell>
        </row>
        <row r="394">
          <cell r="C394" t="str">
            <v>黑云咩咩</v>
          </cell>
          <cell r="D394">
            <v>4</v>
          </cell>
          <cell r="E394">
            <v>43.815</v>
          </cell>
          <cell r="F394">
            <v>27.94</v>
          </cell>
          <cell r="G394">
            <v>24.765</v>
          </cell>
        </row>
        <row r="394">
          <cell r="J394">
            <v>0.0303170925915</v>
          </cell>
        </row>
        <row r="395">
          <cell r="A395">
            <v>268033</v>
          </cell>
        </row>
        <row r="395">
          <cell r="C395" t="str">
            <v>霓虹咪咪</v>
          </cell>
          <cell r="D395">
            <v>4</v>
          </cell>
          <cell r="E395">
            <v>43.815</v>
          </cell>
          <cell r="F395">
            <v>27.94</v>
          </cell>
          <cell r="G395">
            <v>24.765</v>
          </cell>
        </row>
        <row r="395">
          <cell r="J395">
            <v>0.0303170925915</v>
          </cell>
        </row>
        <row r="396">
          <cell r="A396">
            <v>268034</v>
          </cell>
        </row>
        <row r="396">
          <cell r="C396" t="str">
            <v>青空羊咪咪</v>
          </cell>
          <cell r="D396">
            <v>4</v>
          </cell>
          <cell r="E396">
            <v>43.815</v>
          </cell>
          <cell r="F396">
            <v>27.94</v>
          </cell>
          <cell r="G396">
            <v>24.765</v>
          </cell>
        </row>
        <row r="396">
          <cell r="J396">
            <v>0.0303170925915</v>
          </cell>
        </row>
        <row r="397">
          <cell r="A397">
            <v>268035</v>
          </cell>
        </row>
        <row r="397">
          <cell r="C397" t="str">
            <v>红桃咪咪</v>
          </cell>
          <cell r="D397">
            <v>4</v>
          </cell>
          <cell r="E397">
            <v>43.815</v>
          </cell>
          <cell r="F397">
            <v>27.94</v>
          </cell>
          <cell r="G397">
            <v>24.765</v>
          </cell>
        </row>
        <row r="397">
          <cell r="J397">
            <v>0.0303170925915</v>
          </cell>
        </row>
        <row r="398">
          <cell r="A398">
            <v>268036</v>
          </cell>
        </row>
        <row r="398">
          <cell r="C398" t="str">
            <v>焦糖咪咪</v>
          </cell>
          <cell r="D398">
            <v>4</v>
          </cell>
          <cell r="E398">
            <v>43.815</v>
          </cell>
          <cell r="F398">
            <v>27.94</v>
          </cell>
          <cell r="G398">
            <v>24.765</v>
          </cell>
        </row>
        <row r="398">
          <cell r="J398">
            <v>0.0303170925915</v>
          </cell>
        </row>
        <row r="399">
          <cell r="A399">
            <v>268037</v>
          </cell>
        </row>
        <row r="399">
          <cell r="C399" t="str">
            <v>芋泥羊咪咪</v>
          </cell>
          <cell r="D399">
            <v>4</v>
          </cell>
          <cell r="E399">
            <v>43.815</v>
          </cell>
          <cell r="F399">
            <v>27.94</v>
          </cell>
          <cell r="G399">
            <v>24.765</v>
          </cell>
        </row>
        <row r="399">
          <cell r="J399">
            <v>0.0303170925915</v>
          </cell>
        </row>
        <row r="400">
          <cell r="A400">
            <v>268038</v>
          </cell>
        </row>
        <row r="400">
          <cell r="C400" t="str">
            <v>紫霞咩咩</v>
          </cell>
          <cell r="D400">
            <v>4</v>
          </cell>
          <cell r="E400">
            <v>43.815</v>
          </cell>
          <cell r="F400">
            <v>27.94</v>
          </cell>
          <cell r="G400">
            <v>24.765</v>
          </cell>
        </row>
        <row r="400">
          <cell r="J400">
            <v>0.0303170925915</v>
          </cell>
        </row>
        <row r="401">
          <cell r="A401">
            <v>265741</v>
          </cell>
        </row>
        <row r="401">
          <cell r="C401" t="str">
            <v>生气</v>
          </cell>
          <cell r="D401">
            <v>40</v>
          </cell>
          <cell r="E401">
            <v>40.64</v>
          </cell>
          <cell r="F401">
            <v>21.59</v>
          </cell>
          <cell r="G401">
            <v>22.225</v>
          </cell>
        </row>
        <row r="401">
          <cell r="J401">
            <v>0.01950060616</v>
          </cell>
        </row>
        <row r="402">
          <cell r="A402">
            <v>265742</v>
          </cell>
        </row>
        <row r="402">
          <cell r="C402" t="str">
            <v>开心</v>
          </cell>
          <cell r="D402">
            <v>40</v>
          </cell>
          <cell r="E402">
            <v>40.64</v>
          </cell>
          <cell r="F402">
            <v>21.59</v>
          </cell>
          <cell r="G402">
            <v>22.225</v>
          </cell>
        </row>
        <row r="402">
          <cell r="J402">
            <v>0.01950060616</v>
          </cell>
        </row>
        <row r="403">
          <cell r="A403">
            <v>265743</v>
          </cell>
        </row>
        <row r="403">
          <cell r="C403" t="str">
            <v>委屈</v>
          </cell>
          <cell r="D403">
            <v>40</v>
          </cell>
          <cell r="E403">
            <v>40.64</v>
          </cell>
          <cell r="F403">
            <v>21.59</v>
          </cell>
          <cell r="G403">
            <v>22.225</v>
          </cell>
        </row>
        <row r="403">
          <cell r="J403">
            <v>0.01950060616</v>
          </cell>
        </row>
        <row r="404">
          <cell r="A404">
            <v>265744</v>
          </cell>
        </row>
        <row r="404">
          <cell r="C404" t="str">
            <v>睡觉</v>
          </cell>
          <cell r="D404">
            <v>40</v>
          </cell>
          <cell r="E404">
            <v>40.64</v>
          </cell>
          <cell r="F404">
            <v>21.59</v>
          </cell>
          <cell r="G404">
            <v>22.225</v>
          </cell>
        </row>
        <row r="404">
          <cell r="J404">
            <v>0.01950060616</v>
          </cell>
        </row>
        <row r="405">
          <cell r="A405">
            <v>265745</v>
          </cell>
        </row>
        <row r="405">
          <cell r="C405" t="str">
            <v>惊讶</v>
          </cell>
          <cell r="D405">
            <v>40</v>
          </cell>
          <cell r="E405">
            <v>40.64</v>
          </cell>
          <cell r="F405">
            <v>21.59</v>
          </cell>
          <cell r="G405">
            <v>22.225</v>
          </cell>
        </row>
        <row r="405">
          <cell r="J405">
            <v>0.01950060616</v>
          </cell>
        </row>
        <row r="406">
          <cell r="A406">
            <v>265746</v>
          </cell>
        </row>
        <row r="406">
          <cell r="C406" t="str">
            <v>吐舌</v>
          </cell>
          <cell r="D406">
            <v>40</v>
          </cell>
          <cell r="E406">
            <v>40.64</v>
          </cell>
          <cell r="F406">
            <v>21.59</v>
          </cell>
          <cell r="G406">
            <v>22.225</v>
          </cell>
        </row>
        <row r="406">
          <cell r="J406">
            <v>0.01950060616</v>
          </cell>
        </row>
        <row r="407">
          <cell r="A407">
            <v>265747</v>
          </cell>
        </row>
        <row r="407">
          <cell r="C407" t="str">
            <v>微笑</v>
          </cell>
          <cell r="D407">
            <v>40</v>
          </cell>
          <cell r="E407">
            <v>40.64</v>
          </cell>
          <cell r="F407">
            <v>21.59</v>
          </cell>
          <cell r="G407">
            <v>22.225</v>
          </cell>
        </row>
        <row r="407">
          <cell r="J407">
            <v>0.01950060616</v>
          </cell>
        </row>
        <row r="408">
          <cell r="A408">
            <v>265748</v>
          </cell>
        </row>
        <row r="408">
          <cell r="C408" t="str">
            <v>流泪</v>
          </cell>
          <cell r="D408">
            <v>40</v>
          </cell>
          <cell r="E408">
            <v>40.64</v>
          </cell>
          <cell r="F408">
            <v>21.59</v>
          </cell>
          <cell r="G408">
            <v>22.225</v>
          </cell>
        </row>
        <row r="408">
          <cell r="J408">
            <v>0.01950060616</v>
          </cell>
        </row>
        <row r="409">
          <cell r="A409">
            <v>265749</v>
          </cell>
        </row>
        <row r="409">
          <cell r="C409" t="str">
            <v>害羞</v>
          </cell>
          <cell r="D409">
            <v>40</v>
          </cell>
          <cell r="E409">
            <v>40.64</v>
          </cell>
          <cell r="F409">
            <v>21.59</v>
          </cell>
          <cell r="G409">
            <v>22.225</v>
          </cell>
        </row>
        <row r="409">
          <cell r="J409">
            <v>0.01950060616</v>
          </cell>
        </row>
        <row r="410">
          <cell r="A410">
            <v>265750</v>
          </cell>
        </row>
        <row r="410">
          <cell r="C410" t="str">
            <v>咪咪</v>
          </cell>
          <cell r="D410">
            <v>40</v>
          </cell>
          <cell r="E410">
            <v>43.815</v>
          </cell>
          <cell r="F410">
            <v>34.925</v>
          </cell>
          <cell r="G410">
            <v>33.02</v>
          </cell>
        </row>
        <row r="410">
          <cell r="J410">
            <v>0.0505284876525</v>
          </cell>
        </row>
        <row r="411">
          <cell r="A411">
            <v>265752</v>
          </cell>
        </row>
        <row r="411">
          <cell r="C411" t="str">
            <v>黄色大头妹</v>
          </cell>
          <cell r="D411">
            <v>40</v>
          </cell>
          <cell r="E411">
            <v>43.815</v>
          </cell>
          <cell r="F411">
            <v>34.925</v>
          </cell>
          <cell r="G411">
            <v>33.02</v>
          </cell>
        </row>
        <row r="411">
          <cell r="J411">
            <v>0.0505284876525</v>
          </cell>
        </row>
        <row r="412">
          <cell r="A412">
            <v>265753</v>
          </cell>
        </row>
        <row r="412">
          <cell r="C412" t="str">
            <v>紫色大头妹</v>
          </cell>
          <cell r="D412">
            <v>40</v>
          </cell>
          <cell r="E412">
            <v>43.815</v>
          </cell>
          <cell r="F412">
            <v>34.925</v>
          </cell>
          <cell r="G412">
            <v>33.02</v>
          </cell>
        </row>
        <row r="412">
          <cell r="J412">
            <v>0.0505284876525</v>
          </cell>
        </row>
        <row r="413">
          <cell r="A413">
            <v>265754</v>
          </cell>
        </row>
        <row r="413">
          <cell r="C413" t="str">
            <v>紫牛</v>
          </cell>
          <cell r="D413">
            <v>40</v>
          </cell>
          <cell r="E413">
            <v>43.815</v>
          </cell>
          <cell r="F413">
            <v>34.925</v>
          </cell>
          <cell r="G413">
            <v>33.02</v>
          </cell>
        </row>
        <row r="413">
          <cell r="J413">
            <v>0.0505284876525</v>
          </cell>
        </row>
        <row r="414">
          <cell r="A414">
            <v>265755</v>
          </cell>
        </row>
        <row r="414">
          <cell r="C414" t="str">
            <v>青蛙</v>
          </cell>
          <cell r="D414">
            <v>40</v>
          </cell>
          <cell r="E414">
            <v>43.815</v>
          </cell>
          <cell r="F414">
            <v>34.925</v>
          </cell>
          <cell r="G414">
            <v>33.02</v>
          </cell>
        </row>
        <row r="414">
          <cell r="J414">
            <v>0.0505284876525</v>
          </cell>
        </row>
        <row r="415">
          <cell r="A415">
            <v>267751</v>
          </cell>
        </row>
        <row r="415">
          <cell r="C415" t="str">
            <v>粉黄小鸭</v>
          </cell>
          <cell r="D415">
            <v>20</v>
          </cell>
          <cell r="E415">
            <v>41.91</v>
          </cell>
          <cell r="F415">
            <v>17.78</v>
          </cell>
          <cell r="G415">
            <v>25.4</v>
          </cell>
        </row>
        <row r="415">
          <cell r="J415">
            <v>0.01892705892</v>
          </cell>
        </row>
        <row r="416">
          <cell r="A416">
            <v>267752</v>
          </cell>
        </row>
        <row r="416">
          <cell r="C416" t="str">
            <v>爱心鸭</v>
          </cell>
          <cell r="D416">
            <v>20</v>
          </cell>
          <cell r="E416">
            <v>41.91</v>
          </cell>
          <cell r="F416">
            <v>17.78</v>
          </cell>
          <cell r="G416">
            <v>25.4</v>
          </cell>
        </row>
        <row r="416">
          <cell r="J416">
            <v>0.01892705892</v>
          </cell>
        </row>
        <row r="417">
          <cell r="A417">
            <v>267753</v>
          </cell>
        </row>
        <row r="417">
          <cell r="C417" t="str">
            <v>绿小鸭</v>
          </cell>
          <cell r="D417">
            <v>20</v>
          </cell>
          <cell r="E417">
            <v>41.91</v>
          </cell>
          <cell r="F417">
            <v>17.78</v>
          </cell>
          <cell r="G417">
            <v>25.4</v>
          </cell>
        </row>
        <row r="417">
          <cell r="J417">
            <v>0.01892705892</v>
          </cell>
        </row>
        <row r="418">
          <cell r="A418">
            <v>267754</v>
          </cell>
        </row>
        <row r="418">
          <cell r="C418" t="str">
            <v>紫黄小鸭</v>
          </cell>
          <cell r="D418">
            <v>20</v>
          </cell>
          <cell r="E418">
            <v>41.91</v>
          </cell>
          <cell r="F418">
            <v>17.78</v>
          </cell>
          <cell r="G418">
            <v>25.4</v>
          </cell>
        </row>
        <row r="418">
          <cell r="J418">
            <v>0.01892705892</v>
          </cell>
        </row>
        <row r="419">
          <cell r="A419">
            <v>267755</v>
          </cell>
        </row>
        <row r="419">
          <cell r="C419" t="str">
            <v>胖绿小鸭</v>
          </cell>
          <cell r="D419">
            <v>20</v>
          </cell>
          <cell r="E419">
            <v>41.91</v>
          </cell>
          <cell r="F419">
            <v>17.78</v>
          </cell>
          <cell r="G419">
            <v>25.4</v>
          </cell>
        </row>
        <row r="419">
          <cell r="J419">
            <v>0.01892705892</v>
          </cell>
        </row>
        <row r="420">
          <cell r="A420">
            <v>267756</v>
          </cell>
        </row>
        <row r="420">
          <cell r="C420" t="str">
            <v>黄绿小鸭</v>
          </cell>
          <cell r="D420">
            <v>20</v>
          </cell>
          <cell r="E420">
            <v>41.91</v>
          </cell>
          <cell r="F420">
            <v>17.78</v>
          </cell>
          <cell r="G420">
            <v>25.4</v>
          </cell>
        </row>
        <row r="420">
          <cell r="J420">
            <v>0.01892705892</v>
          </cell>
        </row>
        <row r="421">
          <cell r="A421">
            <v>267757</v>
          </cell>
        </row>
        <row r="421">
          <cell r="C421" t="str">
            <v>蓝小鸭</v>
          </cell>
          <cell r="D421">
            <v>20</v>
          </cell>
          <cell r="E421">
            <v>41.91</v>
          </cell>
          <cell r="F421">
            <v>17.78</v>
          </cell>
          <cell r="G421">
            <v>25.4</v>
          </cell>
        </row>
        <row r="421">
          <cell r="J421">
            <v>0.01892705892</v>
          </cell>
        </row>
        <row r="422">
          <cell r="A422">
            <v>267758</v>
          </cell>
        </row>
        <row r="422">
          <cell r="C422" t="str">
            <v>橙小鸭</v>
          </cell>
          <cell r="D422">
            <v>20</v>
          </cell>
          <cell r="E422">
            <v>41.91</v>
          </cell>
          <cell r="F422">
            <v>17.78</v>
          </cell>
          <cell r="G422">
            <v>25.4</v>
          </cell>
        </row>
        <row r="422">
          <cell r="J422">
            <v>0.01892705892</v>
          </cell>
        </row>
        <row r="423">
          <cell r="A423">
            <v>267759</v>
          </cell>
        </row>
        <row r="423">
          <cell r="C423" t="str">
            <v>黄小鸭</v>
          </cell>
          <cell r="D423">
            <v>20</v>
          </cell>
          <cell r="E423">
            <v>41.91</v>
          </cell>
          <cell r="F423">
            <v>17.78</v>
          </cell>
          <cell r="G423">
            <v>25.4</v>
          </cell>
        </row>
        <row r="423">
          <cell r="J423">
            <v>0.01892705892</v>
          </cell>
        </row>
        <row r="424">
          <cell r="A424">
            <v>267760</v>
          </cell>
        </row>
        <row r="424">
          <cell r="C424" t="str">
            <v>粉小鸭</v>
          </cell>
          <cell r="D424">
            <v>20</v>
          </cell>
          <cell r="E424">
            <v>41.91</v>
          </cell>
          <cell r="F424">
            <v>17.78</v>
          </cell>
          <cell r="G424">
            <v>25.4</v>
          </cell>
        </row>
        <row r="424">
          <cell r="J424">
            <v>0.01892705892</v>
          </cell>
        </row>
        <row r="425">
          <cell r="A425">
            <v>267761</v>
          </cell>
        </row>
        <row r="425">
          <cell r="C425" t="str">
            <v>米小鸭</v>
          </cell>
          <cell r="D425">
            <v>20</v>
          </cell>
          <cell r="E425">
            <v>41.91</v>
          </cell>
          <cell r="F425">
            <v>17.78</v>
          </cell>
          <cell r="G425">
            <v>25.4</v>
          </cell>
        </row>
        <row r="425">
          <cell r="J425">
            <v>0.01892705892</v>
          </cell>
        </row>
        <row r="426">
          <cell r="A426">
            <v>267762</v>
          </cell>
        </row>
        <row r="426">
          <cell r="C426" t="str">
            <v>枣黑小鸭</v>
          </cell>
          <cell r="D426">
            <v>20</v>
          </cell>
          <cell r="E426">
            <v>41.91</v>
          </cell>
          <cell r="F426">
            <v>17.78</v>
          </cell>
          <cell r="G426">
            <v>25.4</v>
          </cell>
        </row>
        <row r="426">
          <cell r="J426">
            <v>0.01892705892</v>
          </cell>
        </row>
        <row r="427">
          <cell r="A427">
            <v>267763</v>
          </cell>
        </row>
        <row r="427">
          <cell r="C427" t="str">
            <v>黑枣红小鸭</v>
          </cell>
          <cell r="D427">
            <v>20</v>
          </cell>
          <cell r="E427">
            <v>41.91</v>
          </cell>
          <cell r="F427">
            <v>17.78</v>
          </cell>
          <cell r="G427">
            <v>25.4</v>
          </cell>
        </row>
        <row r="427">
          <cell r="J427">
            <v>0.01892705892</v>
          </cell>
        </row>
        <row r="428">
          <cell r="A428">
            <v>267764</v>
          </cell>
        </row>
        <row r="428">
          <cell r="C428" t="str">
            <v>枣灰小鸭</v>
          </cell>
          <cell r="D428">
            <v>20</v>
          </cell>
          <cell r="E428">
            <v>41.91</v>
          </cell>
          <cell r="F428">
            <v>17.78</v>
          </cell>
          <cell r="G428">
            <v>25.4</v>
          </cell>
        </row>
        <row r="428">
          <cell r="J428">
            <v>0.01892705892</v>
          </cell>
        </row>
        <row r="429">
          <cell r="A429">
            <v>267765</v>
          </cell>
        </row>
        <row r="429">
          <cell r="C429" t="str">
            <v>黑红小鸭</v>
          </cell>
          <cell r="D429">
            <v>20</v>
          </cell>
          <cell r="E429">
            <v>41.91</v>
          </cell>
          <cell r="F429">
            <v>17.78</v>
          </cell>
          <cell r="G429">
            <v>25.4</v>
          </cell>
        </row>
        <row r="429">
          <cell r="J429">
            <v>0.01892705892</v>
          </cell>
        </row>
        <row r="430">
          <cell r="A430">
            <v>267766</v>
          </cell>
        </row>
        <row r="430">
          <cell r="C430" t="str">
            <v>蓝兰小鸭</v>
          </cell>
          <cell r="D430">
            <v>20</v>
          </cell>
          <cell r="E430">
            <v>41.91</v>
          </cell>
          <cell r="F430">
            <v>17.78</v>
          </cell>
          <cell r="G430">
            <v>25.4</v>
          </cell>
        </row>
        <row r="430">
          <cell r="J430">
            <v>0.01892705892</v>
          </cell>
        </row>
        <row r="431">
          <cell r="A431">
            <v>267767</v>
          </cell>
        </row>
        <row r="431">
          <cell r="C431" t="str">
            <v>闪金小鸭</v>
          </cell>
          <cell r="D431">
            <v>20</v>
          </cell>
          <cell r="E431">
            <v>41.91</v>
          </cell>
          <cell r="F431">
            <v>17.78</v>
          </cell>
          <cell r="G431">
            <v>25.4</v>
          </cell>
        </row>
        <row r="431">
          <cell r="J431">
            <v>0.01892705892</v>
          </cell>
        </row>
        <row r="432">
          <cell r="A432">
            <v>266021</v>
          </cell>
        </row>
        <row r="432">
          <cell r="C432" t="str">
            <v>黄色圆球</v>
          </cell>
          <cell r="D432">
            <v>20</v>
          </cell>
          <cell r="E432">
            <v>35.56</v>
          </cell>
          <cell r="F432">
            <v>19.05</v>
          </cell>
          <cell r="G432">
            <v>18.415</v>
          </cell>
        </row>
        <row r="432">
          <cell r="J432">
            <v>0.01247465247</v>
          </cell>
        </row>
        <row r="433">
          <cell r="A433">
            <v>266022</v>
          </cell>
        </row>
        <row r="433">
          <cell r="C433" t="str">
            <v>粉色圆球</v>
          </cell>
          <cell r="D433">
            <v>20</v>
          </cell>
          <cell r="E433">
            <v>35.56</v>
          </cell>
          <cell r="F433">
            <v>19.05</v>
          </cell>
          <cell r="G433">
            <v>18.415</v>
          </cell>
        </row>
        <row r="433">
          <cell r="J433">
            <v>0.01247465247</v>
          </cell>
        </row>
        <row r="434">
          <cell r="A434">
            <v>266023</v>
          </cell>
        </row>
        <row r="434">
          <cell r="C434" t="str">
            <v>橙色全球</v>
          </cell>
          <cell r="D434">
            <v>20</v>
          </cell>
          <cell r="E434">
            <v>35.56</v>
          </cell>
          <cell r="F434">
            <v>19.05</v>
          </cell>
          <cell r="G434">
            <v>18.415</v>
          </cell>
        </row>
        <row r="434">
          <cell r="J434">
            <v>0.01247465247</v>
          </cell>
        </row>
        <row r="435">
          <cell r="A435">
            <v>269060</v>
          </cell>
        </row>
        <row r="435">
          <cell r="C435" t="str">
            <v>丑丑鸭</v>
          </cell>
          <cell r="D435">
            <v>27</v>
          </cell>
          <cell r="E435">
            <v>25.4</v>
          </cell>
          <cell r="F435">
            <v>25.4</v>
          </cell>
          <cell r="G435">
            <v>34.29</v>
          </cell>
        </row>
        <row r="435">
          <cell r="J435">
            <v>0.0221225364</v>
          </cell>
        </row>
        <row r="436">
          <cell r="A436">
            <v>268082</v>
          </cell>
        </row>
        <row r="436">
          <cell r="C436" t="str">
            <v>7.5"腊肠狗</v>
          </cell>
          <cell r="D436">
            <v>6</v>
          </cell>
          <cell r="E436">
            <v>53.34</v>
          </cell>
          <cell r="F436">
            <v>25.4</v>
          </cell>
          <cell r="G436">
            <v>17.78</v>
          </cell>
        </row>
        <row r="436">
          <cell r="J436">
            <v>0.02408898408</v>
          </cell>
        </row>
        <row r="437">
          <cell r="A437">
            <v>268083</v>
          </cell>
        </row>
        <row r="437">
          <cell r="C437" t="str">
            <v>5"灰灰狗</v>
          </cell>
          <cell r="D437">
            <v>6</v>
          </cell>
          <cell r="E437">
            <v>53.34</v>
          </cell>
          <cell r="F437">
            <v>25.4</v>
          </cell>
          <cell r="G437">
            <v>17.78</v>
          </cell>
        </row>
        <row r="437">
          <cell r="J437">
            <v>0.02408898408</v>
          </cell>
        </row>
        <row r="438">
          <cell r="A438">
            <v>266710</v>
          </cell>
        </row>
        <row r="438">
          <cell r="C438" t="str">
            <v>Q BABY</v>
          </cell>
          <cell r="D438">
            <v>27</v>
          </cell>
          <cell r="E438">
            <v>20.32</v>
          </cell>
          <cell r="F438">
            <v>16.51</v>
          </cell>
          <cell r="G438">
            <v>34.29</v>
          </cell>
        </row>
        <row r="438">
          <cell r="J438">
            <v>0.011503718928</v>
          </cell>
        </row>
        <row r="439">
          <cell r="A439">
            <v>671930</v>
          </cell>
        </row>
        <row r="439">
          <cell r="C439" t="str">
            <v>UNO 踢踏包</v>
          </cell>
          <cell r="D439">
            <v>12</v>
          </cell>
          <cell r="E439">
            <v>12.75</v>
          </cell>
          <cell r="F439">
            <v>20.05</v>
          </cell>
          <cell r="G439">
            <v>19.05</v>
          </cell>
        </row>
        <row r="439">
          <cell r="J439">
            <v>0.004869894375</v>
          </cell>
        </row>
        <row r="440">
          <cell r="A440">
            <v>671933</v>
          </cell>
        </row>
        <row r="440">
          <cell r="C440" t="str">
            <v>8号球 踢踏包</v>
          </cell>
          <cell r="D440">
            <v>12</v>
          </cell>
          <cell r="E440">
            <v>12.75</v>
          </cell>
          <cell r="F440">
            <v>20.05</v>
          </cell>
          <cell r="G440">
            <v>19.05</v>
          </cell>
        </row>
        <row r="440">
          <cell r="J440">
            <v>0.004869894375</v>
          </cell>
        </row>
        <row r="441">
          <cell r="A441">
            <v>33920</v>
          </cell>
        </row>
        <row r="441">
          <cell r="C441" t="str">
            <v>搪胶小鸭</v>
          </cell>
          <cell r="D441">
            <v>36</v>
          </cell>
          <cell r="E441">
            <v>39.3</v>
          </cell>
          <cell r="F441">
            <v>35</v>
          </cell>
          <cell r="G441">
            <v>14.1</v>
          </cell>
        </row>
        <row r="441">
          <cell r="J441">
            <v>0.01939455</v>
          </cell>
        </row>
        <row r="442">
          <cell r="A442">
            <v>260744</v>
          </cell>
        </row>
        <row r="442">
          <cell r="C442" t="str">
            <v>绿波浪</v>
          </cell>
          <cell r="D442">
            <v>10</v>
          </cell>
          <cell r="E442">
            <v>39.37</v>
          </cell>
          <cell r="F442">
            <v>33.02</v>
          </cell>
          <cell r="G442">
            <v>19.05</v>
          </cell>
        </row>
        <row r="442">
          <cell r="J442">
            <v>0.02476495047</v>
          </cell>
        </row>
        <row r="443">
          <cell r="A443">
            <v>260745</v>
          </cell>
        </row>
        <row r="443">
          <cell r="C443" t="str">
            <v>咖灰波浪</v>
          </cell>
          <cell r="D443">
            <v>10</v>
          </cell>
          <cell r="E443">
            <v>39.37</v>
          </cell>
          <cell r="F443">
            <v>33.02</v>
          </cell>
          <cell r="G443">
            <v>19.05</v>
          </cell>
        </row>
        <row r="443">
          <cell r="J443">
            <v>0.02476495047</v>
          </cell>
        </row>
        <row r="444">
          <cell r="A444">
            <v>260746</v>
          </cell>
        </row>
        <row r="444">
          <cell r="C444" t="str">
            <v>橙蓝波浪</v>
          </cell>
          <cell r="D444">
            <v>10</v>
          </cell>
          <cell r="E444">
            <v>39.37</v>
          </cell>
          <cell r="F444">
            <v>33.02</v>
          </cell>
          <cell r="G444">
            <v>19.05</v>
          </cell>
        </row>
        <row r="444">
          <cell r="J444">
            <v>0.02476495047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装箱单"/>
      <sheetName val="计划"/>
      <sheetName val="实发车"/>
      <sheetName val="塑胶半成品"/>
      <sheetName val="4-25的搪胶鸭子欠数"/>
      <sheetName val="33410"/>
      <sheetName val="2025年底余数出货"/>
      <sheetName val="Sheet2"/>
      <sheetName val="120款搪胶货"/>
      <sheetName val="Sheet1"/>
    </sheetNames>
    <sheetDataSet>
      <sheetData sheetId="0" refreshError="1">
        <row r="1">
          <cell r="A1" t="str">
            <v>WM Item#</v>
          </cell>
          <cell r="B1" t="str">
            <v>Description</v>
          </cell>
        </row>
        <row r="1">
          <cell r="D1" t="str">
            <v>Qty/Ctn</v>
          </cell>
          <cell r="E1" t="str">
            <v>Measurement/ctn 
(L/W/H ) (cm)</v>
          </cell>
        </row>
        <row r="1">
          <cell r="H1" t="str">
            <v>NW/CTN</v>
          </cell>
          <cell r="I1" t="str">
            <v>GW/CTN</v>
          </cell>
          <cell r="J1" t="str">
            <v>CBM/CTN</v>
          </cell>
        </row>
        <row r="2">
          <cell r="A2">
            <v>320398</v>
          </cell>
          <cell r="B2" t="str">
            <v>HONEY BEE ACRES BUNNY FAMILY 4-PACK</v>
          </cell>
          <cell r="C2" t="str">
            <v>兔子家族</v>
          </cell>
          <cell r="D2">
            <v>4</v>
          </cell>
          <cell r="E2">
            <v>24.5</v>
          </cell>
          <cell r="F2">
            <v>21</v>
          </cell>
          <cell r="G2">
            <v>20</v>
          </cell>
          <cell r="H2">
            <v>0.52</v>
          </cell>
          <cell r="I2">
            <v>0.71</v>
          </cell>
          <cell r="J2">
            <v>0.01029</v>
          </cell>
        </row>
        <row r="3">
          <cell r="A3" t="str">
            <v>320398-X</v>
          </cell>
          <cell r="B3" t="str">
            <v>HONEY BEE ACRES BUNNY FAMILY 4-PACK</v>
          </cell>
          <cell r="C3" t="str">
            <v>兔子家族</v>
          </cell>
          <cell r="D3">
            <v>4</v>
          </cell>
          <cell r="E3">
            <v>24.5</v>
          </cell>
          <cell r="F3">
            <v>21</v>
          </cell>
          <cell r="G3">
            <v>20</v>
          </cell>
          <cell r="H3">
            <v>0.52</v>
          </cell>
          <cell r="I3">
            <v>0.71</v>
          </cell>
          <cell r="J3">
            <v>0.01029</v>
          </cell>
        </row>
        <row r="4">
          <cell r="A4">
            <v>320399</v>
          </cell>
          <cell r="B4" t="str">
            <v>HONEY BEE ACRES CAT FAMILY 4-PACK</v>
          </cell>
          <cell r="C4" t="str">
            <v>猫家族</v>
          </cell>
          <cell r="D4">
            <v>4</v>
          </cell>
          <cell r="E4">
            <v>24.5</v>
          </cell>
          <cell r="F4">
            <v>21</v>
          </cell>
          <cell r="G4">
            <v>20</v>
          </cell>
          <cell r="H4">
            <v>0.5</v>
          </cell>
          <cell r="I4">
            <v>0.68</v>
          </cell>
          <cell r="J4">
            <v>0.01029</v>
          </cell>
        </row>
        <row r="5">
          <cell r="A5" t="str">
            <v>320399-X</v>
          </cell>
          <cell r="B5" t="str">
            <v>HONEY BEE ACRES CAT FAMILY 4-PACK</v>
          </cell>
          <cell r="C5" t="str">
            <v>猫家族</v>
          </cell>
          <cell r="D5">
            <v>4</v>
          </cell>
          <cell r="E5">
            <v>24.5</v>
          </cell>
          <cell r="F5">
            <v>21</v>
          </cell>
          <cell r="G5">
            <v>20</v>
          </cell>
          <cell r="H5">
            <v>0.5</v>
          </cell>
          <cell r="I5">
            <v>0.68</v>
          </cell>
          <cell r="J5">
            <v>0.01029</v>
          </cell>
        </row>
        <row r="6">
          <cell r="A6">
            <v>320400</v>
          </cell>
          <cell r="B6" t="str">
            <v>HONEY BEE ACRES BEAR FAMILY 4-PACK</v>
          </cell>
          <cell r="C6" t="str">
            <v>熊家族</v>
          </cell>
          <cell r="D6">
            <v>4</v>
          </cell>
          <cell r="E6">
            <v>24.5</v>
          </cell>
          <cell r="F6">
            <v>21</v>
          </cell>
          <cell r="G6">
            <v>20</v>
          </cell>
          <cell r="H6">
            <v>0.47</v>
          </cell>
          <cell r="I6">
            <v>0.68</v>
          </cell>
          <cell r="J6">
            <v>0.01029</v>
          </cell>
        </row>
        <row r="7">
          <cell r="A7" t="str">
            <v>320400-X</v>
          </cell>
          <cell r="B7" t="str">
            <v>HONEY BEE ACRES BEAR FAMILY 4-PACK</v>
          </cell>
          <cell r="C7" t="str">
            <v>熊家族</v>
          </cell>
          <cell r="D7">
            <v>4</v>
          </cell>
          <cell r="E7">
            <v>24.5</v>
          </cell>
          <cell r="F7">
            <v>21</v>
          </cell>
          <cell r="G7">
            <v>20</v>
          </cell>
          <cell r="H7">
            <v>0.47</v>
          </cell>
          <cell r="I7">
            <v>0.68</v>
          </cell>
          <cell r="J7">
            <v>0.01029</v>
          </cell>
        </row>
        <row r="8">
          <cell r="A8">
            <v>320401</v>
          </cell>
          <cell r="B8" t="str">
            <v>HONEY BEE ACRES DOG FAMILY 4-PACK</v>
          </cell>
          <cell r="C8" t="str">
            <v>狗家族</v>
          </cell>
          <cell r="D8">
            <v>4</v>
          </cell>
          <cell r="E8">
            <v>24.5</v>
          </cell>
          <cell r="F8">
            <v>21</v>
          </cell>
          <cell r="G8">
            <v>20</v>
          </cell>
          <cell r="H8">
            <v>0.51</v>
          </cell>
          <cell r="I8">
            <v>0.71</v>
          </cell>
          <cell r="J8">
            <v>0.01029</v>
          </cell>
        </row>
        <row r="9">
          <cell r="A9" t="str">
            <v>320401-X</v>
          </cell>
          <cell r="B9" t="str">
            <v>HONEY BEE ACRES DOG FAMILY 4-PACK</v>
          </cell>
          <cell r="C9" t="str">
            <v>狗家族</v>
          </cell>
          <cell r="D9">
            <v>4</v>
          </cell>
          <cell r="E9">
            <v>24.5</v>
          </cell>
          <cell r="F9">
            <v>21</v>
          </cell>
          <cell r="G9">
            <v>20</v>
          </cell>
          <cell r="H9">
            <v>0.51</v>
          </cell>
          <cell r="I9">
            <v>0.71</v>
          </cell>
          <cell r="J9">
            <v>0.01029</v>
          </cell>
        </row>
        <row r="10">
          <cell r="A10">
            <v>320918</v>
          </cell>
          <cell r="B10" t="str">
            <v>HONEY BEE ACRES DOG FAMILY 4-PACK</v>
          </cell>
          <cell r="C10" t="str">
            <v>狗家族</v>
          </cell>
          <cell r="D10">
            <v>4</v>
          </cell>
          <cell r="E10">
            <v>24.5</v>
          </cell>
          <cell r="F10">
            <v>21</v>
          </cell>
          <cell r="G10">
            <v>20</v>
          </cell>
          <cell r="H10">
            <v>0.51</v>
          </cell>
          <cell r="I10">
            <v>0.71</v>
          </cell>
          <cell r="J10">
            <v>0.01029</v>
          </cell>
        </row>
        <row r="11">
          <cell r="A11">
            <v>320735</v>
          </cell>
        </row>
        <row r="11">
          <cell r="C11" t="str">
            <v>混装</v>
          </cell>
          <cell r="D11">
            <v>4</v>
          </cell>
          <cell r="E11">
            <v>24.5</v>
          </cell>
          <cell r="F11">
            <v>21</v>
          </cell>
          <cell r="G11">
            <v>20</v>
          </cell>
          <cell r="H11">
            <v>0.51</v>
          </cell>
          <cell r="I11">
            <v>0.71</v>
          </cell>
          <cell r="J11">
            <v>0.01029</v>
          </cell>
        </row>
        <row r="12">
          <cell r="A12">
            <v>320403</v>
          </cell>
          <cell r="B12" t="str">
            <v>HONEY BEE ACRES ASSORTED CHARACTERS</v>
          </cell>
          <cell r="C12" t="str">
            <v>各种角色公仔组合</v>
          </cell>
          <cell r="D12">
            <v>16</v>
          </cell>
          <cell r="E12">
            <v>22</v>
          </cell>
          <cell r="F12">
            <v>17</v>
          </cell>
          <cell r="G12">
            <v>20.5</v>
          </cell>
          <cell r="H12">
            <v>0.75</v>
          </cell>
          <cell r="I12">
            <v>0.93</v>
          </cell>
          <cell r="J12">
            <v>0.007667</v>
          </cell>
        </row>
        <row r="13">
          <cell r="A13" t="str">
            <v>320403-X</v>
          </cell>
          <cell r="B13" t="str">
            <v>HONEY BEE ACRES ASSORTED CHARACTERS</v>
          </cell>
          <cell r="C13" t="str">
            <v>各种角色公仔组合</v>
          </cell>
          <cell r="D13">
            <v>16</v>
          </cell>
          <cell r="E13">
            <v>22</v>
          </cell>
          <cell r="F13">
            <v>17</v>
          </cell>
          <cell r="G13">
            <v>20.5</v>
          </cell>
          <cell r="H13">
            <v>0.75</v>
          </cell>
          <cell r="I13">
            <v>0.93</v>
          </cell>
          <cell r="J13">
            <v>0.007667</v>
          </cell>
        </row>
        <row r="14">
          <cell r="A14">
            <v>320402</v>
          </cell>
          <cell r="B14" t="str">
            <v>HONEY BEE ACRES PLAYGROUND PALS</v>
          </cell>
          <cell r="C14" t="str">
            <v>游乐场伙伴</v>
          </cell>
          <cell r="D14">
            <v>4</v>
          </cell>
          <cell r="E14">
            <v>31.5</v>
          </cell>
          <cell r="F14">
            <v>25</v>
          </cell>
          <cell r="G14">
            <v>20.5</v>
          </cell>
          <cell r="H14">
            <v>0.84</v>
          </cell>
          <cell r="I14">
            <v>1.11</v>
          </cell>
          <cell r="J14">
            <v>0.01614375</v>
          </cell>
        </row>
        <row r="15">
          <cell r="A15" t="str">
            <v>320402-X</v>
          </cell>
          <cell r="B15" t="str">
            <v>HONEY BEE ACRES PLAYGROUND PALS</v>
          </cell>
          <cell r="C15" t="str">
            <v>游乐场伙伴</v>
          </cell>
          <cell r="D15">
            <v>4</v>
          </cell>
          <cell r="E15">
            <v>31.5</v>
          </cell>
          <cell r="F15">
            <v>25</v>
          </cell>
          <cell r="G15">
            <v>20.5</v>
          </cell>
          <cell r="H15">
            <v>0.84</v>
          </cell>
          <cell r="I15">
            <v>1.11</v>
          </cell>
          <cell r="J15">
            <v>0.01614375</v>
          </cell>
        </row>
        <row r="16">
          <cell r="A16">
            <v>320404</v>
          </cell>
          <cell r="B16" t="str">
            <v>HONEY BEE ACRES AROUND TOWN VAN</v>
          </cell>
          <cell r="C16" t="str">
            <v>城镇货车</v>
          </cell>
          <cell r="D16">
            <v>2</v>
          </cell>
          <cell r="E16">
            <v>31</v>
          </cell>
          <cell r="F16">
            <v>29.5</v>
          </cell>
          <cell r="G16">
            <v>20</v>
          </cell>
          <cell r="H16">
            <v>1.11</v>
          </cell>
          <cell r="I16">
            <v>1.43</v>
          </cell>
          <cell r="J16">
            <v>0.01829</v>
          </cell>
        </row>
        <row r="17">
          <cell r="A17">
            <v>320405</v>
          </cell>
          <cell r="B17" t="str">
            <v>HONEY BEE ACRES LIVING ROOM DECOR ACCESSORIES</v>
          </cell>
          <cell r="C17" t="str">
            <v>客厅装饰</v>
          </cell>
          <cell r="D17">
            <v>3</v>
          </cell>
          <cell r="E17">
            <v>31.5</v>
          </cell>
          <cell r="F17">
            <v>27</v>
          </cell>
          <cell r="G17">
            <v>20</v>
          </cell>
          <cell r="H17">
            <v>1.5</v>
          </cell>
          <cell r="I17">
            <v>1.83</v>
          </cell>
          <cell r="J17">
            <v>0.01701</v>
          </cell>
        </row>
        <row r="18">
          <cell r="A18" t="str">
            <v>320405-X</v>
          </cell>
          <cell r="B18" t="str">
            <v>HONEY BEE ACRES LIVING ROOM DECOR ACCESSORIES</v>
          </cell>
          <cell r="C18" t="str">
            <v>客厅装饰</v>
          </cell>
          <cell r="D18">
            <v>3</v>
          </cell>
          <cell r="E18">
            <v>31.5</v>
          </cell>
          <cell r="F18">
            <v>27</v>
          </cell>
          <cell r="G18">
            <v>20</v>
          </cell>
          <cell r="H18">
            <v>1.5</v>
          </cell>
          <cell r="I18">
            <v>1.83</v>
          </cell>
          <cell r="J18">
            <v>0.01701</v>
          </cell>
        </row>
        <row r="19">
          <cell r="A19">
            <v>320406</v>
          </cell>
          <cell r="B19" t="str">
            <v>HONEY BEE ACRES KITCHEN DECOR ACCESSORIES</v>
          </cell>
          <cell r="C19" t="str">
            <v>厨房装饰</v>
          </cell>
          <cell r="D19">
            <v>3</v>
          </cell>
          <cell r="E19">
            <v>31</v>
          </cell>
          <cell r="F19">
            <v>26.5</v>
          </cell>
          <cell r="G19">
            <v>20.5</v>
          </cell>
          <cell r="H19">
            <v>0.79</v>
          </cell>
          <cell r="I19">
            <v>1.07</v>
          </cell>
          <cell r="J19">
            <v>0.01684075</v>
          </cell>
        </row>
        <row r="20">
          <cell r="A20" t="str">
            <v>320406-X</v>
          </cell>
          <cell r="B20" t="str">
            <v>HONEY BEE ACRES KITCHEN DECOR ACCESSORIES</v>
          </cell>
          <cell r="C20" t="str">
            <v>厨房装饰</v>
          </cell>
          <cell r="D20">
            <v>3</v>
          </cell>
          <cell r="E20">
            <v>31</v>
          </cell>
          <cell r="F20">
            <v>26.5</v>
          </cell>
          <cell r="G20">
            <v>20.5</v>
          </cell>
          <cell r="H20">
            <v>0.79</v>
          </cell>
          <cell r="I20">
            <v>1.07</v>
          </cell>
          <cell r="J20">
            <v>0.01684075</v>
          </cell>
        </row>
        <row r="21">
          <cell r="A21">
            <v>320407</v>
          </cell>
          <cell r="B21" t="str">
            <v>HONEY BEE ACRES BATHROOM DECOR ACCESSORIES</v>
          </cell>
          <cell r="C21" t="str">
            <v>浴室装饰</v>
          </cell>
          <cell r="D21">
            <v>3</v>
          </cell>
          <cell r="E21">
            <v>31</v>
          </cell>
          <cell r="F21">
            <v>27</v>
          </cell>
          <cell r="G21">
            <v>20</v>
          </cell>
          <cell r="H21">
            <v>0.93</v>
          </cell>
          <cell r="I21">
            <v>1.21</v>
          </cell>
          <cell r="J21">
            <v>0.01674</v>
          </cell>
        </row>
        <row r="22">
          <cell r="A22" t="str">
            <v>320407-X</v>
          </cell>
          <cell r="B22" t="str">
            <v>HONEY BEE ACRES BATHROOM DECOR ACCESSORIES</v>
          </cell>
          <cell r="C22" t="str">
            <v>浴室装饰</v>
          </cell>
          <cell r="D22">
            <v>3</v>
          </cell>
          <cell r="E22">
            <v>31</v>
          </cell>
          <cell r="F22">
            <v>27</v>
          </cell>
          <cell r="G22">
            <v>20</v>
          </cell>
          <cell r="H22">
            <v>0.93</v>
          </cell>
          <cell r="I22">
            <v>1.21</v>
          </cell>
          <cell r="J22">
            <v>0.01674</v>
          </cell>
        </row>
        <row r="23">
          <cell r="A23">
            <v>320408</v>
          </cell>
          <cell r="B23" t="str">
            <v>HONEY BEE ACRES GENERAL STORE with Adult Figure</v>
          </cell>
          <cell r="C23" t="str">
            <v>普通商店</v>
          </cell>
          <cell r="D23">
            <v>2</v>
          </cell>
          <cell r="E23">
            <v>41.91</v>
          </cell>
          <cell r="F23">
            <v>31.75</v>
          </cell>
          <cell r="G23">
            <v>21.59</v>
          </cell>
          <cell r="H23">
            <v>1.97</v>
          </cell>
          <cell r="I23">
            <v>2.43</v>
          </cell>
          <cell r="J23">
            <v>0.028728571575</v>
          </cell>
        </row>
        <row r="24">
          <cell r="A24" t="str">
            <v>320408-X</v>
          </cell>
          <cell r="B24" t="str">
            <v>HONEY BEE ACRES GENERAL STORE with Adult Figure</v>
          </cell>
          <cell r="C24" t="str">
            <v>普通商店</v>
          </cell>
          <cell r="D24">
            <v>2</v>
          </cell>
          <cell r="E24">
            <v>39.5</v>
          </cell>
          <cell r="F24">
            <v>30</v>
          </cell>
          <cell r="G24">
            <v>21.5</v>
          </cell>
          <cell r="H24">
            <v>1.97</v>
          </cell>
          <cell r="I24">
            <v>2.43</v>
          </cell>
          <cell r="J24">
            <v>0.0254775</v>
          </cell>
        </row>
        <row r="25">
          <cell r="A25">
            <v>320409</v>
          </cell>
          <cell r="B25" t="str">
            <v>HONEY BEE ACRES SUNFLOWER COUNTRY COTTAGE with Adult Figure</v>
          </cell>
          <cell r="C25" t="str">
            <v>向日葵家</v>
          </cell>
          <cell r="D25">
            <v>2</v>
          </cell>
          <cell r="E25">
            <v>43</v>
          </cell>
          <cell r="F25">
            <v>32.5</v>
          </cell>
          <cell r="G25">
            <v>30.5</v>
          </cell>
          <cell r="H25">
            <v>2.34</v>
          </cell>
          <cell r="I25">
            <v>3</v>
          </cell>
          <cell r="J25">
            <v>0.04262375</v>
          </cell>
        </row>
        <row r="26">
          <cell r="A26">
            <v>320410</v>
          </cell>
          <cell r="B26" t="str">
            <v>HONEY BEE ACRES BUZZBY FARM HOUSE  with 2 FIGURES (Adult &amp;Child)</v>
          </cell>
          <cell r="C26" t="str">
            <v>巴比斯农舍</v>
          </cell>
          <cell r="D26">
            <v>1</v>
          </cell>
          <cell r="E26">
            <v>62</v>
          </cell>
          <cell r="F26">
            <v>25</v>
          </cell>
          <cell r="G26">
            <v>40.5</v>
          </cell>
          <cell r="H26">
            <v>4.9</v>
          </cell>
          <cell r="I26">
            <v>5.56</v>
          </cell>
          <cell r="J26">
            <v>0.062775</v>
          </cell>
        </row>
        <row r="27">
          <cell r="A27">
            <v>470191</v>
          </cell>
          <cell r="B27" t="str">
            <v>HONEY BEE ACRES BUZZBY FARM HOUSE  with 2 FIGURES (Adult &amp;Child)</v>
          </cell>
          <cell r="C27" t="str">
            <v>巴比斯农舍</v>
          </cell>
          <cell r="D27">
            <v>1</v>
          </cell>
          <cell r="E27">
            <v>62</v>
          </cell>
          <cell r="F27">
            <v>25</v>
          </cell>
          <cell r="G27">
            <v>40.5</v>
          </cell>
          <cell r="H27">
            <v>4.9</v>
          </cell>
          <cell r="I27">
            <v>5.56</v>
          </cell>
          <cell r="J27">
            <v>0.062775</v>
          </cell>
        </row>
        <row r="28">
          <cell r="A28">
            <v>320626</v>
          </cell>
          <cell r="B28" t="str">
            <v>HONEY BEE ACRES RAINBOW RIDGE BABIES with ACCESSOR</v>
          </cell>
          <cell r="C28" t="str">
            <v>彩虹岭婴儿与配件系列</v>
          </cell>
          <cell r="D28">
            <v>16</v>
          </cell>
          <cell r="E28">
            <v>21</v>
          </cell>
          <cell r="F28">
            <v>17</v>
          </cell>
          <cell r="G28">
            <v>20</v>
          </cell>
          <cell r="H28">
            <v>0.74</v>
          </cell>
          <cell r="I28">
            <v>0.9</v>
          </cell>
          <cell r="J28">
            <v>0.00714</v>
          </cell>
        </row>
        <row r="29">
          <cell r="A29">
            <v>320627</v>
          </cell>
          <cell r="B29" t="str">
            <v>HONEY BEE ACRES PAINT and COLOR ART FUN</v>
          </cell>
          <cell r="C29" t="str">
            <v>画画装扮</v>
          </cell>
          <cell r="D29">
            <v>4</v>
          </cell>
          <cell r="E29">
            <v>25.5</v>
          </cell>
          <cell r="F29">
            <v>17.5</v>
          </cell>
          <cell r="G29">
            <v>20</v>
          </cell>
          <cell r="H29">
            <v>0.34</v>
          </cell>
          <cell r="I29">
            <v>0.52</v>
          </cell>
          <cell r="J29">
            <v>0.008925</v>
          </cell>
        </row>
        <row r="30">
          <cell r="A30">
            <v>320629</v>
          </cell>
          <cell r="B30" t="str">
            <v>HONEY BEE ACRES PAINT and COLOR ART FUN</v>
          </cell>
          <cell r="C30" t="str">
            <v>画画装扮</v>
          </cell>
          <cell r="D30">
            <v>4</v>
          </cell>
          <cell r="E30">
            <v>33</v>
          </cell>
          <cell r="F30">
            <v>20</v>
          </cell>
          <cell r="G30">
            <v>20</v>
          </cell>
          <cell r="H30">
            <v>0.34</v>
          </cell>
          <cell r="I30">
            <v>0.52</v>
          </cell>
          <cell r="J30">
            <v>0.0132</v>
          </cell>
        </row>
        <row r="31">
          <cell r="A31">
            <v>320785</v>
          </cell>
          <cell r="B31" t="str">
            <v>HONEY BEE ACRES PAINT and COLOR ART FUN</v>
          </cell>
          <cell r="C31" t="str">
            <v>画画装扮</v>
          </cell>
          <cell r="D31">
            <v>4</v>
          </cell>
          <cell r="E31">
            <v>25.5</v>
          </cell>
          <cell r="F31">
            <v>17.5</v>
          </cell>
          <cell r="G31">
            <v>20</v>
          </cell>
          <cell r="H31">
            <v>0.34</v>
          </cell>
          <cell r="I31">
            <v>0.52</v>
          </cell>
          <cell r="J31">
            <v>0.008925</v>
          </cell>
        </row>
        <row r="32">
          <cell r="A32">
            <v>320630</v>
          </cell>
          <cell r="B32" t="str">
            <v>HONEY BEE ACRES CLOVERBERRIES COW FAMILY</v>
          </cell>
          <cell r="C32" t="str">
            <v>牛家族</v>
          </cell>
          <cell r="D32">
            <v>4</v>
          </cell>
          <cell r="E32">
            <v>25</v>
          </cell>
          <cell r="F32">
            <v>20.5</v>
          </cell>
          <cell r="G32">
            <v>20</v>
          </cell>
          <cell r="H32">
            <v>0.46</v>
          </cell>
          <cell r="I32">
            <v>0.67</v>
          </cell>
          <cell r="J32">
            <v>0.01025</v>
          </cell>
        </row>
        <row r="33">
          <cell r="A33">
            <v>320631</v>
          </cell>
          <cell r="B33" t="str">
            <v>HONEY BEE ACRES CHEDDARS MOUSE FAMILY</v>
          </cell>
          <cell r="C33" t="str">
            <v>老鼠家族</v>
          </cell>
          <cell r="D33">
            <v>4</v>
          </cell>
          <cell r="E33">
            <v>25.5</v>
          </cell>
          <cell r="F33">
            <v>21</v>
          </cell>
          <cell r="G33">
            <v>20</v>
          </cell>
          <cell r="H33">
            <v>0.47</v>
          </cell>
          <cell r="I33">
            <v>0.7</v>
          </cell>
          <cell r="J33">
            <v>0.01071</v>
          </cell>
        </row>
        <row r="34">
          <cell r="A34">
            <v>320632</v>
          </cell>
          <cell r="B34" t="str">
            <v>HONEY BEE ACRES BACK to SCHOOL PALS - 8 
STYLES</v>
          </cell>
          <cell r="C34" t="str">
            <v>学校队友</v>
          </cell>
          <cell r="D34">
            <v>4</v>
          </cell>
          <cell r="E34">
            <v>31.5</v>
          </cell>
          <cell r="F34">
            <v>25</v>
          </cell>
          <cell r="G34">
            <v>20</v>
          </cell>
          <cell r="H34">
            <v>0.83</v>
          </cell>
          <cell r="I34">
            <v>1.09</v>
          </cell>
          <cell r="J34">
            <v>0.01575</v>
          </cell>
        </row>
        <row r="35">
          <cell r="A35">
            <v>320634</v>
          </cell>
          <cell r="B35" t="str">
            <v>HONEY BEE ACRES RAINBOW RIDGE - 9 STYLES</v>
          </cell>
          <cell r="C35" t="str">
            <v>彩虹岭伙伴</v>
          </cell>
          <cell r="D35">
            <v>4</v>
          </cell>
          <cell r="E35">
            <v>31.5</v>
          </cell>
          <cell r="F35">
            <v>25</v>
          </cell>
          <cell r="G35">
            <v>20</v>
          </cell>
          <cell r="H35">
            <v>0.82</v>
          </cell>
          <cell r="I35">
            <v>1.08</v>
          </cell>
          <cell r="J35">
            <v>0.01575</v>
          </cell>
        </row>
        <row r="36">
          <cell r="A36">
            <v>320637</v>
          </cell>
          <cell r="B36" t="str">
            <v>HONEY BEE ACRES DAYDREAMERS UNICORN FAMILY</v>
          </cell>
          <cell r="C36" t="str">
            <v>独角兽家族</v>
          </cell>
          <cell r="D36">
            <v>4</v>
          </cell>
          <cell r="E36">
            <v>25.5</v>
          </cell>
          <cell r="F36">
            <v>21</v>
          </cell>
          <cell r="G36">
            <v>20</v>
          </cell>
          <cell r="H36">
            <v>0.5</v>
          </cell>
          <cell r="I36">
            <v>0.7</v>
          </cell>
          <cell r="J36">
            <v>0.01071</v>
          </cell>
        </row>
        <row r="37">
          <cell r="A37">
            <v>320638</v>
          </cell>
          <cell r="B37" t="str">
            <v>HONEY BEE ACRES SWEET DREAMS PAJAMA 
PARTY</v>
          </cell>
          <cell r="C37" t="str">
            <v>露营派对装扮</v>
          </cell>
          <cell r="D37">
            <v>4</v>
          </cell>
          <cell r="E37">
            <v>25.5</v>
          </cell>
          <cell r="F37">
            <v>17.5</v>
          </cell>
          <cell r="G37">
            <v>20.5</v>
          </cell>
          <cell r="H37">
            <v>0.62</v>
          </cell>
          <cell r="I37">
            <v>0.8</v>
          </cell>
          <cell r="J37">
            <v>0.009148125</v>
          </cell>
        </row>
        <row r="38">
          <cell r="A38">
            <v>470195</v>
          </cell>
          <cell r="B38" t="str">
            <v>HONEY BEE ACRES SWEET DREAMS PAJAMA 
PARTY</v>
          </cell>
          <cell r="C38" t="str">
            <v>花园</v>
          </cell>
          <cell r="D38">
            <v>4</v>
          </cell>
          <cell r="E38">
            <v>19.05</v>
          </cell>
          <cell r="F38">
            <v>17.145</v>
          </cell>
          <cell r="G38">
            <v>19.05</v>
          </cell>
          <cell r="H38">
            <v>0.62</v>
          </cell>
          <cell r="I38">
            <v>0.8</v>
          </cell>
          <cell r="J38">
            <v>0.0062219633625</v>
          </cell>
        </row>
        <row r="39">
          <cell r="A39">
            <v>320639</v>
          </cell>
          <cell r="B39" t="str">
            <v>HONEY BEE ACRES FLOWER GROOVE VAN WITH CHARACTER</v>
          </cell>
          <cell r="C39" t="str">
            <v>新货车</v>
          </cell>
          <cell r="D39">
            <v>2</v>
          </cell>
          <cell r="E39">
            <v>29.4</v>
          </cell>
          <cell r="F39">
            <v>27.4</v>
          </cell>
          <cell r="G39">
            <v>20.3</v>
          </cell>
          <cell r="H39">
            <v>1.02</v>
          </cell>
          <cell r="I39">
            <v>1.29</v>
          </cell>
          <cell r="J39">
            <v>0.016352868</v>
          </cell>
        </row>
        <row r="40">
          <cell r="A40">
            <v>320640</v>
          </cell>
          <cell r="B40" t="str">
            <v>HONEY BEE ACRES SUNBURST ART STUDIO</v>
          </cell>
          <cell r="C40" t="str">
            <v>彩虹屋</v>
          </cell>
          <cell r="D40">
            <v>1</v>
          </cell>
          <cell r="E40">
            <v>53.5</v>
          </cell>
          <cell r="F40">
            <v>22.5</v>
          </cell>
          <cell r="G40">
            <v>32.5</v>
          </cell>
          <cell r="H40">
            <v>1.73</v>
          </cell>
          <cell r="I40">
            <v>2.2</v>
          </cell>
          <cell r="J40">
            <v>0.039121875</v>
          </cell>
        </row>
        <row r="41">
          <cell r="A41">
            <v>320641</v>
          </cell>
          <cell r="B41" t="str">
            <v>HONEY BEE ACRES CRYSTAL'S ICE CREAM SHOP PLAYSET</v>
          </cell>
          <cell r="C41" t="str">
            <v>冰淇淋屋</v>
          </cell>
          <cell r="D41">
            <v>2</v>
          </cell>
          <cell r="E41">
            <v>43</v>
          </cell>
          <cell r="F41">
            <v>32.5</v>
          </cell>
          <cell r="G41">
            <v>23</v>
          </cell>
          <cell r="H41">
            <v>1.68</v>
          </cell>
          <cell r="I41">
            <v>2.15</v>
          </cell>
          <cell r="J41">
            <v>0.0321425</v>
          </cell>
        </row>
        <row r="42">
          <cell r="A42">
            <v>320916</v>
          </cell>
          <cell r="B42" t="str">
            <v>HONEY BEE ACRES CRYSTAL'S ICE CREAM SHOP PLAYSET</v>
          </cell>
          <cell r="C42" t="str">
            <v>糕屋</v>
          </cell>
          <cell r="D42">
            <v>2</v>
          </cell>
          <cell r="E42">
            <v>38.1</v>
          </cell>
          <cell r="F42">
            <v>30.48</v>
          </cell>
          <cell r="G42">
            <v>22.225</v>
          </cell>
          <cell r="H42">
            <v>1.68</v>
          </cell>
          <cell r="I42">
            <v>2.15</v>
          </cell>
          <cell r="J42">
            <v>0.0258096258</v>
          </cell>
        </row>
        <row r="43">
          <cell r="A43">
            <v>320649</v>
          </cell>
          <cell r="B43" t="str">
            <v>FIDGIE FRIENDS WATERMELOW</v>
          </cell>
          <cell r="C43" t="str">
            <v>西瓜女孩</v>
          </cell>
          <cell r="D43">
            <v>2</v>
          </cell>
          <cell r="E43">
            <v>22.5</v>
          </cell>
          <cell r="F43">
            <v>22.5</v>
          </cell>
          <cell r="G43">
            <v>33</v>
          </cell>
          <cell r="H43">
            <v>0.822</v>
          </cell>
          <cell r="I43">
            <v>1.185</v>
          </cell>
          <cell r="J43">
            <v>0.01670625</v>
          </cell>
        </row>
        <row r="44">
          <cell r="A44">
            <v>320650</v>
          </cell>
          <cell r="B44" t="str">
            <v>FIDGIE FRIENDS BOBA BUBBLES</v>
          </cell>
          <cell r="C44" t="str">
            <v>波巴女孩</v>
          </cell>
          <cell r="D44">
            <v>2</v>
          </cell>
          <cell r="E44">
            <v>22.5</v>
          </cell>
          <cell r="F44">
            <v>22.5</v>
          </cell>
          <cell r="G44">
            <v>33</v>
          </cell>
          <cell r="H44">
            <v>0.957</v>
          </cell>
          <cell r="I44">
            <v>1.32</v>
          </cell>
          <cell r="J44">
            <v>0.01670625</v>
          </cell>
        </row>
        <row r="45">
          <cell r="A45">
            <v>320651</v>
          </cell>
          <cell r="B45" t="str">
            <v>FIDGIE FRIENDS DANDELION WISHES</v>
          </cell>
          <cell r="C45" t="str">
            <v>蒲公英女孩</v>
          </cell>
          <cell r="D45">
            <v>2</v>
          </cell>
          <cell r="E45">
            <v>22.5</v>
          </cell>
          <cell r="F45">
            <v>22.5</v>
          </cell>
          <cell r="G45">
            <v>33</v>
          </cell>
          <cell r="H45">
            <v>1.276</v>
          </cell>
          <cell r="I45">
            <v>1.645</v>
          </cell>
          <cell r="J45">
            <v>0.01670625</v>
          </cell>
        </row>
        <row r="46">
          <cell r="A46">
            <v>320652</v>
          </cell>
          <cell r="B46" t="str">
            <v>FIDGIE FRIENDS UNICORN SPRINKLES</v>
          </cell>
          <cell r="C46" t="str">
            <v>独角女孩</v>
          </cell>
          <cell r="D46">
            <v>2</v>
          </cell>
          <cell r="E46">
            <v>22.5</v>
          </cell>
          <cell r="F46">
            <v>22.5</v>
          </cell>
          <cell r="G46">
            <v>33</v>
          </cell>
          <cell r="H46">
            <v>0.894</v>
          </cell>
          <cell r="I46">
            <v>1.262</v>
          </cell>
          <cell r="J46">
            <v>0.01670625</v>
          </cell>
        </row>
        <row r="47">
          <cell r="A47">
            <v>320839</v>
          </cell>
        </row>
        <row r="47">
          <cell r="C47" t="str">
            <v>面条女孩</v>
          </cell>
          <cell r="D47">
            <v>2</v>
          </cell>
          <cell r="E47">
            <v>22.5</v>
          </cell>
          <cell r="F47">
            <v>22.5</v>
          </cell>
          <cell r="G47">
            <v>33</v>
          </cell>
          <cell r="H47">
            <v>0.894</v>
          </cell>
          <cell r="I47">
            <v>1.262</v>
          </cell>
          <cell r="J47">
            <v>0.01670625</v>
          </cell>
        </row>
        <row r="48">
          <cell r="A48">
            <v>320840</v>
          </cell>
        </row>
        <row r="48">
          <cell r="C48" t="str">
            <v>披萨女孩</v>
          </cell>
          <cell r="D48">
            <v>2</v>
          </cell>
          <cell r="E48">
            <v>22.5</v>
          </cell>
          <cell r="F48">
            <v>22.5</v>
          </cell>
          <cell r="G48">
            <v>33</v>
          </cell>
          <cell r="H48">
            <v>0.894</v>
          </cell>
          <cell r="I48">
            <v>1.262</v>
          </cell>
          <cell r="J48">
            <v>0.01670625</v>
          </cell>
        </row>
        <row r="49">
          <cell r="A49">
            <v>320841</v>
          </cell>
          <cell r="B49" t="str">
            <v>FIDGIE FRIENDS UNICORN SPRINKLES</v>
          </cell>
          <cell r="C49" t="str">
            <v>独角女孩</v>
          </cell>
          <cell r="D49">
            <v>2</v>
          </cell>
          <cell r="E49">
            <v>22.5</v>
          </cell>
          <cell r="F49">
            <v>22.5</v>
          </cell>
          <cell r="G49">
            <v>33</v>
          </cell>
          <cell r="H49">
            <v>0.894</v>
          </cell>
          <cell r="I49">
            <v>1.262</v>
          </cell>
          <cell r="J49">
            <v>0.01670625</v>
          </cell>
        </row>
        <row r="50">
          <cell r="A50">
            <v>320915</v>
          </cell>
          <cell r="B50" t="str">
            <v>HONEY BEE ACRES RAINBOW RIDGE - 9 STYLES</v>
          </cell>
          <cell r="C50" t="str">
            <v>圣装伙伴</v>
          </cell>
          <cell r="D50">
            <v>4</v>
          </cell>
          <cell r="E50">
            <v>31.5</v>
          </cell>
          <cell r="F50">
            <v>25</v>
          </cell>
          <cell r="G50">
            <v>20</v>
          </cell>
          <cell r="H50">
            <v>0.82</v>
          </cell>
          <cell r="I50">
            <v>1.08</v>
          </cell>
          <cell r="J50">
            <v>0.01575</v>
          </cell>
        </row>
        <row r="51">
          <cell r="A51">
            <v>320643</v>
          </cell>
        </row>
        <row r="51">
          <cell r="C51" t="str">
            <v>复活节彩蛋</v>
          </cell>
          <cell r="D51">
            <v>24</v>
          </cell>
          <cell r="E51">
            <v>62.3316</v>
          </cell>
          <cell r="F51">
            <v>37.465</v>
          </cell>
          <cell r="G51">
            <v>14.605</v>
          </cell>
        </row>
        <row r="51">
          <cell r="J51">
            <v>0.03410637581937</v>
          </cell>
        </row>
        <row r="52">
          <cell r="A52">
            <v>320993</v>
          </cell>
        </row>
        <row r="52">
          <cell r="C52" t="str">
            <v>健身房</v>
          </cell>
          <cell r="D52">
            <v>5</v>
          </cell>
          <cell r="E52">
            <v>59.69</v>
          </cell>
          <cell r="F52">
            <v>39.37</v>
          </cell>
          <cell r="G52">
            <v>44.45</v>
          </cell>
        </row>
        <row r="52">
          <cell r="J52">
            <v>0.104457291085</v>
          </cell>
        </row>
        <row r="53">
          <cell r="A53" t="str">
            <v>12369（1）</v>
          </cell>
        </row>
        <row r="53">
          <cell r="C53" t="str">
            <v>摇摆米奇</v>
          </cell>
          <cell r="D53">
            <v>1</v>
          </cell>
          <cell r="E53">
            <v>37.084</v>
          </cell>
          <cell r="F53">
            <v>16.51</v>
          </cell>
          <cell r="G53">
            <v>42.545</v>
          </cell>
        </row>
        <row r="53">
          <cell r="J53">
            <v>0.0260484672578</v>
          </cell>
        </row>
        <row r="54">
          <cell r="A54" t="str">
            <v>12369（2）</v>
          </cell>
        </row>
        <row r="54">
          <cell r="C54" t="str">
            <v>摇摆米奇</v>
          </cell>
          <cell r="D54">
            <v>2</v>
          </cell>
          <cell r="E54">
            <v>37.084</v>
          </cell>
          <cell r="F54">
            <v>31.75</v>
          </cell>
          <cell r="G54">
            <v>42.545</v>
          </cell>
        </row>
        <row r="54">
          <cell r="J54">
            <v>0.050093206265</v>
          </cell>
        </row>
        <row r="55">
          <cell r="A55" t="str">
            <v>12369（3）</v>
          </cell>
        </row>
        <row r="55">
          <cell r="C55" t="str">
            <v>摇摆米奇</v>
          </cell>
          <cell r="D55">
            <v>3</v>
          </cell>
          <cell r="E55">
            <v>48.26</v>
          </cell>
          <cell r="F55">
            <v>36.83</v>
          </cell>
          <cell r="G55">
            <v>42.545</v>
          </cell>
        </row>
        <row r="55">
          <cell r="J55">
            <v>0.075620155211</v>
          </cell>
        </row>
        <row r="56">
          <cell r="A56" t="str">
            <v>12369（4）</v>
          </cell>
          <cell r="B56" t="str">
            <v>纸箱（4个装）</v>
          </cell>
          <cell r="C56" t="str">
            <v>摇摆米奇</v>
          </cell>
          <cell r="D56">
            <v>4</v>
          </cell>
          <cell r="E56">
            <v>64.135</v>
          </cell>
          <cell r="F56">
            <v>36.83</v>
          </cell>
          <cell r="G56">
            <v>42.545</v>
          </cell>
        </row>
        <row r="56">
          <cell r="J56">
            <v>0.10049520626725</v>
          </cell>
        </row>
        <row r="57">
          <cell r="A57" t="str">
            <v>96112（1）</v>
          </cell>
          <cell r="B57" t="str">
            <v>纸箱（1个装有彩盒）</v>
          </cell>
          <cell r="C57" t="str">
            <v>JJ大头娃娃</v>
          </cell>
        </row>
        <row r="57">
          <cell r="E57">
            <v>30</v>
          </cell>
          <cell r="F57">
            <v>28</v>
          </cell>
          <cell r="G57">
            <v>18.5</v>
          </cell>
        </row>
        <row r="57">
          <cell r="J57">
            <v>0.01554</v>
          </cell>
        </row>
        <row r="58">
          <cell r="A58" t="str">
            <v>96112（9）</v>
          </cell>
          <cell r="B58" t="str">
            <v>纸箱（9个装无彩盒）</v>
          </cell>
          <cell r="C58" t="str">
            <v>JJ大头娃娃</v>
          </cell>
        </row>
        <row r="58">
          <cell r="E58">
            <v>53.34</v>
          </cell>
          <cell r="F58">
            <v>45.72</v>
          </cell>
          <cell r="G58">
            <v>27.94</v>
          </cell>
        </row>
        <row r="58">
          <cell r="J58">
            <v>0.068137412112</v>
          </cell>
        </row>
        <row r="59">
          <cell r="A59" t="str">
            <v>96112（4）</v>
          </cell>
          <cell r="B59" t="str">
            <v>纸箱（4个装有彩盒）</v>
          </cell>
          <cell r="C59" t="str">
            <v>JJ大头娃娃</v>
          </cell>
        </row>
        <row r="59">
          <cell r="E59">
            <v>54</v>
          </cell>
          <cell r="F59">
            <v>35</v>
          </cell>
          <cell r="G59">
            <v>31</v>
          </cell>
        </row>
        <row r="59">
          <cell r="J59">
            <v>0.05859</v>
          </cell>
        </row>
        <row r="60">
          <cell r="A60" t="str">
            <v>96112（6）</v>
          </cell>
          <cell r="B60" t="str">
            <v>纸箱（6个装有彩盒）</v>
          </cell>
          <cell r="C60" t="str">
            <v>JJ大头娃娃</v>
          </cell>
        </row>
        <row r="60">
          <cell r="E60">
            <v>52.705</v>
          </cell>
          <cell r="F60">
            <v>52.07</v>
          </cell>
          <cell r="G60">
            <v>29.845</v>
          </cell>
        </row>
        <row r="60">
          <cell r="J60">
            <v>0.08190510635075</v>
          </cell>
        </row>
        <row r="61">
          <cell r="A61">
            <v>96112</v>
          </cell>
          <cell r="B61" t="str">
            <v>邮包盒无彩盒</v>
          </cell>
          <cell r="C61" t="str">
            <v>JJ大头娃娃</v>
          </cell>
        </row>
        <row r="61">
          <cell r="E61">
            <v>26.67</v>
          </cell>
          <cell r="F61">
            <v>14.605</v>
          </cell>
          <cell r="G61">
            <v>27.94</v>
          </cell>
        </row>
        <row r="61">
          <cell r="J61">
            <v>0.010883058879</v>
          </cell>
        </row>
        <row r="62">
          <cell r="A62" t="str">
            <v>96112（邮包）</v>
          </cell>
          <cell r="B62" t="str">
            <v>6个邮包盒纸箱</v>
          </cell>
          <cell r="C62" t="str">
            <v>JJ大头娃娃</v>
          </cell>
        </row>
        <row r="62">
          <cell r="E62">
            <v>54.61</v>
          </cell>
          <cell r="F62">
            <v>45.72</v>
          </cell>
          <cell r="G62">
            <v>29.21</v>
          </cell>
        </row>
        <row r="62">
          <cell r="J62">
            <v>0.072930628332</v>
          </cell>
        </row>
        <row r="63">
          <cell r="A63" t="str">
            <v>96112（PDQ）</v>
          </cell>
          <cell r="B63" t="str">
            <v>纸箱（6个装BJ版PDQ）</v>
          </cell>
          <cell r="C63" t="str">
            <v>JJ大头娃娃</v>
          </cell>
        </row>
        <row r="63">
          <cell r="E63">
            <v>54.61</v>
          </cell>
          <cell r="F63">
            <v>52.705</v>
          </cell>
          <cell r="G63">
            <v>30.48</v>
          </cell>
        </row>
        <row r="63">
          <cell r="J63">
            <v>0.087728147124</v>
          </cell>
        </row>
        <row r="64">
          <cell r="A64" t="str">
            <v>96112（39）</v>
          </cell>
          <cell r="B64" t="str">
            <v>纸箱（39个装有彩盒）</v>
          </cell>
          <cell r="C64" t="str">
            <v>JJ大头娃娃</v>
          </cell>
        </row>
        <row r="64">
          <cell r="E64">
            <v>124</v>
          </cell>
          <cell r="F64">
            <v>54</v>
          </cell>
          <cell r="G64">
            <v>88</v>
          </cell>
        </row>
        <row r="64">
          <cell r="J64">
            <v>0.589248</v>
          </cell>
        </row>
        <row r="65">
          <cell r="A65" t="str">
            <v>88188（3）</v>
          </cell>
          <cell r="B65" t="str">
            <v>纸箱（3个装）</v>
          </cell>
          <cell r="C65" t="str">
            <v>背包狗</v>
          </cell>
        </row>
        <row r="65">
          <cell r="E65">
            <v>55.245</v>
          </cell>
          <cell r="F65">
            <v>24.765</v>
          </cell>
          <cell r="G65">
            <v>35.56</v>
          </cell>
        </row>
        <row r="65">
          <cell r="J65">
            <v>0.048651144633</v>
          </cell>
        </row>
        <row r="66">
          <cell r="A66" t="str">
            <v>88188（1）</v>
          </cell>
          <cell r="B66" t="str">
            <v>纸箱（1个装）</v>
          </cell>
          <cell r="C66" t="str">
            <v>背包狗</v>
          </cell>
        </row>
        <row r="66">
          <cell r="E66">
            <v>24.13</v>
          </cell>
          <cell r="F66">
            <v>19.05</v>
          </cell>
          <cell r="G66">
            <v>34.29</v>
          </cell>
        </row>
        <row r="66">
          <cell r="J66">
            <v>0.015762307185</v>
          </cell>
        </row>
        <row r="67">
          <cell r="A67">
            <v>95526</v>
          </cell>
          <cell r="B67" t="str">
            <v>纸箱（18个装）</v>
          </cell>
        </row>
        <row r="67">
          <cell r="E67">
            <v>24</v>
          </cell>
          <cell r="F67">
            <v>22</v>
          </cell>
          <cell r="G67">
            <v>39.5</v>
          </cell>
        </row>
        <row r="67">
          <cell r="J67">
            <v>0.020856</v>
          </cell>
        </row>
        <row r="68">
          <cell r="A68" t="str">
            <v>42062（2）</v>
          </cell>
          <cell r="B68" t="str">
            <v>纸箱（2个装）</v>
          </cell>
          <cell r="C68" t="str">
            <v>大狗</v>
          </cell>
        </row>
        <row r="68">
          <cell r="E68">
            <v>35</v>
          </cell>
          <cell r="F68">
            <v>32.5</v>
          </cell>
          <cell r="G68">
            <v>29.5</v>
          </cell>
        </row>
        <row r="68">
          <cell r="J68">
            <v>0.03355625</v>
          </cell>
        </row>
        <row r="69">
          <cell r="A69" t="str">
            <v>42064（2）</v>
          </cell>
          <cell r="B69" t="str">
            <v>纸箱（2个装）</v>
          </cell>
          <cell r="C69" t="str">
            <v>大马</v>
          </cell>
        </row>
        <row r="69">
          <cell r="E69">
            <v>35</v>
          </cell>
          <cell r="F69">
            <v>32.5</v>
          </cell>
          <cell r="G69">
            <v>29.5</v>
          </cell>
        </row>
        <row r="69">
          <cell r="J69">
            <v>0.03355625</v>
          </cell>
        </row>
        <row r="70">
          <cell r="A70" t="str">
            <v>42062（6）</v>
          </cell>
          <cell r="B70" t="str">
            <v>纸箱（6个装）</v>
          </cell>
          <cell r="C70" t="str">
            <v>大狗</v>
          </cell>
        </row>
        <row r="70">
          <cell r="E70">
            <v>57.15</v>
          </cell>
          <cell r="F70">
            <v>51.435</v>
          </cell>
          <cell r="G70">
            <v>31.75</v>
          </cell>
        </row>
        <row r="70">
          <cell r="J70">
            <v>0.0933294504375</v>
          </cell>
        </row>
        <row r="71">
          <cell r="A71" t="str">
            <v>42064（6）</v>
          </cell>
          <cell r="B71" t="str">
            <v>纸箱（6个装）</v>
          </cell>
          <cell r="C71" t="str">
            <v>大马</v>
          </cell>
        </row>
        <row r="71">
          <cell r="E71">
            <v>57.15</v>
          </cell>
          <cell r="F71">
            <v>51.435</v>
          </cell>
          <cell r="G71">
            <v>31.75</v>
          </cell>
        </row>
        <row r="71">
          <cell r="J71">
            <v>0.0933294504375</v>
          </cell>
        </row>
        <row r="72">
          <cell r="A72" t="str">
            <v>42069(6)</v>
          </cell>
          <cell r="B72" t="str">
            <v>纸箱（6个装）</v>
          </cell>
          <cell r="C72" t="str">
            <v>大狗</v>
          </cell>
        </row>
        <row r="72">
          <cell r="E72">
            <v>57.15</v>
          </cell>
          <cell r="F72">
            <v>51.435</v>
          </cell>
          <cell r="G72">
            <v>31.75</v>
          </cell>
        </row>
        <row r="72">
          <cell r="J72">
            <v>0.0933294504375</v>
          </cell>
        </row>
        <row r="73">
          <cell r="A73" t="str">
            <v>42068(6)</v>
          </cell>
          <cell r="B73" t="str">
            <v>纸箱（6个装）</v>
          </cell>
          <cell r="C73" t="str">
            <v>大马</v>
          </cell>
        </row>
        <row r="73">
          <cell r="E73">
            <v>57.15</v>
          </cell>
          <cell r="F73">
            <v>51.435</v>
          </cell>
          <cell r="G73">
            <v>31.75</v>
          </cell>
        </row>
        <row r="73">
          <cell r="J73">
            <v>0.0933294504375</v>
          </cell>
        </row>
        <row r="74">
          <cell r="A74" t="str">
            <v>42087(6)</v>
          </cell>
          <cell r="B74" t="str">
            <v>纸箱（6个装）</v>
          </cell>
          <cell r="C74" t="str">
            <v>大马</v>
          </cell>
        </row>
        <row r="74">
          <cell r="E74">
            <v>57.15</v>
          </cell>
          <cell r="F74">
            <v>51.435</v>
          </cell>
          <cell r="G74">
            <v>31.75</v>
          </cell>
        </row>
        <row r="74">
          <cell r="J74">
            <v>0.0933294504375</v>
          </cell>
        </row>
        <row r="75">
          <cell r="A75" t="str">
            <v>42069/87</v>
          </cell>
          <cell r="B75" t="str">
            <v>纸箱（6个装）</v>
          </cell>
          <cell r="C75" t="str">
            <v>大狗/大马混装</v>
          </cell>
        </row>
        <row r="75">
          <cell r="E75">
            <v>57.15</v>
          </cell>
          <cell r="F75">
            <v>51.435</v>
          </cell>
          <cell r="G75">
            <v>31.75</v>
          </cell>
        </row>
        <row r="75">
          <cell r="J75">
            <v>0.0933294504375</v>
          </cell>
        </row>
        <row r="76">
          <cell r="A76" t="str">
            <v>470111（4）</v>
          </cell>
          <cell r="B76" t="str">
            <v>纸箱（4个装）</v>
          </cell>
          <cell r="C76" t="str">
            <v>卷发女孩</v>
          </cell>
        </row>
        <row r="76">
          <cell r="E76">
            <v>27.94</v>
          </cell>
          <cell r="F76">
            <v>16.51</v>
          </cell>
          <cell r="G76">
            <v>33</v>
          </cell>
        </row>
        <row r="76">
          <cell r="J76">
            <v>0.0152225502</v>
          </cell>
        </row>
        <row r="77">
          <cell r="A77" t="str">
            <v>470112（4）</v>
          </cell>
          <cell r="B77" t="str">
            <v>纸箱（4个装）</v>
          </cell>
          <cell r="C77" t="str">
            <v>黄色狗</v>
          </cell>
        </row>
        <row r="77">
          <cell r="E77">
            <v>27.94</v>
          </cell>
          <cell r="F77">
            <v>16.51</v>
          </cell>
          <cell r="G77">
            <v>33</v>
          </cell>
        </row>
        <row r="77">
          <cell r="J77">
            <v>0.0152225502</v>
          </cell>
        </row>
        <row r="78">
          <cell r="A78" t="str">
            <v>470113（4）</v>
          </cell>
          <cell r="B78" t="str">
            <v>纸箱（4个装）</v>
          </cell>
          <cell r="C78" t="str">
            <v>直发女孩</v>
          </cell>
        </row>
        <row r="78">
          <cell r="E78">
            <v>27.94</v>
          </cell>
          <cell r="F78">
            <v>16.51</v>
          </cell>
          <cell r="G78">
            <v>33</v>
          </cell>
        </row>
        <row r="78">
          <cell r="J78">
            <v>0.0152225502</v>
          </cell>
        </row>
        <row r="79">
          <cell r="A79" t="str">
            <v>470114（4）</v>
          </cell>
          <cell r="B79" t="str">
            <v>纸箱（4个装）</v>
          </cell>
          <cell r="C79" t="str">
            <v>粉色兔子</v>
          </cell>
        </row>
        <row r="79">
          <cell r="E79">
            <v>27.94</v>
          </cell>
          <cell r="F79">
            <v>16.51</v>
          </cell>
          <cell r="G79">
            <v>33</v>
          </cell>
        </row>
        <row r="79">
          <cell r="J79">
            <v>0.0152225502</v>
          </cell>
        </row>
        <row r="80">
          <cell r="A80" t="str">
            <v>470111（18）</v>
          </cell>
          <cell r="B80" t="str">
            <v>纸箱（18个装）</v>
          </cell>
          <cell r="C80" t="str">
            <v>卷发女孩</v>
          </cell>
        </row>
        <row r="80">
          <cell r="E80">
            <v>48.26</v>
          </cell>
          <cell r="F80">
            <v>40.64</v>
          </cell>
          <cell r="G80">
            <v>31.75</v>
          </cell>
        </row>
        <row r="80">
          <cell r="J80">
            <v>0.0622708432</v>
          </cell>
        </row>
        <row r="81">
          <cell r="A81" t="str">
            <v>470112（18）</v>
          </cell>
          <cell r="B81" t="str">
            <v>纸箱（18个装）</v>
          </cell>
          <cell r="C81" t="str">
            <v>黄色狗</v>
          </cell>
        </row>
        <row r="81">
          <cell r="E81">
            <v>48.26</v>
          </cell>
          <cell r="F81">
            <v>40.64</v>
          </cell>
          <cell r="G81">
            <v>31.75</v>
          </cell>
        </row>
        <row r="81">
          <cell r="J81">
            <v>0.0622708432</v>
          </cell>
        </row>
        <row r="82">
          <cell r="A82" t="str">
            <v>470113（18）</v>
          </cell>
          <cell r="B82" t="str">
            <v>纸箱（18个装）</v>
          </cell>
          <cell r="C82" t="str">
            <v>直发女孩</v>
          </cell>
        </row>
        <row r="82">
          <cell r="E82">
            <v>48.26</v>
          </cell>
          <cell r="F82">
            <v>40.64</v>
          </cell>
          <cell r="G82">
            <v>31.75</v>
          </cell>
        </row>
        <row r="82">
          <cell r="J82">
            <v>0.0622708432</v>
          </cell>
        </row>
        <row r="83">
          <cell r="A83" t="str">
            <v>470114（18）</v>
          </cell>
          <cell r="B83" t="str">
            <v>纸箱（18个装）</v>
          </cell>
          <cell r="C83" t="str">
            <v>粉色兔子</v>
          </cell>
        </row>
        <row r="83">
          <cell r="E83">
            <v>48.26</v>
          </cell>
          <cell r="F83">
            <v>40.64</v>
          </cell>
          <cell r="G83">
            <v>31.75</v>
          </cell>
        </row>
        <row r="83">
          <cell r="J83">
            <v>0.0622708432</v>
          </cell>
        </row>
        <row r="84">
          <cell r="A84" t="str">
            <v>470616（4）</v>
          </cell>
          <cell r="B84" t="str">
            <v>纸箱（4个装）</v>
          </cell>
          <cell r="C84" t="str">
            <v>直发仙女</v>
          </cell>
        </row>
        <row r="84">
          <cell r="E84">
            <v>33</v>
          </cell>
          <cell r="F84">
            <v>17.2</v>
          </cell>
          <cell r="G84">
            <v>28</v>
          </cell>
        </row>
        <row r="84">
          <cell r="J84">
            <v>0.0158928</v>
          </cell>
        </row>
        <row r="85">
          <cell r="A85" t="str">
            <v>12136（1）</v>
          </cell>
          <cell r="B85" t="str">
            <v>1个装纸箱</v>
          </cell>
          <cell r="C85" t="str">
            <v>爬爬米奇</v>
          </cell>
        </row>
        <row r="85">
          <cell r="E85">
            <v>30.48</v>
          </cell>
          <cell r="F85">
            <v>14.605</v>
          </cell>
          <cell r="G85">
            <v>24.13</v>
          </cell>
        </row>
        <row r="85">
          <cell r="J85">
            <v>0.010741720452</v>
          </cell>
        </row>
        <row r="86">
          <cell r="A86" t="str">
            <v>12136（2）</v>
          </cell>
          <cell r="B86" t="str">
            <v>2个装纸箱</v>
          </cell>
          <cell r="C86" t="str">
            <v>爬爬米奇</v>
          </cell>
        </row>
        <row r="86">
          <cell r="E86">
            <v>30.48</v>
          </cell>
          <cell r="F86">
            <v>27.94</v>
          </cell>
          <cell r="G86">
            <v>24.13</v>
          </cell>
        </row>
        <row r="86">
          <cell r="J86">
            <v>0.020549378256</v>
          </cell>
        </row>
        <row r="87">
          <cell r="A87" t="str">
            <v>12136（4）</v>
          </cell>
          <cell r="B87" t="str">
            <v>4个装纸箱</v>
          </cell>
          <cell r="C87" t="str">
            <v>爬爬米奇</v>
          </cell>
        </row>
        <row r="87">
          <cell r="E87">
            <v>57.785</v>
          </cell>
          <cell r="F87">
            <v>27.94</v>
          </cell>
          <cell r="G87">
            <v>24.13</v>
          </cell>
        </row>
        <row r="87">
          <cell r="J87">
            <v>0.038958196277</v>
          </cell>
        </row>
        <row r="88">
          <cell r="A88" t="str">
            <v>12136（8）</v>
          </cell>
          <cell r="B88" t="str">
            <v>8个装纸箱</v>
          </cell>
          <cell r="C88" t="str">
            <v>爬爬米奇</v>
          </cell>
        </row>
        <row r="88">
          <cell r="E88">
            <v>57.785</v>
          </cell>
          <cell r="F88">
            <v>57.15</v>
          </cell>
          <cell r="G88">
            <v>25.4</v>
          </cell>
        </row>
        <row r="88">
          <cell r="J88">
            <v>0.08388128385</v>
          </cell>
        </row>
        <row r="89">
          <cell r="A89" t="str">
            <v>12137（1）</v>
          </cell>
          <cell r="B89" t="str">
            <v>1个装纸箱</v>
          </cell>
          <cell r="C89" t="str">
            <v>爬爬米妮</v>
          </cell>
        </row>
        <row r="89">
          <cell r="E89">
            <v>30.48</v>
          </cell>
          <cell r="F89">
            <v>14.605</v>
          </cell>
          <cell r="G89">
            <v>24.13</v>
          </cell>
        </row>
        <row r="89">
          <cell r="J89">
            <v>0.010741720452</v>
          </cell>
        </row>
        <row r="90">
          <cell r="A90" t="str">
            <v>12137（2）</v>
          </cell>
          <cell r="B90" t="str">
            <v>2个装纸箱</v>
          </cell>
          <cell r="C90" t="str">
            <v>爬爬米妮</v>
          </cell>
        </row>
        <row r="90">
          <cell r="E90">
            <v>30.48</v>
          </cell>
          <cell r="F90">
            <v>27.94</v>
          </cell>
          <cell r="G90">
            <v>24.13</v>
          </cell>
        </row>
        <row r="90">
          <cell r="J90">
            <v>0.020549378256</v>
          </cell>
        </row>
        <row r="91">
          <cell r="A91" t="str">
            <v>12137（4）</v>
          </cell>
          <cell r="B91" t="str">
            <v>4个装纸箱</v>
          </cell>
          <cell r="C91" t="str">
            <v>爬爬米妮</v>
          </cell>
        </row>
        <row r="91">
          <cell r="E91">
            <v>57.785</v>
          </cell>
          <cell r="F91">
            <v>27.94</v>
          </cell>
          <cell r="G91">
            <v>24.13</v>
          </cell>
        </row>
        <row r="91">
          <cell r="J91">
            <v>0.038958196277</v>
          </cell>
        </row>
        <row r="92">
          <cell r="A92" t="str">
            <v>12137（8）</v>
          </cell>
          <cell r="B92" t="str">
            <v>8个装纸箱</v>
          </cell>
          <cell r="C92" t="str">
            <v>爬爬米妮</v>
          </cell>
        </row>
        <row r="92">
          <cell r="E92">
            <v>57.785</v>
          </cell>
          <cell r="F92">
            <v>57.15</v>
          </cell>
          <cell r="G92">
            <v>25.4</v>
          </cell>
        </row>
        <row r="92">
          <cell r="J92">
            <v>0.08388128385</v>
          </cell>
        </row>
        <row r="93">
          <cell r="A93" t="str">
            <v>12125（4）</v>
          </cell>
          <cell r="B93" t="str">
            <v>4个装纸箱</v>
          </cell>
          <cell r="C93" t="str">
            <v>爬爬系列</v>
          </cell>
        </row>
        <row r="93">
          <cell r="E93">
            <v>57.785</v>
          </cell>
          <cell r="F93">
            <v>27.94</v>
          </cell>
          <cell r="G93">
            <v>24.13</v>
          </cell>
        </row>
        <row r="93">
          <cell r="J93">
            <v>0.038958196277</v>
          </cell>
        </row>
        <row r="94">
          <cell r="A94" t="str">
            <v>320398（14）</v>
          </cell>
          <cell r="B94" t="str">
            <v>14个装纸箱</v>
          </cell>
          <cell r="C94" t="str">
            <v>兔子家族</v>
          </cell>
        </row>
        <row r="94">
          <cell r="E94">
            <v>42</v>
          </cell>
          <cell r="F94">
            <v>36</v>
          </cell>
          <cell r="G94">
            <v>22.5</v>
          </cell>
        </row>
        <row r="94">
          <cell r="J94">
            <v>0.03402</v>
          </cell>
        </row>
        <row r="95">
          <cell r="A95">
            <v>320635</v>
          </cell>
          <cell r="B95" t="str">
            <v>2个装纸箱</v>
          </cell>
          <cell r="C95" t="str">
            <v>校车</v>
          </cell>
        </row>
        <row r="95">
          <cell r="E95">
            <v>35.18</v>
          </cell>
          <cell r="F95">
            <v>27.18</v>
          </cell>
          <cell r="G95">
            <v>16.51</v>
          </cell>
        </row>
        <row r="95">
          <cell r="J95">
            <v>0.015786736524</v>
          </cell>
        </row>
        <row r="96">
          <cell r="A96">
            <v>470230</v>
          </cell>
          <cell r="B96" t="str">
            <v>2个装纸箱</v>
          </cell>
          <cell r="C96" t="str">
            <v>转面公仔</v>
          </cell>
        </row>
        <row r="96">
          <cell r="E96">
            <v>35.56</v>
          </cell>
          <cell r="F96">
            <v>22.86</v>
          </cell>
          <cell r="G96">
            <v>30</v>
          </cell>
        </row>
        <row r="96">
          <cell r="J96">
            <v>0.024387048</v>
          </cell>
        </row>
        <row r="97">
          <cell r="A97">
            <v>470231</v>
          </cell>
          <cell r="B97" t="str">
            <v>2个装纸箱</v>
          </cell>
          <cell r="C97" t="str">
            <v>转面公仔</v>
          </cell>
        </row>
        <row r="97">
          <cell r="E97">
            <v>35.56</v>
          </cell>
          <cell r="F97">
            <v>22.86</v>
          </cell>
          <cell r="G97">
            <v>31.75</v>
          </cell>
        </row>
        <row r="97">
          <cell r="J97">
            <v>0.0258096258</v>
          </cell>
        </row>
        <row r="98">
          <cell r="A98" t="str">
            <v>470232-KH</v>
          </cell>
          <cell r="B98" t="str">
            <v>2个装纸箱</v>
          </cell>
          <cell r="C98" t="str">
            <v>转面公仔</v>
          </cell>
        </row>
        <row r="98">
          <cell r="E98">
            <v>35.56</v>
          </cell>
          <cell r="F98">
            <v>22.86</v>
          </cell>
          <cell r="G98">
            <v>31.75</v>
          </cell>
        </row>
        <row r="98">
          <cell r="J98">
            <v>0.0258096258</v>
          </cell>
        </row>
        <row r="99">
          <cell r="A99">
            <v>470232</v>
          </cell>
          <cell r="B99" t="str">
            <v>2个装纸箱</v>
          </cell>
          <cell r="C99" t="str">
            <v>转面公仔</v>
          </cell>
        </row>
        <row r="99">
          <cell r="E99">
            <v>35.56</v>
          </cell>
          <cell r="F99">
            <v>22.86</v>
          </cell>
          <cell r="G99">
            <v>31.75</v>
          </cell>
        </row>
        <row r="99">
          <cell r="J99">
            <v>0.0258096258</v>
          </cell>
        </row>
        <row r="100">
          <cell r="A100">
            <v>470227</v>
          </cell>
          <cell r="B100" t="str">
            <v>2个装纸箱</v>
          </cell>
          <cell r="C100" t="str">
            <v>转面公仔</v>
          </cell>
        </row>
        <row r="100">
          <cell r="E100">
            <v>35.56</v>
          </cell>
          <cell r="F100">
            <v>22.86</v>
          </cell>
          <cell r="G100">
            <v>31.75</v>
          </cell>
        </row>
        <row r="100">
          <cell r="J100">
            <v>0.0258096258</v>
          </cell>
        </row>
        <row r="101">
          <cell r="A101">
            <v>470228</v>
          </cell>
          <cell r="B101" t="str">
            <v>2个装纸箱</v>
          </cell>
          <cell r="C101" t="str">
            <v>转面公仔</v>
          </cell>
        </row>
        <row r="101">
          <cell r="E101">
            <v>35.56</v>
          </cell>
          <cell r="F101">
            <v>22.86</v>
          </cell>
          <cell r="G101">
            <v>31.75</v>
          </cell>
        </row>
        <row r="101">
          <cell r="J101">
            <v>0.0258096258</v>
          </cell>
        </row>
        <row r="102">
          <cell r="A102">
            <v>86330</v>
          </cell>
          <cell r="B102" t="str">
            <v>2个装纸箱</v>
          </cell>
          <cell r="C102" t="str">
            <v>搪胶小鸭</v>
          </cell>
        </row>
        <row r="102">
          <cell r="E102">
            <v>25</v>
          </cell>
          <cell r="F102">
            <v>36</v>
          </cell>
          <cell r="G102">
            <v>39</v>
          </cell>
        </row>
        <row r="102">
          <cell r="J102">
            <v>0.0351</v>
          </cell>
        </row>
        <row r="103">
          <cell r="A103" t="str">
            <v>58725(48)</v>
          </cell>
          <cell r="B103" t="str">
            <v>48个装纸箱</v>
          </cell>
          <cell r="C103" t="str">
            <v>搪胶小鸭</v>
          </cell>
        </row>
        <row r="103">
          <cell r="E103">
            <v>34.925</v>
          </cell>
          <cell r="F103">
            <v>22.225</v>
          </cell>
          <cell r="G103">
            <v>19.05</v>
          </cell>
        </row>
        <row r="103">
          <cell r="J103">
            <v>0.01478676478125</v>
          </cell>
        </row>
        <row r="104">
          <cell r="A104">
            <v>26850</v>
          </cell>
          <cell r="B104" t="str">
            <v>48个装纸箱</v>
          </cell>
          <cell r="C104" t="str">
            <v>搪胶小鸭</v>
          </cell>
        </row>
        <row r="104">
          <cell r="E104">
            <v>34.925</v>
          </cell>
          <cell r="F104">
            <v>22.225</v>
          </cell>
          <cell r="G104">
            <v>19.05</v>
          </cell>
        </row>
        <row r="104">
          <cell r="J104">
            <v>0.01478676478125</v>
          </cell>
        </row>
        <row r="105">
          <cell r="A105" t="str">
            <v>33415（48）</v>
          </cell>
          <cell r="B105" t="str">
            <v>48个装纸箱</v>
          </cell>
          <cell r="C105" t="str">
            <v>搪胶小鸭</v>
          </cell>
          <cell r="D105">
            <v>48</v>
          </cell>
          <cell r="E105">
            <v>34.925</v>
          </cell>
          <cell r="F105">
            <v>22.225</v>
          </cell>
          <cell r="G105">
            <v>19.05</v>
          </cell>
        </row>
        <row r="105">
          <cell r="J105">
            <v>0.01478676478125</v>
          </cell>
        </row>
        <row r="106">
          <cell r="A106" t="str">
            <v>33415（24）</v>
          </cell>
          <cell r="B106" t="str">
            <v>24个装纸箱</v>
          </cell>
          <cell r="C106" t="str">
            <v>搪胶小鸭</v>
          </cell>
          <cell r="D106">
            <v>24</v>
          </cell>
          <cell r="E106">
            <v>28.575</v>
          </cell>
          <cell r="F106">
            <v>19.05</v>
          </cell>
          <cell r="G106">
            <v>16.51</v>
          </cell>
        </row>
        <row r="106">
          <cell r="J106">
            <v>0.0089872804125</v>
          </cell>
        </row>
        <row r="107">
          <cell r="A107" t="str">
            <v>33415（18）</v>
          </cell>
          <cell r="B107" t="str">
            <v>18个装纸箱</v>
          </cell>
          <cell r="C107" t="str">
            <v>搪胶小鸭</v>
          </cell>
          <cell r="D107">
            <v>18</v>
          </cell>
          <cell r="E107">
            <v>32.385</v>
          </cell>
          <cell r="F107">
            <v>17.78</v>
          </cell>
          <cell r="G107">
            <v>10.16</v>
          </cell>
        </row>
        <row r="107">
          <cell r="J107">
            <v>0.005850181848</v>
          </cell>
        </row>
        <row r="108">
          <cell r="A108" t="str">
            <v>33415（36）</v>
          </cell>
          <cell r="B108" t="str">
            <v>36个装纸箱</v>
          </cell>
          <cell r="C108" t="str">
            <v>搪胶小鸭</v>
          </cell>
          <cell r="D108">
            <v>36</v>
          </cell>
          <cell r="E108">
            <v>31.75</v>
          </cell>
          <cell r="F108">
            <v>17.145</v>
          </cell>
          <cell r="G108">
            <v>19.05</v>
          </cell>
        </row>
        <row r="108">
          <cell r="J108">
            <v>0.0103699389375</v>
          </cell>
        </row>
        <row r="109">
          <cell r="A109" t="str">
            <v>33465（24）</v>
          </cell>
          <cell r="B109" t="str">
            <v>24个装纸箱</v>
          </cell>
          <cell r="C109" t="str">
            <v>搪胶小鸭</v>
          </cell>
        </row>
        <row r="109">
          <cell r="E109">
            <v>31</v>
          </cell>
          <cell r="F109">
            <v>22</v>
          </cell>
          <cell r="G109">
            <v>19.5</v>
          </cell>
        </row>
        <row r="109">
          <cell r="J109">
            <v>0.013299</v>
          </cell>
        </row>
        <row r="110">
          <cell r="A110">
            <v>33440</v>
          </cell>
          <cell r="B110" t="str">
            <v>36个装纸箱</v>
          </cell>
          <cell r="C110" t="str">
            <v>搪胶小鸭</v>
          </cell>
        </row>
        <row r="110">
          <cell r="E110">
            <v>37</v>
          </cell>
          <cell r="F110">
            <v>30</v>
          </cell>
          <cell r="G110">
            <v>13.5</v>
          </cell>
        </row>
        <row r="110">
          <cell r="J110">
            <v>0.014985</v>
          </cell>
        </row>
        <row r="111">
          <cell r="A111">
            <v>92058</v>
          </cell>
          <cell r="B111" t="str">
            <v>2个装纸箱</v>
          </cell>
        </row>
        <row r="111">
          <cell r="E111">
            <v>47.625</v>
          </cell>
          <cell r="F111">
            <v>34.925</v>
          </cell>
          <cell r="G111">
            <v>38.1</v>
          </cell>
        </row>
        <row r="111">
          <cell r="J111">
            <v>0.0633718490625</v>
          </cell>
        </row>
        <row r="112">
          <cell r="A112">
            <v>42803</v>
          </cell>
          <cell r="B112" t="str">
            <v>4个装纸箱</v>
          </cell>
        </row>
        <row r="112">
          <cell r="E112">
            <v>32.385</v>
          </cell>
          <cell r="F112">
            <v>11.43</v>
          </cell>
          <cell r="G112">
            <v>16.51</v>
          </cell>
        </row>
        <row r="112">
          <cell r="J112">
            <v>0.0061113506805</v>
          </cell>
        </row>
        <row r="113">
          <cell r="A113">
            <v>470194</v>
          </cell>
          <cell r="B113" t="str">
            <v>2个装纸箱</v>
          </cell>
          <cell r="C113" t="str">
            <v>树屋</v>
          </cell>
        </row>
        <row r="113">
          <cell r="E113">
            <v>41.91</v>
          </cell>
          <cell r="F113">
            <v>31.75</v>
          </cell>
          <cell r="G113">
            <v>30.48</v>
          </cell>
        </row>
        <row r="113">
          <cell r="J113">
            <v>0.0405579834</v>
          </cell>
        </row>
        <row r="114">
          <cell r="A114" t="str">
            <v>14746(3)</v>
          </cell>
          <cell r="B114" t="str">
            <v>3个装纸箱</v>
          </cell>
          <cell r="C114" t="str">
            <v>坐姿米奇</v>
          </cell>
        </row>
        <row r="114">
          <cell r="E114">
            <v>51.435</v>
          </cell>
          <cell r="F114">
            <v>22.225</v>
          </cell>
          <cell r="G114">
            <v>34.925</v>
          </cell>
        </row>
        <row r="114">
          <cell r="J114">
            <v>0.039924264909375</v>
          </cell>
        </row>
        <row r="115">
          <cell r="A115" t="str">
            <v>14747(3)</v>
          </cell>
          <cell r="B115" t="str">
            <v>3个装纸箱</v>
          </cell>
          <cell r="C115" t="str">
            <v>坐姿米妮</v>
          </cell>
        </row>
        <row r="115">
          <cell r="E115">
            <v>51.435</v>
          </cell>
          <cell r="F115">
            <v>22.225</v>
          </cell>
          <cell r="G115">
            <v>34.925</v>
          </cell>
        </row>
        <row r="115">
          <cell r="J115">
            <v>0.039924264909375</v>
          </cell>
        </row>
        <row r="116">
          <cell r="A116" t="str">
            <v>14745(3)</v>
          </cell>
          <cell r="B116" t="str">
            <v>3个装纸箱</v>
          </cell>
          <cell r="C116" t="str">
            <v>坐姿米奇&amp;米妮</v>
          </cell>
        </row>
        <row r="116">
          <cell r="E116">
            <v>51.435</v>
          </cell>
          <cell r="F116">
            <v>22.225</v>
          </cell>
          <cell r="G116">
            <v>34.925</v>
          </cell>
        </row>
        <row r="116">
          <cell r="J116">
            <v>0.039924264909375</v>
          </cell>
        </row>
        <row r="117">
          <cell r="A117">
            <v>320738</v>
          </cell>
          <cell r="B117" t="str">
            <v>HOPSCOTCH LANE BOOSTER SEAT with TRAY</v>
          </cell>
          <cell r="C117" t="str">
            <v>跳伞车道座椅和托盘系列</v>
          </cell>
          <cell r="D117">
            <v>1</v>
          </cell>
          <cell r="E117">
            <v>35.56</v>
          </cell>
          <cell r="F117">
            <v>22</v>
          </cell>
          <cell r="G117">
            <v>40</v>
          </cell>
          <cell r="H117">
            <v>1.92</v>
          </cell>
          <cell r="I117">
            <v>2.22</v>
          </cell>
          <cell r="J117">
            <v>0.0312928</v>
          </cell>
        </row>
        <row r="118">
          <cell r="A118">
            <v>470448</v>
          </cell>
          <cell r="B118" t="str">
            <v>16装纸箱</v>
          </cell>
        </row>
        <row r="118">
          <cell r="E118">
            <v>33.02</v>
          </cell>
          <cell r="F118">
            <v>25.4</v>
          </cell>
          <cell r="G118">
            <v>14.605</v>
          </cell>
        </row>
        <row r="118">
          <cell r="J118">
            <v>0.01224933034</v>
          </cell>
        </row>
        <row r="119">
          <cell r="A119">
            <v>470449</v>
          </cell>
          <cell r="B119" t="str">
            <v>16装纸箱</v>
          </cell>
        </row>
        <row r="119">
          <cell r="E119">
            <v>33.02</v>
          </cell>
          <cell r="F119">
            <v>25.4</v>
          </cell>
          <cell r="G119">
            <v>14.605</v>
          </cell>
        </row>
        <row r="119">
          <cell r="J119">
            <v>0.01224933034</v>
          </cell>
        </row>
        <row r="120">
          <cell r="A120">
            <v>470450</v>
          </cell>
          <cell r="B120" t="str">
            <v>16装纸箱</v>
          </cell>
        </row>
        <row r="120">
          <cell r="E120">
            <v>33.02</v>
          </cell>
          <cell r="F120">
            <v>25.4</v>
          </cell>
          <cell r="G120">
            <v>14.605</v>
          </cell>
        </row>
        <row r="120">
          <cell r="J120">
            <v>0.01224933034</v>
          </cell>
        </row>
        <row r="121">
          <cell r="A121">
            <v>470451</v>
          </cell>
          <cell r="B121" t="str">
            <v>16装纸箱</v>
          </cell>
        </row>
        <row r="121">
          <cell r="E121">
            <v>33.02</v>
          </cell>
          <cell r="F121">
            <v>25.4</v>
          </cell>
          <cell r="G121">
            <v>14.605</v>
          </cell>
        </row>
        <row r="121">
          <cell r="J121">
            <v>0.01224933034</v>
          </cell>
        </row>
        <row r="122">
          <cell r="A122">
            <v>470453</v>
          </cell>
          <cell r="B122" t="str">
            <v>16装纸箱</v>
          </cell>
        </row>
        <row r="122">
          <cell r="E122">
            <v>39.37</v>
          </cell>
          <cell r="F122">
            <v>24.765</v>
          </cell>
          <cell r="G122">
            <v>17.145</v>
          </cell>
        </row>
        <row r="122">
          <cell r="J122">
            <v>0.01671634156725</v>
          </cell>
        </row>
        <row r="123">
          <cell r="A123">
            <v>470454</v>
          </cell>
          <cell r="B123" t="str">
            <v>16装纸箱</v>
          </cell>
        </row>
        <row r="123">
          <cell r="E123">
            <v>39.37</v>
          </cell>
          <cell r="F123">
            <v>24.765</v>
          </cell>
          <cell r="G123">
            <v>17.145</v>
          </cell>
        </row>
        <row r="123">
          <cell r="J123">
            <v>0.01671634156725</v>
          </cell>
        </row>
        <row r="124">
          <cell r="A124">
            <v>470455</v>
          </cell>
          <cell r="B124" t="str">
            <v>16装纸箱</v>
          </cell>
        </row>
        <row r="124">
          <cell r="E124">
            <v>39.37</v>
          </cell>
          <cell r="F124">
            <v>25.4</v>
          </cell>
          <cell r="G124">
            <v>25.4</v>
          </cell>
        </row>
        <row r="124">
          <cell r="J124">
            <v>0.0253999492</v>
          </cell>
        </row>
        <row r="125">
          <cell r="A125">
            <v>470456</v>
          </cell>
          <cell r="B125" t="str">
            <v>16装纸箱</v>
          </cell>
        </row>
        <row r="125">
          <cell r="E125">
            <v>39.37</v>
          </cell>
          <cell r="F125">
            <v>24.765</v>
          </cell>
          <cell r="G125">
            <v>17.145</v>
          </cell>
        </row>
        <row r="125">
          <cell r="J125">
            <v>0.01671634156725</v>
          </cell>
        </row>
        <row r="126">
          <cell r="A126">
            <v>470457</v>
          </cell>
          <cell r="B126" t="str">
            <v>16装纸箱</v>
          </cell>
        </row>
        <row r="126">
          <cell r="E126">
            <v>26.67</v>
          </cell>
          <cell r="F126">
            <v>17.78</v>
          </cell>
          <cell r="G126">
            <v>14.605</v>
          </cell>
        </row>
        <row r="126">
          <cell r="J126">
            <v>0.006925582923</v>
          </cell>
        </row>
        <row r="127">
          <cell r="A127">
            <v>470458</v>
          </cell>
          <cell r="B127" t="str">
            <v>16装纸箱</v>
          </cell>
        </row>
        <row r="127">
          <cell r="E127">
            <v>26.67</v>
          </cell>
          <cell r="F127">
            <v>17.78</v>
          </cell>
          <cell r="G127">
            <v>12.7</v>
          </cell>
        </row>
        <row r="127">
          <cell r="J127">
            <v>0.00602224602</v>
          </cell>
        </row>
        <row r="128">
          <cell r="A128">
            <v>470459</v>
          </cell>
          <cell r="B128" t="str">
            <v>16装纸箱</v>
          </cell>
        </row>
        <row r="128">
          <cell r="E128">
            <v>26.67</v>
          </cell>
          <cell r="F128">
            <v>17.78</v>
          </cell>
          <cell r="G128">
            <v>14.605</v>
          </cell>
        </row>
        <row r="128">
          <cell r="J128">
            <v>0.006925582923</v>
          </cell>
        </row>
        <row r="129">
          <cell r="A129">
            <v>470460</v>
          </cell>
          <cell r="B129" t="str">
            <v>16装纸箱</v>
          </cell>
        </row>
        <row r="129">
          <cell r="E129">
            <v>26.67</v>
          </cell>
          <cell r="F129">
            <v>17.78</v>
          </cell>
          <cell r="G129">
            <v>11.43</v>
          </cell>
        </row>
        <row r="129">
          <cell r="J129">
            <v>0.005420021418</v>
          </cell>
        </row>
        <row r="130">
          <cell r="A130">
            <v>470461</v>
          </cell>
          <cell r="B130" t="str">
            <v>16装纸箱</v>
          </cell>
        </row>
        <row r="130">
          <cell r="E130">
            <v>21.59</v>
          </cell>
          <cell r="F130">
            <v>16.51</v>
          </cell>
          <cell r="G130">
            <v>19.05</v>
          </cell>
        </row>
        <row r="130">
          <cell r="J130">
            <v>0.006790389645</v>
          </cell>
        </row>
        <row r="131">
          <cell r="A131">
            <v>470462</v>
          </cell>
          <cell r="B131" t="str">
            <v>16装纸箱</v>
          </cell>
        </row>
        <row r="131">
          <cell r="E131">
            <v>21.59</v>
          </cell>
          <cell r="F131">
            <v>16.51</v>
          </cell>
          <cell r="G131">
            <v>13.97</v>
          </cell>
        </row>
        <row r="131">
          <cell r="J131">
            <v>0.004979619073</v>
          </cell>
        </row>
        <row r="132">
          <cell r="A132">
            <v>470463</v>
          </cell>
          <cell r="B132" t="str">
            <v>16装纸箱</v>
          </cell>
        </row>
        <row r="132">
          <cell r="E132">
            <v>21.59</v>
          </cell>
          <cell r="F132">
            <v>16.51</v>
          </cell>
          <cell r="G132">
            <v>13.97</v>
          </cell>
        </row>
        <row r="132">
          <cell r="J132">
            <v>0.004979619073</v>
          </cell>
        </row>
        <row r="133">
          <cell r="A133">
            <v>470464</v>
          </cell>
          <cell r="B133" t="str">
            <v>16装纸箱</v>
          </cell>
        </row>
        <row r="133">
          <cell r="E133">
            <v>21.59</v>
          </cell>
          <cell r="F133">
            <v>16.51</v>
          </cell>
          <cell r="G133">
            <v>20.32</v>
          </cell>
        </row>
        <row r="133">
          <cell r="J133">
            <v>0.007243082288</v>
          </cell>
        </row>
        <row r="134">
          <cell r="A134">
            <v>11356</v>
          </cell>
          <cell r="B134" t="str">
            <v>6装纸箱</v>
          </cell>
          <cell r="C134" t="str">
            <v>米奇</v>
          </cell>
        </row>
        <row r="134">
          <cell r="E134">
            <v>36.83</v>
          </cell>
          <cell r="F134">
            <v>29.21</v>
          </cell>
          <cell r="G134">
            <v>17.78</v>
          </cell>
        </row>
        <row r="134">
          <cell r="J134">
            <v>0.019127800454</v>
          </cell>
        </row>
        <row r="135">
          <cell r="A135" t="str">
            <v>12136(4)</v>
          </cell>
          <cell r="B135" t="str">
            <v>4个装纸箱</v>
          </cell>
        </row>
        <row r="135">
          <cell r="E135">
            <v>57.785</v>
          </cell>
          <cell r="F135">
            <v>27.94</v>
          </cell>
          <cell r="G135">
            <v>24.13</v>
          </cell>
        </row>
        <row r="135">
          <cell r="J135">
            <v>0.038958196277</v>
          </cell>
        </row>
        <row r="136">
          <cell r="A136" t="str">
            <v>12137(4)</v>
          </cell>
          <cell r="B136" t="str">
            <v>4个装纸箱</v>
          </cell>
        </row>
        <row r="136">
          <cell r="E136">
            <v>57.785</v>
          </cell>
          <cell r="F136">
            <v>27.94</v>
          </cell>
          <cell r="G136">
            <v>24.13</v>
          </cell>
        </row>
        <row r="136">
          <cell r="J136">
            <v>0.038958196277</v>
          </cell>
        </row>
        <row r="137">
          <cell r="A137" t="str">
            <v>14878(4)</v>
          </cell>
          <cell r="B137" t="str">
            <v>4个装纸箱</v>
          </cell>
        </row>
        <row r="137">
          <cell r="E137">
            <v>57.785</v>
          </cell>
          <cell r="F137">
            <v>27.94</v>
          </cell>
          <cell r="G137">
            <v>24.13</v>
          </cell>
        </row>
        <row r="137">
          <cell r="J137">
            <v>0.038958196277</v>
          </cell>
        </row>
        <row r="138">
          <cell r="A138">
            <v>11356</v>
          </cell>
          <cell r="B138" t="str">
            <v>6装纸箱</v>
          </cell>
          <cell r="C138" t="str">
            <v>米奇</v>
          </cell>
        </row>
        <row r="138">
          <cell r="E138">
            <v>36.83</v>
          </cell>
          <cell r="F138">
            <v>29.21</v>
          </cell>
          <cell r="G138">
            <v>17.78</v>
          </cell>
        </row>
        <row r="138">
          <cell r="J138">
            <v>0.019127800454</v>
          </cell>
        </row>
        <row r="139">
          <cell r="A139">
            <v>11357</v>
          </cell>
          <cell r="B139" t="str">
            <v>6装纸箱</v>
          </cell>
          <cell r="C139" t="str">
            <v>米妮</v>
          </cell>
        </row>
        <row r="139">
          <cell r="E139">
            <v>36.83</v>
          </cell>
          <cell r="F139">
            <v>29.21</v>
          </cell>
          <cell r="G139">
            <v>17.78</v>
          </cell>
        </row>
        <row r="139">
          <cell r="J139">
            <v>0.019127800454</v>
          </cell>
        </row>
        <row r="140">
          <cell r="A140">
            <v>11358</v>
          </cell>
          <cell r="B140" t="str">
            <v>6装纸箱</v>
          </cell>
          <cell r="C140" t="str">
            <v>史迪仔</v>
          </cell>
        </row>
        <row r="140">
          <cell r="E140">
            <v>36.83</v>
          </cell>
          <cell r="F140">
            <v>29.21</v>
          </cell>
          <cell r="G140">
            <v>17.78</v>
          </cell>
        </row>
        <row r="140">
          <cell r="J140">
            <v>0.019127800454</v>
          </cell>
        </row>
        <row r="141">
          <cell r="A141">
            <v>11359</v>
          </cell>
          <cell r="B141" t="str">
            <v>6装纸箱</v>
          </cell>
          <cell r="C141" t="str">
            <v>辛巴</v>
          </cell>
        </row>
        <row r="141">
          <cell r="E141">
            <v>36.83</v>
          </cell>
          <cell r="F141">
            <v>29.21</v>
          </cell>
          <cell r="G141">
            <v>17.78</v>
          </cell>
        </row>
        <row r="141">
          <cell r="J141">
            <v>0.019127800454</v>
          </cell>
        </row>
        <row r="142">
          <cell r="A142">
            <v>11361</v>
          </cell>
          <cell r="B142" t="str">
            <v>6装纸箱</v>
          </cell>
          <cell r="C142" t="str">
            <v>冥王狗</v>
          </cell>
        </row>
        <row r="142">
          <cell r="E142">
            <v>36.83</v>
          </cell>
          <cell r="F142">
            <v>29.21</v>
          </cell>
          <cell r="G142">
            <v>17.78</v>
          </cell>
        </row>
        <row r="142">
          <cell r="J142">
            <v>0.019127800454</v>
          </cell>
        </row>
        <row r="143">
          <cell r="A143">
            <v>11362</v>
          </cell>
          <cell r="B143" t="str">
            <v>6装纸箱</v>
          </cell>
          <cell r="C143" t="str">
            <v>小飞象</v>
          </cell>
        </row>
        <row r="143">
          <cell r="E143">
            <v>36.83</v>
          </cell>
          <cell r="F143">
            <v>29.21</v>
          </cell>
          <cell r="G143">
            <v>17.78</v>
          </cell>
        </row>
        <row r="143">
          <cell r="J143">
            <v>0.019127800454</v>
          </cell>
        </row>
        <row r="144">
          <cell r="A144">
            <v>11363</v>
          </cell>
          <cell r="B144" t="str">
            <v>6装纸箱</v>
          </cell>
          <cell r="C144" t="str">
            <v>维尼熊</v>
          </cell>
        </row>
        <row r="144">
          <cell r="E144">
            <v>36.83</v>
          </cell>
          <cell r="F144">
            <v>29.21</v>
          </cell>
          <cell r="G144">
            <v>17.78</v>
          </cell>
        </row>
        <row r="144">
          <cell r="J144">
            <v>0.019127800454</v>
          </cell>
        </row>
        <row r="145">
          <cell r="A145">
            <v>11364</v>
          </cell>
          <cell r="B145" t="str">
            <v>6装纸箱</v>
          </cell>
          <cell r="C145" t="str">
            <v>玛丽猫</v>
          </cell>
        </row>
        <row r="145">
          <cell r="E145">
            <v>36.83</v>
          </cell>
          <cell r="F145">
            <v>29.21</v>
          </cell>
          <cell r="G145">
            <v>17.78</v>
          </cell>
        </row>
        <row r="145">
          <cell r="J145">
            <v>0.019127800454</v>
          </cell>
        </row>
        <row r="146">
          <cell r="A146">
            <v>26870</v>
          </cell>
          <cell r="B146" t="str">
            <v>48个装纸箱</v>
          </cell>
          <cell r="C146" t="str">
            <v>搪胶小鸭</v>
          </cell>
        </row>
        <row r="146">
          <cell r="E146">
            <v>34.925</v>
          </cell>
          <cell r="F146">
            <v>22.225</v>
          </cell>
          <cell r="G146">
            <v>19.05</v>
          </cell>
        </row>
        <row r="146">
          <cell r="J146">
            <v>0.01478676478125</v>
          </cell>
        </row>
        <row r="147">
          <cell r="A147">
            <v>320752</v>
          </cell>
          <cell r="B147" t="str">
            <v>BATMAN BOOSTER SEAT WITH TABLE</v>
          </cell>
          <cell r="C147" t="str">
            <v>蝙蝠侠座椅和托盘系列</v>
          </cell>
          <cell r="D147">
            <v>1</v>
          </cell>
          <cell r="E147">
            <v>35.56</v>
          </cell>
          <cell r="F147">
            <v>22</v>
          </cell>
          <cell r="G147">
            <v>40</v>
          </cell>
        </row>
        <row r="147">
          <cell r="J147">
            <v>0.0312928</v>
          </cell>
        </row>
        <row r="148">
          <cell r="A148">
            <v>320753</v>
          </cell>
          <cell r="B148" t="str">
            <v>COCOMELON BOOSTER SEAT with TRAY</v>
          </cell>
          <cell r="C148" t="str">
            <v>JJ座椅和托盘系列</v>
          </cell>
          <cell r="D148">
            <v>1</v>
          </cell>
          <cell r="E148">
            <v>35.56</v>
          </cell>
          <cell r="F148">
            <v>22</v>
          </cell>
          <cell r="G148">
            <v>40</v>
          </cell>
        </row>
        <row r="148">
          <cell r="J148">
            <v>0.0312928</v>
          </cell>
        </row>
        <row r="149">
          <cell r="A149">
            <v>470631</v>
          </cell>
        </row>
        <row r="149">
          <cell r="C149" t="str">
            <v>圣代雪糕树</v>
          </cell>
          <cell r="D149">
            <v>8</v>
          </cell>
          <cell r="E149">
            <v>30.7</v>
          </cell>
          <cell r="F149">
            <v>26.3</v>
          </cell>
          <cell r="G149">
            <v>18.8</v>
          </cell>
        </row>
        <row r="149">
          <cell r="J149">
            <v>0.015179308</v>
          </cell>
        </row>
        <row r="150">
          <cell r="A150">
            <v>470632</v>
          </cell>
        </row>
        <row r="150">
          <cell r="C150" t="str">
            <v>草莓吊饰</v>
          </cell>
          <cell r="D150">
            <v>8</v>
          </cell>
          <cell r="E150">
            <v>30.7</v>
          </cell>
          <cell r="F150">
            <v>26.3</v>
          </cell>
          <cell r="G150">
            <v>18.8</v>
          </cell>
        </row>
        <row r="150">
          <cell r="J150">
            <v>0.015179308</v>
          </cell>
        </row>
        <row r="151">
          <cell r="A151">
            <v>470633</v>
          </cell>
        </row>
        <row r="151">
          <cell r="C151" t="str">
            <v>粉色爱心书本</v>
          </cell>
          <cell r="D151">
            <v>8</v>
          </cell>
          <cell r="E151">
            <v>25.7</v>
          </cell>
          <cell r="F151">
            <v>21.2</v>
          </cell>
          <cell r="G151">
            <v>19.8</v>
          </cell>
        </row>
        <row r="151">
          <cell r="J151">
            <v>0.010787832</v>
          </cell>
        </row>
        <row r="152">
          <cell r="A152">
            <v>470634</v>
          </cell>
        </row>
        <row r="152">
          <cell r="C152" t="str">
            <v>书本糖果盒</v>
          </cell>
          <cell r="D152">
            <v>8</v>
          </cell>
          <cell r="E152">
            <v>25.7</v>
          </cell>
          <cell r="F152">
            <v>21.2</v>
          </cell>
          <cell r="G152">
            <v>19.8</v>
          </cell>
        </row>
        <row r="152">
          <cell r="J152">
            <v>0.010787832</v>
          </cell>
        </row>
        <row r="153">
          <cell r="A153" t="str">
            <v>16390（12）</v>
          </cell>
          <cell r="B153" t="str">
            <v>12个装纸箱</v>
          </cell>
          <cell r="C153" t="str">
            <v>情人节系列</v>
          </cell>
          <cell r="D153">
            <v>12</v>
          </cell>
          <cell r="E153">
            <v>20.955</v>
          </cell>
          <cell r="F153">
            <v>17.51</v>
          </cell>
          <cell r="G153">
            <v>8.255</v>
          </cell>
        </row>
        <row r="153">
          <cell r="J153">
            <v>0.00302894152275</v>
          </cell>
        </row>
        <row r="154">
          <cell r="A154" t="str">
            <v>16390（54）</v>
          </cell>
          <cell r="B154" t="str">
            <v>54个装纸箱</v>
          </cell>
          <cell r="C154" t="str">
            <v>情人节系列</v>
          </cell>
          <cell r="D154">
            <v>54</v>
          </cell>
          <cell r="E154">
            <v>35.29</v>
          </cell>
          <cell r="F154">
            <v>20.685</v>
          </cell>
          <cell r="G154">
            <v>34.29</v>
          </cell>
        </row>
        <row r="154">
          <cell r="J154">
            <v>0.0250307964585</v>
          </cell>
        </row>
        <row r="155">
          <cell r="A155" t="str">
            <v>16390（18）</v>
          </cell>
          <cell r="B155" t="str">
            <v>18个装纸箱</v>
          </cell>
          <cell r="C155" t="str">
            <v>情人节系列</v>
          </cell>
          <cell r="D155">
            <v>18</v>
          </cell>
          <cell r="E155">
            <v>32.385</v>
          </cell>
          <cell r="F155">
            <v>18.78</v>
          </cell>
          <cell r="G155">
            <v>9.525</v>
          </cell>
        </row>
        <row r="155">
          <cell r="J155">
            <v>0.0057930126075</v>
          </cell>
        </row>
        <row r="156">
          <cell r="A156" t="str">
            <v>33465（24）</v>
          </cell>
          <cell r="B156" t="str">
            <v>24个装纸箱</v>
          </cell>
          <cell r="C156" t="str">
            <v>WM小搪胶鸭子系列</v>
          </cell>
          <cell r="D156">
            <v>24</v>
          </cell>
          <cell r="E156">
            <v>28.575</v>
          </cell>
          <cell r="F156">
            <v>19.05</v>
          </cell>
          <cell r="G156">
            <v>16.51</v>
          </cell>
        </row>
        <row r="156">
          <cell r="J156">
            <v>0.0089872804125</v>
          </cell>
        </row>
        <row r="157">
          <cell r="A157" t="str">
            <v>36015（12）</v>
          </cell>
          <cell r="B157" t="str">
            <v>12个装纸箱</v>
          </cell>
          <cell r="C157" t="str">
            <v>复活节小鸭</v>
          </cell>
          <cell r="D157">
            <v>12</v>
          </cell>
          <cell r="E157">
            <v>22.7</v>
          </cell>
          <cell r="F157">
            <v>18.6</v>
          </cell>
          <cell r="G157">
            <v>9.8</v>
          </cell>
        </row>
        <row r="157">
          <cell r="J157">
            <v>0.004137756</v>
          </cell>
        </row>
        <row r="158">
          <cell r="A158" t="str">
            <v>36015（18）</v>
          </cell>
          <cell r="B158" t="str">
            <v>18个装纸箱</v>
          </cell>
          <cell r="C158" t="str">
            <v>复活节小鸭</v>
          </cell>
          <cell r="D158">
            <v>18</v>
          </cell>
          <cell r="E158">
            <v>32.385</v>
          </cell>
          <cell r="F158">
            <v>18.78</v>
          </cell>
          <cell r="G158">
            <v>9.525</v>
          </cell>
        </row>
        <row r="158">
          <cell r="J158">
            <v>0.0057930126075</v>
          </cell>
        </row>
        <row r="159">
          <cell r="A159" t="str">
            <v>36015（36）</v>
          </cell>
          <cell r="B159" t="str">
            <v>36个装纸箱</v>
          </cell>
          <cell r="C159" t="str">
            <v>复活节小鸭</v>
          </cell>
          <cell r="D159">
            <v>36</v>
          </cell>
          <cell r="E159">
            <v>22.225</v>
          </cell>
          <cell r="F159">
            <v>18.78</v>
          </cell>
          <cell r="G159">
            <v>26.035</v>
          </cell>
        </row>
        <row r="159">
          <cell r="J159">
            <v>0.0108666314925</v>
          </cell>
        </row>
        <row r="160">
          <cell r="A160" t="str">
            <v>36015（54）</v>
          </cell>
          <cell r="B160" t="str">
            <v>54个装纸箱</v>
          </cell>
          <cell r="C160" t="str">
            <v>复活节小鸭</v>
          </cell>
          <cell r="D160">
            <v>54</v>
          </cell>
          <cell r="E160">
            <v>34.29</v>
          </cell>
          <cell r="F160">
            <v>20.685</v>
          </cell>
          <cell r="G160">
            <v>34.29</v>
          </cell>
        </row>
        <row r="160">
          <cell r="J160">
            <v>0.0243215078085</v>
          </cell>
        </row>
        <row r="161">
          <cell r="A161" t="str">
            <v>470662（14）</v>
          </cell>
          <cell r="B161" t="str">
            <v>17个装纸箱</v>
          </cell>
        </row>
        <row r="161">
          <cell r="D161">
            <v>14</v>
          </cell>
          <cell r="E161">
            <v>46.99</v>
          </cell>
          <cell r="F161">
            <v>33.385</v>
          </cell>
          <cell r="G161">
            <v>31.75</v>
          </cell>
        </row>
        <row r="161">
          <cell r="J161">
            <v>0.0498081665125</v>
          </cell>
        </row>
        <row r="162">
          <cell r="A162">
            <v>320770</v>
          </cell>
          <cell r="B162" t="str">
            <v>3个装纸箱</v>
          </cell>
          <cell r="C162" t="str">
            <v>320405、406、407混装</v>
          </cell>
          <cell r="D162">
            <v>3</v>
          </cell>
          <cell r="E162">
            <v>31.5</v>
          </cell>
          <cell r="F162">
            <v>27</v>
          </cell>
          <cell r="G162">
            <v>20</v>
          </cell>
          <cell r="H162">
            <v>1.5</v>
          </cell>
          <cell r="I162">
            <v>1.83</v>
          </cell>
          <cell r="J162">
            <v>0.01701</v>
          </cell>
        </row>
        <row r="163">
          <cell r="A163" t="str">
            <v>470615（4）</v>
          </cell>
          <cell r="B163" t="str">
            <v>纸箱（4个装）</v>
          </cell>
        </row>
        <row r="163">
          <cell r="E163">
            <v>33</v>
          </cell>
          <cell r="F163">
            <v>17.2</v>
          </cell>
          <cell r="G163">
            <v>28</v>
          </cell>
        </row>
        <row r="163">
          <cell r="J163">
            <v>0.0158928</v>
          </cell>
        </row>
        <row r="164">
          <cell r="A164">
            <v>320913</v>
          </cell>
        </row>
        <row r="164">
          <cell r="C164" t="str">
            <v>卡车</v>
          </cell>
        </row>
        <row r="165">
          <cell r="A165">
            <v>320920</v>
          </cell>
        </row>
        <row r="165">
          <cell r="C165" t="str">
            <v>学校</v>
          </cell>
        </row>
        <row r="166">
          <cell r="A166" t="str">
            <v>17185(36)</v>
          </cell>
          <cell r="B166" t="str">
            <v>36个装纸箱</v>
          </cell>
          <cell r="C166" t="str">
            <v>复活节小鸭</v>
          </cell>
          <cell r="D166">
            <v>36</v>
          </cell>
          <cell r="E166">
            <v>22.225</v>
          </cell>
          <cell r="F166">
            <v>18.78</v>
          </cell>
          <cell r="G166">
            <v>26.035</v>
          </cell>
        </row>
        <row r="166">
          <cell r="J166">
            <v>0.0108666314925</v>
          </cell>
        </row>
        <row r="167">
          <cell r="A167" t="str">
            <v>320409-X</v>
          </cell>
          <cell r="B167" t="str">
            <v>HONEY BEE ACRES SUNFLOWER COUNTRY COTTAGE with Adult Figure</v>
          </cell>
          <cell r="C167" t="str">
            <v>向日葵家</v>
          </cell>
          <cell r="D167">
            <v>2</v>
          </cell>
          <cell r="E167">
            <v>40.259</v>
          </cell>
          <cell r="F167">
            <v>26.543</v>
          </cell>
          <cell r="G167">
            <v>26.035</v>
          </cell>
          <cell r="H167">
            <v>2.34</v>
          </cell>
          <cell r="I167">
            <v>3</v>
          </cell>
          <cell r="J167">
            <v>0.027820861374295</v>
          </cell>
        </row>
        <row r="168">
          <cell r="A168" t="str">
            <v>46113(1)</v>
          </cell>
          <cell r="B168" t="str">
            <v>1个装纸箱</v>
          </cell>
        </row>
        <row r="168">
          <cell r="D168">
            <v>1</v>
          </cell>
          <cell r="E168">
            <v>36</v>
          </cell>
          <cell r="F168">
            <v>24.3</v>
          </cell>
          <cell r="G168">
            <v>44</v>
          </cell>
        </row>
        <row r="168">
          <cell r="J168">
            <v>0.0384912</v>
          </cell>
        </row>
        <row r="169">
          <cell r="A169">
            <v>92568</v>
          </cell>
        </row>
        <row r="169">
          <cell r="D169">
            <v>60</v>
          </cell>
          <cell r="E169">
            <v>70.485</v>
          </cell>
          <cell r="F169">
            <v>47.355</v>
          </cell>
          <cell r="G169">
            <v>42.545</v>
          </cell>
        </row>
        <row r="169">
          <cell r="J169">
            <v>0.142007431710375</v>
          </cell>
        </row>
        <row r="170">
          <cell r="A170">
            <v>92569</v>
          </cell>
        </row>
        <row r="170">
          <cell r="D170">
            <v>60</v>
          </cell>
          <cell r="E170">
            <v>70.485</v>
          </cell>
          <cell r="F170">
            <v>47.355</v>
          </cell>
          <cell r="G170">
            <v>42.545</v>
          </cell>
        </row>
        <row r="170">
          <cell r="J170">
            <v>0.142007431710375</v>
          </cell>
        </row>
        <row r="171">
          <cell r="A171" t="str">
            <v>26850（18）</v>
          </cell>
          <cell r="B171" t="str">
            <v>18个装纸箱</v>
          </cell>
          <cell r="C171" t="str">
            <v>假日小鸭</v>
          </cell>
          <cell r="D171">
            <v>18</v>
          </cell>
          <cell r="E171">
            <v>32.385</v>
          </cell>
          <cell r="F171">
            <v>18.78</v>
          </cell>
          <cell r="G171">
            <v>9.525</v>
          </cell>
        </row>
        <row r="171">
          <cell r="J171">
            <v>0.0057930126075</v>
          </cell>
        </row>
        <row r="172">
          <cell r="A172" t="str">
            <v>26870（48）</v>
          </cell>
          <cell r="B172" t="str">
            <v>48个装纸箱</v>
          </cell>
          <cell r="C172" t="str">
            <v>恐怖小鸭</v>
          </cell>
          <cell r="D172">
            <v>48</v>
          </cell>
          <cell r="E172">
            <v>34.925</v>
          </cell>
          <cell r="F172">
            <v>22.225</v>
          </cell>
          <cell r="G172">
            <v>19.05</v>
          </cell>
        </row>
        <row r="172">
          <cell r="J172">
            <v>0.01478676478125</v>
          </cell>
        </row>
        <row r="173">
          <cell r="A173" t="str">
            <v>26850（48）</v>
          </cell>
          <cell r="B173" t="str">
            <v>48个装纸箱</v>
          </cell>
          <cell r="C173" t="str">
            <v>假日小鸭</v>
          </cell>
          <cell r="D173">
            <v>48</v>
          </cell>
          <cell r="E173">
            <v>34.925</v>
          </cell>
          <cell r="F173">
            <v>22.225</v>
          </cell>
          <cell r="G173">
            <v>19.05</v>
          </cell>
        </row>
        <row r="173">
          <cell r="J173">
            <v>0.01478676478125</v>
          </cell>
        </row>
        <row r="174">
          <cell r="A174" t="str">
            <v>46113(2)</v>
          </cell>
          <cell r="B174" t="str">
            <v>1个装纸箱</v>
          </cell>
          <cell r="C174" t="str">
            <v>史迪仔</v>
          </cell>
          <cell r="D174">
            <v>2</v>
          </cell>
          <cell r="E174">
            <v>45.72</v>
          </cell>
          <cell r="F174">
            <v>36.56</v>
          </cell>
          <cell r="G174">
            <v>41.91</v>
          </cell>
        </row>
        <row r="174">
          <cell r="J174">
            <v>0.070053537312</v>
          </cell>
        </row>
        <row r="175">
          <cell r="A175">
            <v>470805</v>
          </cell>
          <cell r="B175" t="str">
            <v>12个装纸箱</v>
          </cell>
          <cell r="C175" t="str">
            <v>硅胶鹿</v>
          </cell>
          <cell r="D175">
            <v>12</v>
          </cell>
          <cell r="E175">
            <v>20.32</v>
          </cell>
          <cell r="F175">
            <v>13.7</v>
          </cell>
          <cell r="G175">
            <v>11.684</v>
          </cell>
        </row>
        <row r="175">
          <cell r="J175">
            <v>0.003252638656</v>
          </cell>
        </row>
        <row r="176">
          <cell r="A176" t="str">
            <v>33438（72）</v>
          </cell>
          <cell r="B176" t="str">
            <v>74个装纸箱</v>
          </cell>
          <cell r="C176" t="str">
            <v>眼镜鸭子</v>
          </cell>
          <cell r="D176">
            <v>72</v>
          </cell>
          <cell r="E176">
            <v>24.765</v>
          </cell>
          <cell r="F176">
            <v>25.765</v>
          </cell>
          <cell r="G176">
            <v>30.48</v>
          </cell>
        </row>
        <row r="176">
          <cell r="J176">
            <v>0.019448380458</v>
          </cell>
        </row>
        <row r="177">
          <cell r="A177" t="str">
            <v>11839（8）</v>
          </cell>
          <cell r="B177" t="str">
            <v>8个装纸箱</v>
          </cell>
          <cell r="C177" t="str">
            <v>磁铁肩膀史迪仔</v>
          </cell>
          <cell r="D177">
            <v>8</v>
          </cell>
          <cell r="E177">
            <v>30.48</v>
          </cell>
          <cell r="F177">
            <v>27.67</v>
          </cell>
          <cell r="G177">
            <v>15.24</v>
          </cell>
        </row>
        <row r="177">
          <cell r="J177">
            <v>0.012853135584</v>
          </cell>
        </row>
        <row r="178">
          <cell r="A178" t="str">
            <v>26870（36）</v>
          </cell>
          <cell r="B178" t="str">
            <v>36个装纸箱</v>
          </cell>
          <cell r="C178" t="str">
            <v>假日小鸭</v>
          </cell>
          <cell r="D178">
            <v>36</v>
          </cell>
          <cell r="E178">
            <v>22.225</v>
          </cell>
          <cell r="F178">
            <v>18.78</v>
          </cell>
          <cell r="G178">
            <v>26.035</v>
          </cell>
        </row>
        <row r="178">
          <cell r="J178">
            <v>0.0108666314925</v>
          </cell>
        </row>
        <row r="179">
          <cell r="A179">
            <v>470764</v>
          </cell>
          <cell r="B179" t="str">
            <v>1个装纸箱</v>
          </cell>
          <cell r="C179" t="str">
            <v>大型自卸车</v>
          </cell>
          <cell r="D179">
            <v>1</v>
          </cell>
          <cell r="E179">
            <v>42</v>
          </cell>
          <cell r="F179">
            <v>22</v>
          </cell>
          <cell r="G179">
            <v>29</v>
          </cell>
        </row>
        <row r="179">
          <cell r="J179">
            <v>0.026796</v>
          </cell>
        </row>
        <row r="180">
          <cell r="A180">
            <v>470813</v>
          </cell>
          <cell r="B180" t="str">
            <v>纸箱（4个装）</v>
          </cell>
        </row>
        <row r="180">
          <cell r="E180">
            <v>33</v>
          </cell>
          <cell r="F180">
            <v>17.2</v>
          </cell>
          <cell r="G180">
            <v>28</v>
          </cell>
        </row>
        <row r="180">
          <cell r="J180">
            <v>0.0158928</v>
          </cell>
        </row>
        <row r="181">
          <cell r="A181">
            <v>470814</v>
          </cell>
          <cell r="B181" t="str">
            <v>纸箱（4个装）</v>
          </cell>
        </row>
        <row r="181">
          <cell r="E181">
            <v>33</v>
          </cell>
          <cell r="F181">
            <v>17.2</v>
          </cell>
          <cell r="G181">
            <v>28</v>
          </cell>
        </row>
        <row r="181">
          <cell r="J181">
            <v>0.0158928</v>
          </cell>
        </row>
        <row r="182">
          <cell r="A182">
            <v>470725</v>
          </cell>
          <cell r="B182" t="str">
            <v>独角兽家族</v>
          </cell>
          <cell r="C182" t="str">
            <v>独角兽家族</v>
          </cell>
          <cell r="D182">
            <v>4</v>
          </cell>
          <cell r="E182">
            <v>25.5</v>
          </cell>
          <cell r="F182">
            <v>21</v>
          </cell>
          <cell r="G182">
            <v>20</v>
          </cell>
          <cell r="H182">
            <v>0.5</v>
          </cell>
          <cell r="I182">
            <v>0.7</v>
          </cell>
          <cell r="J182">
            <v>0.01071</v>
          </cell>
        </row>
        <row r="183">
          <cell r="A183" t="str">
            <v>33475（18）</v>
          </cell>
          <cell r="B183" t="str">
            <v>纸箱（18个装）</v>
          </cell>
          <cell r="C183" t="str">
            <v>鸭子</v>
          </cell>
          <cell r="D183">
            <v>18</v>
          </cell>
          <cell r="E183">
            <v>32.385</v>
          </cell>
          <cell r="F183">
            <v>18.78</v>
          </cell>
          <cell r="G183">
            <v>9.525</v>
          </cell>
        </row>
        <row r="183">
          <cell r="J183">
            <v>0.0057930126075</v>
          </cell>
        </row>
        <row r="184">
          <cell r="A184" t="str">
            <v>33395（36）</v>
          </cell>
          <cell r="B184" t="str">
            <v>纸箱（36个装）</v>
          </cell>
          <cell r="C184" t="str">
            <v>鸭子</v>
          </cell>
          <cell r="D184">
            <v>36</v>
          </cell>
          <cell r="E184">
            <v>22.225</v>
          </cell>
          <cell r="F184">
            <v>18.78</v>
          </cell>
          <cell r="G184">
            <v>26.035</v>
          </cell>
        </row>
        <row r="184">
          <cell r="J184">
            <v>0.0108666314925</v>
          </cell>
        </row>
        <row r="185">
          <cell r="A185" t="str">
            <v>26870（18）</v>
          </cell>
          <cell r="B185" t="str">
            <v>纸箱（18个装）</v>
          </cell>
          <cell r="C185" t="str">
            <v>鸭子</v>
          </cell>
          <cell r="D185">
            <v>18</v>
          </cell>
          <cell r="E185">
            <v>32.385</v>
          </cell>
          <cell r="F185">
            <v>18.78</v>
          </cell>
          <cell r="G185">
            <v>9.525</v>
          </cell>
        </row>
        <row r="185">
          <cell r="J185">
            <v>0.0057930126075</v>
          </cell>
        </row>
        <row r="186">
          <cell r="A186">
            <v>470534</v>
          </cell>
          <cell r="B186" t="str">
            <v>纸箱（3个装）</v>
          </cell>
          <cell r="C186" t="str">
            <v>搪胶公仔白种人</v>
          </cell>
          <cell r="D186">
            <v>3</v>
          </cell>
          <cell r="E186">
            <v>40.64</v>
          </cell>
          <cell r="F186">
            <v>21.701</v>
          </cell>
          <cell r="G186">
            <v>33.401</v>
          </cell>
        </row>
        <row r="186">
          <cell r="J186">
            <v>0.02945729850464</v>
          </cell>
        </row>
        <row r="187">
          <cell r="A187">
            <v>470535</v>
          </cell>
          <cell r="B187" t="str">
            <v>纸箱（3个装）</v>
          </cell>
          <cell r="C187" t="str">
            <v>搪胶公仔亚洲人</v>
          </cell>
          <cell r="D187">
            <v>3</v>
          </cell>
          <cell r="E187">
            <v>40.64</v>
          </cell>
          <cell r="F187">
            <v>21.701</v>
          </cell>
          <cell r="G187">
            <v>33.401</v>
          </cell>
        </row>
        <row r="187">
          <cell r="J187">
            <v>0.02945729850464</v>
          </cell>
        </row>
        <row r="188">
          <cell r="A188">
            <v>470536</v>
          </cell>
          <cell r="B188" t="str">
            <v>纸箱（3个装）</v>
          </cell>
          <cell r="C188" t="str">
            <v>搪胶公仔西班牙人</v>
          </cell>
          <cell r="D188">
            <v>3</v>
          </cell>
          <cell r="E188">
            <v>40.64</v>
          </cell>
          <cell r="F188">
            <v>21.701</v>
          </cell>
          <cell r="G188">
            <v>33.401</v>
          </cell>
        </row>
        <row r="188">
          <cell r="J188">
            <v>0.02945729850464</v>
          </cell>
        </row>
        <row r="189">
          <cell r="A189">
            <v>470537</v>
          </cell>
          <cell r="B189" t="str">
            <v>纸箱（3个装）</v>
          </cell>
          <cell r="C189" t="str">
            <v>搪胶公仔非洲人</v>
          </cell>
          <cell r="D189">
            <v>3</v>
          </cell>
          <cell r="E189">
            <v>40.64</v>
          </cell>
          <cell r="F189">
            <v>21.701</v>
          </cell>
          <cell r="G189">
            <v>33.401</v>
          </cell>
        </row>
        <row r="189">
          <cell r="J189">
            <v>0.02945729850464</v>
          </cell>
        </row>
        <row r="190">
          <cell r="A190" t="str">
            <v>33490（18）</v>
          </cell>
          <cell r="B190" t="str">
            <v>纸箱（18个装）</v>
          </cell>
          <cell r="C190" t="str">
            <v>鸭子</v>
          </cell>
          <cell r="D190">
            <v>18</v>
          </cell>
          <cell r="E190">
            <v>32.385</v>
          </cell>
          <cell r="F190">
            <v>18.78</v>
          </cell>
          <cell r="G190">
            <v>9.525</v>
          </cell>
        </row>
        <row r="190">
          <cell r="J190">
            <v>0.0057930126075</v>
          </cell>
        </row>
        <row r="191">
          <cell r="A191" t="str">
            <v>33465（12）</v>
          </cell>
          <cell r="B191" t="str">
            <v>纸箱（12个装）</v>
          </cell>
          <cell r="C191" t="str">
            <v>鸭子</v>
          </cell>
          <cell r="D191">
            <v>12</v>
          </cell>
          <cell r="E191">
            <v>20.955</v>
          </cell>
          <cell r="F191">
            <v>17.51</v>
          </cell>
          <cell r="G191">
            <v>8.255</v>
          </cell>
        </row>
        <row r="191">
          <cell r="J191">
            <v>0.00302894152275</v>
          </cell>
        </row>
        <row r="192">
          <cell r="A192">
            <v>470528</v>
          </cell>
          <cell r="B192" t="str">
            <v>纸箱（3个装）</v>
          </cell>
          <cell r="C192" t="str">
            <v>冰淇淋系列</v>
          </cell>
          <cell r="D192">
            <v>3</v>
          </cell>
          <cell r="E192">
            <v>32.7</v>
          </cell>
          <cell r="F192">
            <v>31.75</v>
          </cell>
          <cell r="G192">
            <v>33.35</v>
          </cell>
        </row>
        <row r="192">
          <cell r="J192">
            <v>0.03462480375</v>
          </cell>
        </row>
        <row r="193">
          <cell r="A193">
            <v>470688</v>
          </cell>
          <cell r="B193" t="str">
            <v>纸箱（3个装）</v>
          </cell>
          <cell r="C193" t="str">
            <v>生日蛋糕系列</v>
          </cell>
          <cell r="D193">
            <v>3</v>
          </cell>
          <cell r="E193">
            <v>31.43</v>
          </cell>
          <cell r="F193">
            <v>29.85</v>
          </cell>
          <cell r="G193">
            <v>33.35</v>
          </cell>
        </row>
        <row r="193">
          <cell r="J193">
            <v>0.031288486425</v>
          </cell>
        </row>
        <row r="194">
          <cell r="A194">
            <v>470689</v>
          </cell>
          <cell r="B194" t="str">
            <v>纸箱（3个装）</v>
          </cell>
          <cell r="C194" t="str">
            <v>甜品糕系列</v>
          </cell>
          <cell r="D194">
            <v>3</v>
          </cell>
          <cell r="E194">
            <v>31.43</v>
          </cell>
          <cell r="F194">
            <v>29.85</v>
          </cell>
          <cell r="G194">
            <v>33.35</v>
          </cell>
        </row>
        <row r="194">
          <cell r="J194">
            <v>0.031288486425</v>
          </cell>
        </row>
        <row r="195">
          <cell r="A195" t="str">
            <v>11369（1）</v>
          </cell>
          <cell r="B195" t="str">
            <v>纸箱（1个装）</v>
          </cell>
          <cell r="C195" t="str">
            <v>投影米奇</v>
          </cell>
          <cell r="D195">
            <v>1</v>
          </cell>
          <cell r="E195">
            <v>26.67</v>
          </cell>
          <cell r="F195">
            <v>18.78</v>
          </cell>
          <cell r="G195">
            <v>32.385</v>
          </cell>
        </row>
        <row r="195">
          <cell r="J195">
            <v>0.016220435301</v>
          </cell>
        </row>
        <row r="196">
          <cell r="A196" t="str">
            <v>33454(48)</v>
          </cell>
          <cell r="B196" t="str">
            <v>纸箱（48个装）</v>
          </cell>
          <cell r="C196" t="str">
            <v>鸭子</v>
          </cell>
          <cell r="D196">
            <v>48</v>
          </cell>
          <cell r="E196">
            <v>37.15</v>
          </cell>
          <cell r="F196">
            <v>33</v>
          </cell>
          <cell r="G196">
            <v>33.34</v>
          </cell>
        </row>
        <row r="196">
          <cell r="J196">
            <v>0.040873173</v>
          </cell>
        </row>
        <row r="197">
          <cell r="A197">
            <v>470529</v>
          </cell>
          <cell r="B197" t="str">
            <v>纸箱（3个装）</v>
          </cell>
          <cell r="C197" t="str">
            <v>搅拌机系列</v>
          </cell>
          <cell r="D197">
            <v>3</v>
          </cell>
          <cell r="E197">
            <v>41.59</v>
          </cell>
          <cell r="F197">
            <v>33</v>
          </cell>
          <cell r="G197">
            <v>33.35</v>
          </cell>
        </row>
        <row r="197">
          <cell r="J197">
            <v>0.0457718745</v>
          </cell>
        </row>
        <row r="198">
          <cell r="A198">
            <v>470690</v>
          </cell>
          <cell r="B198" t="str">
            <v>纸箱（3个装）</v>
          </cell>
          <cell r="C198" t="str">
            <v>电磁炉系列</v>
          </cell>
          <cell r="D198">
            <v>3</v>
          </cell>
          <cell r="E198">
            <v>41.59</v>
          </cell>
          <cell r="F198">
            <v>28.5</v>
          </cell>
          <cell r="G198">
            <v>33.35</v>
          </cell>
        </row>
        <row r="198">
          <cell r="J198">
            <v>0.03953025525</v>
          </cell>
        </row>
        <row r="199">
          <cell r="A199">
            <v>470691</v>
          </cell>
          <cell r="B199" t="str">
            <v>纸箱（3个装）</v>
          </cell>
          <cell r="C199" t="str">
            <v>华夫饼系列</v>
          </cell>
          <cell r="D199">
            <v>3</v>
          </cell>
          <cell r="E199">
            <v>41.59</v>
          </cell>
          <cell r="F199">
            <v>24.77</v>
          </cell>
          <cell r="G199">
            <v>33.35</v>
          </cell>
        </row>
        <row r="199">
          <cell r="J199">
            <v>0.034356646405</v>
          </cell>
        </row>
        <row r="200">
          <cell r="A200">
            <v>470692</v>
          </cell>
          <cell r="B200" t="str">
            <v>纸箱（3个装）</v>
          </cell>
          <cell r="C200" t="str">
            <v>酸奶系列</v>
          </cell>
          <cell r="D200">
            <v>3</v>
          </cell>
          <cell r="E200">
            <v>31.43</v>
          </cell>
          <cell r="F200">
            <v>26.9</v>
          </cell>
          <cell r="G200">
            <v>33.35</v>
          </cell>
        </row>
        <row r="200">
          <cell r="J200">
            <v>0.02819632445</v>
          </cell>
        </row>
        <row r="201">
          <cell r="A201" t="str">
            <v>33487（96）</v>
          </cell>
          <cell r="B201" t="str">
            <v>纸箱（96个装）</v>
          </cell>
          <cell r="C201" t="str">
            <v>盲盒小鸭</v>
          </cell>
          <cell r="D201">
            <v>96</v>
          </cell>
          <cell r="E201">
            <v>54.95</v>
          </cell>
          <cell r="F201">
            <v>34.95</v>
          </cell>
          <cell r="G201">
            <v>42.9</v>
          </cell>
        </row>
        <row r="201">
          <cell r="J201">
            <v>0.08238955725</v>
          </cell>
        </row>
        <row r="202">
          <cell r="A202" t="str">
            <v>棉</v>
          </cell>
        </row>
        <row r="202">
          <cell r="E202">
            <v>120</v>
          </cell>
          <cell r="F202">
            <v>110</v>
          </cell>
          <cell r="G202">
            <v>75</v>
          </cell>
        </row>
        <row r="202">
          <cell r="J202">
            <v>0.99</v>
          </cell>
        </row>
        <row r="203">
          <cell r="A203" t="str">
            <v>33369(96）</v>
          </cell>
          <cell r="B203" t="str">
            <v>纸箱（96个装）</v>
          </cell>
          <cell r="C203" t="str">
            <v>迷你搪胶小鸭</v>
          </cell>
          <cell r="D203">
            <v>96</v>
          </cell>
          <cell r="E203">
            <v>39.7</v>
          </cell>
          <cell r="F203">
            <v>22.9</v>
          </cell>
          <cell r="G203">
            <v>30.8</v>
          </cell>
        </row>
        <row r="203">
          <cell r="J203">
            <v>0.028001204</v>
          </cell>
        </row>
        <row r="204">
          <cell r="A204">
            <v>46092</v>
          </cell>
          <cell r="B204" t="str">
            <v>纸箱（10个装）</v>
          </cell>
          <cell r="C204" t="str">
            <v>玩具总动员系列</v>
          </cell>
          <cell r="D204">
            <v>10</v>
          </cell>
          <cell r="E204">
            <v>40.01</v>
          </cell>
          <cell r="F204">
            <v>26.67</v>
          </cell>
          <cell r="G204">
            <v>20.96</v>
          </cell>
        </row>
        <row r="204">
          <cell r="J204">
            <v>0.022365718032</v>
          </cell>
        </row>
        <row r="205">
          <cell r="A205">
            <v>46134</v>
          </cell>
          <cell r="B205" t="str">
            <v>纸箱（10个装）</v>
          </cell>
          <cell r="C205" t="str">
            <v>海洋奇缘系列</v>
          </cell>
          <cell r="D205">
            <v>10</v>
          </cell>
          <cell r="E205">
            <v>40.01</v>
          </cell>
          <cell r="F205">
            <v>26.67</v>
          </cell>
          <cell r="G205">
            <v>20.96</v>
          </cell>
        </row>
        <row r="205">
          <cell r="J205">
            <v>0.022365718032</v>
          </cell>
        </row>
        <row r="206">
          <cell r="A206">
            <v>46132</v>
          </cell>
          <cell r="B206" t="str">
            <v>纸箱（10个装）</v>
          </cell>
          <cell r="C206" t="str">
            <v>赛车总动员系列</v>
          </cell>
          <cell r="D206">
            <v>10</v>
          </cell>
          <cell r="E206">
            <v>40.01</v>
          </cell>
          <cell r="F206">
            <v>26.67</v>
          </cell>
          <cell r="G206">
            <v>20.96</v>
          </cell>
        </row>
        <row r="206">
          <cell r="J206">
            <v>0.022365718032</v>
          </cell>
        </row>
        <row r="207">
          <cell r="A207">
            <v>470745</v>
          </cell>
        </row>
        <row r="207">
          <cell r="D207">
            <v>3</v>
          </cell>
          <cell r="E207">
            <v>32.7</v>
          </cell>
          <cell r="F207">
            <v>31.75</v>
          </cell>
          <cell r="G207">
            <v>33.35</v>
          </cell>
        </row>
        <row r="207">
          <cell r="J207">
            <v>0.03462480375</v>
          </cell>
        </row>
        <row r="208">
          <cell r="A208">
            <v>470746</v>
          </cell>
        </row>
        <row r="208">
          <cell r="D208">
            <v>3</v>
          </cell>
          <cell r="E208">
            <v>41.59</v>
          </cell>
          <cell r="F208">
            <v>33</v>
          </cell>
          <cell r="G208">
            <v>33.35</v>
          </cell>
        </row>
        <row r="208">
          <cell r="J208">
            <v>0.0457718745</v>
          </cell>
        </row>
        <row r="209">
          <cell r="A209">
            <v>470748</v>
          </cell>
        </row>
        <row r="209">
          <cell r="D209">
            <v>3</v>
          </cell>
          <cell r="E209">
            <v>31.43</v>
          </cell>
          <cell r="F209">
            <v>29.85</v>
          </cell>
          <cell r="G209">
            <v>33.35</v>
          </cell>
        </row>
        <row r="209">
          <cell r="J209">
            <v>0.031288486425</v>
          </cell>
        </row>
        <row r="210">
          <cell r="A210">
            <v>470749</v>
          </cell>
        </row>
        <row r="210">
          <cell r="D210">
            <v>3</v>
          </cell>
          <cell r="E210">
            <v>31.43</v>
          </cell>
          <cell r="F210">
            <v>29.85</v>
          </cell>
          <cell r="G210">
            <v>33.35</v>
          </cell>
        </row>
        <row r="210">
          <cell r="J210">
            <v>0.031288486425</v>
          </cell>
        </row>
        <row r="211">
          <cell r="A211">
            <v>470751</v>
          </cell>
        </row>
        <row r="211">
          <cell r="D211">
            <v>3</v>
          </cell>
          <cell r="E211">
            <v>41.59</v>
          </cell>
          <cell r="F211">
            <v>24.77</v>
          </cell>
          <cell r="G211">
            <v>33.35</v>
          </cell>
        </row>
        <row r="211">
          <cell r="J211">
            <v>0.034356646405</v>
          </cell>
        </row>
        <row r="212">
          <cell r="A212">
            <v>470752</v>
          </cell>
        </row>
        <row r="212">
          <cell r="D212">
            <v>3</v>
          </cell>
          <cell r="E212">
            <v>31.43</v>
          </cell>
          <cell r="F212">
            <v>26.9</v>
          </cell>
          <cell r="G212">
            <v>33.35</v>
          </cell>
        </row>
        <row r="212">
          <cell r="J212">
            <v>0.02819632445</v>
          </cell>
        </row>
        <row r="213">
          <cell r="A213">
            <v>470753</v>
          </cell>
        </row>
        <row r="213">
          <cell r="D213">
            <v>3</v>
          </cell>
          <cell r="E213">
            <v>31.43</v>
          </cell>
          <cell r="F213">
            <v>22.86</v>
          </cell>
          <cell r="G213">
            <v>33.34</v>
          </cell>
        </row>
        <row r="213">
          <cell r="J213">
            <v>0.023954449932</v>
          </cell>
        </row>
        <row r="214">
          <cell r="A214">
            <v>470724</v>
          </cell>
        </row>
        <row r="214">
          <cell r="D214">
            <v>2</v>
          </cell>
          <cell r="E214">
            <v>62.55</v>
          </cell>
          <cell r="F214">
            <v>21.59</v>
          </cell>
          <cell r="G214">
            <v>41.59</v>
          </cell>
        </row>
        <row r="214">
          <cell r="J214">
            <v>0.056165402655</v>
          </cell>
        </row>
        <row r="215">
          <cell r="A215">
            <v>320628</v>
          </cell>
        </row>
        <row r="215">
          <cell r="C215" t="str">
            <v>生日趴对</v>
          </cell>
          <cell r="D215">
            <v>4</v>
          </cell>
          <cell r="E215">
            <v>25.75</v>
          </cell>
          <cell r="F215">
            <v>17.78</v>
          </cell>
          <cell r="G215">
            <v>20.64</v>
          </cell>
        </row>
        <row r="215">
          <cell r="J215">
            <v>0.0094497144</v>
          </cell>
        </row>
        <row r="216">
          <cell r="A216" t="str">
            <v>33475（36）</v>
          </cell>
        </row>
        <row r="216">
          <cell r="C216" t="str">
            <v>搪胶小鸭</v>
          </cell>
          <cell r="D216">
            <v>36</v>
          </cell>
          <cell r="E216">
            <v>31.75</v>
          </cell>
          <cell r="F216">
            <v>18.41</v>
          </cell>
          <cell r="G216">
            <v>20.32</v>
          </cell>
        </row>
        <row r="216">
          <cell r="J216">
            <v>0.0118773956</v>
          </cell>
        </row>
        <row r="217">
          <cell r="A217" t="str">
            <v>11369（4）</v>
          </cell>
          <cell r="B217" t="str">
            <v>纸箱（4个装）</v>
          </cell>
          <cell r="C217" t="str">
            <v>投影米奇</v>
          </cell>
          <cell r="D217">
            <v>4</v>
          </cell>
          <cell r="E217">
            <v>64.135</v>
          </cell>
          <cell r="F217">
            <v>36.83</v>
          </cell>
          <cell r="G217">
            <v>42.545</v>
          </cell>
        </row>
        <row r="217">
          <cell r="J217">
            <v>0.10049520626725</v>
          </cell>
        </row>
        <row r="218">
          <cell r="A218" t="str">
            <v>58725(12)</v>
          </cell>
        </row>
        <row r="218">
          <cell r="D218">
            <v>12</v>
          </cell>
          <cell r="E218">
            <v>22.54</v>
          </cell>
          <cell r="F218">
            <v>18.42</v>
          </cell>
          <cell r="G218">
            <v>11.11</v>
          </cell>
        </row>
        <row r="218">
          <cell r="J218">
            <v>0.004612725348</v>
          </cell>
        </row>
        <row r="219">
          <cell r="A219" t="str">
            <v>88188（2）</v>
          </cell>
        </row>
        <row r="219">
          <cell r="C219" t="str">
            <v>背包狗</v>
          </cell>
          <cell r="D219">
            <v>2</v>
          </cell>
          <cell r="E219">
            <v>37.15</v>
          </cell>
          <cell r="F219">
            <v>27.77</v>
          </cell>
          <cell r="G219">
            <v>35.88</v>
          </cell>
        </row>
        <row r="219">
          <cell r="J219">
            <v>0.03701579934</v>
          </cell>
        </row>
        <row r="220">
          <cell r="A220" t="str">
            <v>58725(36)</v>
          </cell>
        </row>
        <row r="220">
          <cell r="D220">
            <v>36</v>
          </cell>
          <cell r="E220">
            <v>31.75</v>
          </cell>
          <cell r="F220">
            <v>18.41</v>
          </cell>
          <cell r="G220">
            <v>20.32</v>
          </cell>
        </row>
        <row r="220">
          <cell r="J220">
            <v>0.0118773956</v>
          </cell>
        </row>
        <row r="221">
          <cell r="A221">
            <v>33580</v>
          </cell>
        </row>
        <row r="221">
          <cell r="C221" t="str">
            <v>搪胶小鸭</v>
          </cell>
          <cell r="D221">
            <v>48</v>
          </cell>
          <cell r="E221">
            <v>35.6</v>
          </cell>
          <cell r="F221">
            <v>23.4</v>
          </cell>
          <cell r="G221">
            <v>19.5</v>
          </cell>
        </row>
        <row r="221">
          <cell r="J221">
            <v>0.01624428</v>
          </cell>
        </row>
        <row r="222">
          <cell r="A222">
            <v>571067</v>
          </cell>
          <cell r="B222" t="str">
            <v>571067-2L（320915/320632/320402）</v>
          </cell>
          <cell r="C222" t="str">
            <v>（320915/632/402）混装</v>
          </cell>
          <cell r="D222">
            <v>4</v>
          </cell>
          <cell r="E222">
            <v>31.5</v>
          </cell>
          <cell r="F222">
            <v>25</v>
          </cell>
          <cell r="G222">
            <v>20</v>
          </cell>
        </row>
        <row r="222">
          <cell r="J222">
            <v>0.01575</v>
          </cell>
        </row>
        <row r="223">
          <cell r="A223">
            <v>470026</v>
          </cell>
          <cell r="B223" t="str">
            <v>470026-2L（470725/320630/320631/320918）</v>
          </cell>
        </row>
        <row r="223">
          <cell r="D223">
            <v>4</v>
          </cell>
          <cell r="E223">
            <v>25</v>
          </cell>
          <cell r="F223">
            <v>20.5</v>
          </cell>
          <cell r="G223">
            <v>20</v>
          </cell>
        </row>
        <row r="223">
          <cell r="J223">
            <v>0.01025</v>
          </cell>
        </row>
        <row r="224">
          <cell r="A224">
            <v>570929</v>
          </cell>
          <cell r="B224" t="str">
            <v>570929（470195/320785/320629/320627）</v>
          </cell>
          <cell r="C224" t="str">
            <v>（195/785/629/627）混装</v>
          </cell>
          <cell r="D224">
            <v>4</v>
          </cell>
          <cell r="E224">
            <v>28.89</v>
          </cell>
          <cell r="F224">
            <v>17.78</v>
          </cell>
          <cell r="G224">
            <v>20</v>
          </cell>
        </row>
        <row r="224">
          <cell r="J224">
            <v>0.010273284</v>
          </cell>
        </row>
        <row r="225">
          <cell r="A225">
            <v>320770</v>
          </cell>
          <cell r="B225" t="str">
            <v>3个装纸箱</v>
          </cell>
          <cell r="C225" t="str">
            <v>320405、406、407混装</v>
          </cell>
          <cell r="D225">
            <v>3</v>
          </cell>
          <cell r="E225">
            <v>31.5</v>
          </cell>
          <cell r="F225">
            <v>27</v>
          </cell>
          <cell r="G225">
            <v>20</v>
          </cell>
        </row>
        <row r="225">
          <cell r="J225">
            <v>0.01701</v>
          </cell>
        </row>
        <row r="226">
          <cell r="A226">
            <v>75280</v>
          </cell>
          <cell r="B226" t="str">
            <v>4个装纸箱</v>
          </cell>
        </row>
        <row r="226">
          <cell r="D226">
            <v>4</v>
          </cell>
          <cell r="E226">
            <v>33.97</v>
          </cell>
          <cell r="F226">
            <v>20.96</v>
          </cell>
          <cell r="G226">
            <v>34.61</v>
          </cell>
        </row>
        <row r="226">
          <cell r="J226">
            <v>0.024642707632</v>
          </cell>
        </row>
        <row r="227">
          <cell r="A227">
            <v>33550</v>
          </cell>
          <cell r="B227" t="str">
            <v>巨鸭</v>
          </cell>
          <cell r="C227" t="str">
            <v>巨鸭</v>
          </cell>
          <cell r="D227">
            <v>6</v>
          </cell>
          <cell r="E227">
            <v>60.5</v>
          </cell>
          <cell r="F227">
            <v>38.7</v>
          </cell>
          <cell r="G227">
            <v>25.7</v>
          </cell>
        </row>
        <row r="227">
          <cell r="J227">
            <v>0.060172695</v>
          </cell>
        </row>
        <row r="228">
          <cell r="A228">
            <v>28458</v>
          </cell>
          <cell r="B228" t="str">
            <v>五款硅胶手感球</v>
          </cell>
          <cell r="C228" t="str">
            <v>五款硅胶手感球</v>
          </cell>
          <cell r="D228">
            <v>15</v>
          </cell>
          <cell r="E228">
            <v>26.99</v>
          </cell>
          <cell r="F228">
            <v>27.31</v>
          </cell>
          <cell r="G228">
            <v>28.26</v>
          </cell>
        </row>
        <row r="228">
          <cell r="J228">
            <v>0.020830358394</v>
          </cell>
        </row>
        <row r="229">
          <cell r="A229">
            <v>28468</v>
          </cell>
          <cell r="B229" t="str">
            <v>大象</v>
          </cell>
          <cell r="C229" t="str">
            <v>大象</v>
          </cell>
          <cell r="D229">
            <v>1</v>
          </cell>
          <cell r="E229">
            <v>30</v>
          </cell>
          <cell r="F229">
            <v>20</v>
          </cell>
          <cell r="G229">
            <v>28</v>
          </cell>
        </row>
        <row r="229">
          <cell r="J229">
            <v>0.0168</v>
          </cell>
        </row>
        <row r="230">
          <cell r="A230">
            <v>28467</v>
          </cell>
          <cell r="B230" t="str">
            <v>青蛙</v>
          </cell>
          <cell r="C230" t="str">
            <v>青蛙</v>
          </cell>
          <cell r="D230">
            <v>1</v>
          </cell>
          <cell r="E230">
            <v>30</v>
          </cell>
          <cell r="F230">
            <v>20</v>
          </cell>
          <cell r="G230">
            <v>28</v>
          </cell>
        </row>
        <row r="230">
          <cell r="J230">
            <v>0.0168</v>
          </cell>
        </row>
        <row r="231">
          <cell r="A231">
            <v>28466</v>
          </cell>
          <cell r="B231" t="str">
            <v>长颈鹿</v>
          </cell>
          <cell r="C231" t="str">
            <v>长颈鹿</v>
          </cell>
          <cell r="D231">
            <v>1</v>
          </cell>
          <cell r="E231">
            <v>30</v>
          </cell>
          <cell r="F231">
            <v>20</v>
          </cell>
          <cell r="G231">
            <v>28</v>
          </cell>
        </row>
        <row r="231">
          <cell r="J231">
            <v>0.0168</v>
          </cell>
        </row>
        <row r="232">
          <cell r="A232">
            <v>28472</v>
          </cell>
          <cell r="B232" t="str">
            <v>狮子</v>
          </cell>
          <cell r="C232" t="str">
            <v>狮子</v>
          </cell>
          <cell r="D232">
            <v>1</v>
          </cell>
          <cell r="E232">
            <v>30</v>
          </cell>
          <cell r="F232">
            <v>17</v>
          </cell>
          <cell r="G232">
            <v>36</v>
          </cell>
        </row>
        <row r="232">
          <cell r="J232">
            <v>0.01836</v>
          </cell>
        </row>
        <row r="233">
          <cell r="A233">
            <v>320923</v>
          </cell>
          <cell r="B233" t="str">
            <v>花店</v>
          </cell>
          <cell r="C233" t="str">
            <v>花店</v>
          </cell>
          <cell r="D233">
            <v>1</v>
          </cell>
          <cell r="E233">
            <v>39.94</v>
          </cell>
          <cell r="F233">
            <v>30.1</v>
          </cell>
          <cell r="G233">
            <v>21.91</v>
          </cell>
        </row>
        <row r="233">
          <cell r="J233">
            <v>0.02634007054</v>
          </cell>
        </row>
        <row r="234">
          <cell r="A234">
            <v>28465</v>
          </cell>
          <cell r="B234" t="str">
            <v>14寸动物</v>
          </cell>
          <cell r="C234" t="str">
            <v>大象&amp;青蛙&amp;长颈鹿</v>
          </cell>
          <cell r="D234">
            <v>6</v>
          </cell>
          <cell r="E234">
            <v>63</v>
          </cell>
          <cell r="F234">
            <v>43</v>
          </cell>
          <cell r="G234">
            <v>30</v>
          </cell>
        </row>
        <row r="234">
          <cell r="J234">
            <v>0.08127</v>
          </cell>
        </row>
        <row r="235">
          <cell r="A235">
            <v>11441</v>
          </cell>
          <cell r="B235" t="str">
            <v>搪胶小鸭</v>
          </cell>
          <cell r="C235" t="str">
            <v>搪胶小鸭</v>
          </cell>
          <cell r="D235">
            <v>45</v>
          </cell>
          <cell r="E235">
            <v>27</v>
          </cell>
          <cell r="F235">
            <v>16.6</v>
          </cell>
          <cell r="G235">
            <v>26.5</v>
          </cell>
        </row>
        <row r="235">
          <cell r="J235">
            <v>0.0118773</v>
          </cell>
        </row>
        <row r="236">
          <cell r="A236">
            <v>14245</v>
          </cell>
          <cell r="B236" t="str">
            <v>磁铁肩膀公仔</v>
          </cell>
          <cell r="C236" t="str">
            <v>磁铁肩膀史迪仔</v>
          </cell>
          <cell r="D236">
            <v>4</v>
          </cell>
          <cell r="E236">
            <v>21.91</v>
          </cell>
          <cell r="F236">
            <v>22.23</v>
          </cell>
          <cell r="G236">
            <v>18.1</v>
          </cell>
        </row>
        <row r="236">
          <cell r="J236">
            <v>0.00881577333</v>
          </cell>
        </row>
        <row r="237">
          <cell r="A237" t="str">
            <v>D70850/470724</v>
          </cell>
          <cell r="B237" t="str">
            <v>火车</v>
          </cell>
        </row>
        <row r="237">
          <cell r="D237">
            <v>12</v>
          </cell>
          <cell r="E237">
            <v>119</v>
          </cell>
          <cell r="F237">
            <v>49</v>
          </cell>
          <cell r="G237">
            <v>111</v>
          </cell>
        </row>
        <row r="237">
          <cell r="J237">
            <v>0.647241</v>
          </cell>
        </row>
        <row r="238">
          <cell r="A238">
            <v>470875</v>
          </cell>
          <cell r="B238" t="str">
            <v>3个装纸箱</v>
          </cell>
          <cell r="C238" t="str">
            <v>320405、406、407混装</v>
          </cell>
          <cell r="D238">
            <v>3</v>
          </cell>
          <cell r="E238">
            <v>31.5</v>
          </cell>
          <cell r="F238">
            <v>27</v>
          </cell>
          <cell r="G238">
            <v>20</v>
          </cell>
          <cell r="H238">
            <v>1.5</v>
          </cell>
          <cell r="I238">
            <v>1.83</v>
          </cell>
          <cell r="J238">
            <v>0.01701</v>
          </cell>
        </row>
        <row r="239">
          <cell r="A239" t="str">
            <v>470689（12）</v>
          </cell>
          <cell r="B239" t="str">
            <v>12个装纸箱</v>
          </cell>
        </row>
        <row r="239">
          <cell r="D239">
            <v>12</v>
          </cell>
          <cell r="E239">
            <v>57.5</v>
          </cell>
          <cell r="F239">
            <v>30.8</v>
          </cell>
          <cell r="G239">
            <v>62</v>
          </cell>
        </row>
        <row r="239">
          <cell r="J239">
            <v>0.109802</v>
          </cell>
        </row>
        <row r="240">
          <cell r="A240" t="str">
            <v>470688（12）</v>
          </cell>
          <cell r="B240" t="str">
            <v>12个装纸箱</v>
          </cell>
        </row>
        <row r="240">
          <cell r="D240">
            <v>12</v>
          </cell>
          <cell r="E240">
            <v>57.5</v>
          </cell>
          <cell r="F240">
            <v>30.8</v>
          </cell>
          <cell r="G240">
            <v>62</v>
          </cell>
        </row>
        <row r="240">
          <cell r="J240">
            <v>0.109802</v>
          </cell>
        </row>
        <row r="241">
          <cell r="A241" t="str">
            <v>胶筐</v>
          </cell>
          <cell r="B241" t="str">
            <v>胶筐</v>
          </cell>
        </row>
        <row r="241">
          <cell r="D241">
            <v>1</v>
          </cell>
          <cell r="E241">
            <v>68</v>
          </cell>
          <cell r="F241">
            <v>48</v>
          </cell>
          <cell r="G241">
            <v>40</v>
          </cell>
        </row>
        <row r="241">
          <cell r="J241">
            <v>0.13056</v>
          </cell>
        </row>
        <row r="242">
          <cell r="A242" t="str">
            <v>33630（36）</v>
          </cell>
          <cell r="B242" t="str">
            <v>搪胶小鸭</v>
          </cell>
          <cell r="C242" t="str">
            <v>搪胶小鸭</v>
          </cell>
          <cell r="D242">
            <v>36</v>
          </cell>
          <cell r="E242">
            <v>31.75</v>
          </cell>
          <cell r="F242">
            <v>18.41</v>
          </cell>
          <cell r="G242">
            <v>20.32</v>
          </cell>
        </row>
        <row r="242">
          <cell r="J242">
            <v>0.0118773956</v>
          </cell>
        </row>
        <row r="243">
          <cell r="A243" t="str">
            <v>27694（2）</v>
          </cell>
          <cell r="B243" t="str">
            <v>侏罗纪棘龙</v>
          </cell>
        </row>
        <row r="243">
          <cell r="D243">
            <v>2</v>
          </cell>
          <cell r="E243">
            <v>41</v>
          </cell>
          <cell r="F243">
            <v>41</v>
          </cell>
          <cell r="G243">
            <v>35</v>
          </cell>
        </row>
        <row r="243">
          <cell r="J243">
            <v>0.058835</v>
          </cell>
        </row>
        <row r="244">
          <cell r="A244" t="str">
            <v>27694（3）</v>
          </cell>
          <cell r="B244" t="str">
            <v>侏罗纪棘龙</v>
          </cell>
        </row>
        <row r="244">
          <cell r="D244">
            <v>3</v>
          </cell>
          <cell r="E244">
            <v>60</v>
          </cell>
          <cell r="F244">
            <v>44</v>
          </cell>
          <cell r="G244">
            <v>35</v>
          </cell>
        </row>
        <row r="244">
          <cell r="J244">
            <v>0.0924</v>
          </cell>
        </row>
        <row r="245">
          <cell r="A245" t="str">
            <v>33490（36）</v>
          </cell>
          <cell r="B245" t="str">
            <v>搪胶小鸭</v>
          </cell>
          <cell r="C245" t="str">
            <v>搪胶小鸭</v>
          </cell>
          <cell r="D245">
            <v>36</v>
          </cell>
          <cell r="E245">
            <v>33.02</v>
          </cell>
          <cell r="F245">
            <v>18.41</v>
          </cell>
          <cell r="G245">
            <v>20.3</v>
          </cell>
        </row>
        <row r="245">
          <cell r="J245">
            <v>0.01234033346</v>
          </cell>
        </row>
        <row r="246">
          <cell r="A246" t="str">
            <v>58725(18)</v>
          </cell>
          <cell r="B246" t="str">
            <v>搪胶小鸭</v>
          </cell>
        </row>
        <row r="246">
          <cell r="D246">
            <v>18</v>
          </cell>
          <cell r="E246">
            <v>49.53</v>
          </cell>
          <cell r="F246">
            <v>15.25</v>
          </cell>
          <cell r="G246">
            <v>11.45</v>
          </cell>
        </row>
        <row r="246">
          <cell r="J246">
            <v>0.008648557125</v>
          </cell>
        </row>
        <row r="247">
          <cell r="A247" t="str">
            <v>D70950/470764</v>
          </cell>
          <cell r="B247" t="str">
            <v>15个装</v>
          </cell>
        </row>
        <row r="247">
          <cell r="D247">
            <v>15</v>
          </cell>
          <cell r="E247">
            <v>120.5</v>
          </cell>
          <cell r="F247">
            <v>48.5</v>
          </cell>
          <cell r="G247">
            <v>92</v>
          </cell>
        </row>
        <row r="247">
          <cell r="J247">
            <v>0.537671</v>
          </cell>
        </row>
        <row r="248">
          <cell r="A248">
            <v>14225</v>
          </cell>
          <cell r="B248" t="str">
            <v>8个装纸箱</v>
          </cell>
          <cell r="C248" t="str">
            <v>磁铁肩膀史迪仔</v>
          </cell>
          <cell r="D248">
            <v>8</v>
          </cell>
          <cell r="E248">
            <v>30.48</v>
          </cell>
          <cell r="F248">
            <v>27.67</v>
          </cell>
          <cell r="G248">
            <v>15.24</v>
          </cell>
        </row>
        <row r="248">
          <cell r="J248">
            <v>0.012853135584</v>
          </cell>
        </row>
        <row r="249">
          <cell r="A249" t="str">
            <v>14225（21）</v>
          </cell>
          <cell r="B249" t="str">
            <v>21个装纸箱</v>
          </cell>
        </row>
        <row r="249">
          <cell r="D249">
            <v>21</v>
          </cell>
          <cell r="E249">
            <v>125</v>
          </cell>
          <cell r="F249">
            <v>35</v>
          </cell>
          <cell r="G249">
            <v>16</v>
          </cell>
        </row>
        <row r="249">
          <cell r="J249">
            <v>0.07</v>
          </cell>
        </row>
        <row r="250">
          <cell r="A250">
            <v>46489</v>
          </cell>
          <cell r="B250" t="str">
            <v>史迪仔</v>
          </cell>
        </row>
        <row r="250">
          <cell r="D250">
            <v>12</v>
          </cell>
          <cell r="E250">
            <v>121.5</v>
          </cell>
          <cell r="F250">
            <v>53.5</v>
          </cell>
          <cell r="G250">
            <v>115</v>
          </cell>
        </row>
        <row r="250">
          <cell r="J250">
            <v>0.74752875</v>
          </cell>
        </row>
        <row r="251">
          <cell r="A251" t="str">
            <v>D70950(470764)</v>
          </cell>
        </row>
        <row r="251">
          <cell r="D251">
            <v>15</v>
          </cell>
          <cell r="E251">
            <v>120.5</v>
          </cell>
          <cell r="F251">
            <v>48.5</v>
          </cell>
          <cell r="G251">
            <v>92</v>
          </cell>
        </row>
        <row r="251">
          <cell r="J251">
            <v>0.537671</v>
          </cell>
        </row>
        <row r="252">
          <cell r="A252" t="str">
            <v>D70850(470724)</v>
          </cell>
        </row>
        <row r="252">
          <cell r="D252">
            <v>12</v>
          </cell>
          <cell r="E252">
            <v>119</v>
          </cell>
          <cell r="F252">
            <v>49</v>
          </cell>
          <cell r="G252">
            <v>111</v>
          </cell>
        </row>
        <row r="252">
          <cell r="J252">
            <v>0.647241</v>
          </cell>
        </row>
        <row r="253">
          <cell r="A253">
            <v>33410</v>
          </cell>
        </row>
        <row r="253">
          <cell r="C253" t="str">
            <v>搪胶小鸭</v>
          </cell>
          <cell r="D253">
            <v>400</v>
          </cell>
          <cell r="E253">
            <v>52.83</v>
          </cell>
          <cell r="F253">
            <v>52.32</v>
          </cell>
          <cell r="G253">
            <v>113</v>
          </cell>
        </row>
        <row r="253">
          <cell r="J253">
            <v>0.3123394128</v>
          </cell>
        </row>
        <row r="254">
          <cell r="A254" t="str">
            <v>14265（18）</v>
          </cell>
          <cell r="B254" t="str">
            <v>钥匙扣系列</v>
          </cell>
          <cell r="C254" t="str">
            <v>钥匙扣系列</v>
          </cell>
          <cell r="D254">
            <v>18</v>
          </cell>
          <cell r="E254">
            <v>42.48</v>
          </cell>
          <cell r="F254">
            <v>22.8</v>
          </cell>
          <cell r="G254">
            <v>15.5</v>
          </cell>
        </row>
        <row r="254">
          <cell r="J254">
            <v>0.015012432</v>
          </cell>
        </row>
        <row r="255">
          <cell r="A255" t="str">
            <v>卡板</v>
          </cell>
        </row>
        <row r="255">
          <cell r="E255">
            <v>107</v>
          </cell>
          <cell r="F255">
            <v>48</v>
          </cell>
          <cell r="G255">
            <v>12</v>
          </cell>
        </row>
        <row r="255">
          <cell r="J255">
            <v>0.061632</v>
          </cell>
        </row>
        <row r="256">
          <cell r="A256">
            <v>14746</v>
          </cell>
        </row>
        <row r="256">
          <cell r="C256" t="str">
            <v>坐姿米奇</v>
          </cell>
          <cell r="D256">
            <v>12</v>
          </cell>
          <cell r="E256">
            <v>61.5</v>
          </cell>
          <cell r="F256">
            <v>51</v>
          </cell>
          <cell r="G256">
            <v>34.5</v>
          </cell>
        </row>
        <row r="256">
          <cell r="J256">
            <v>0.10820925</v>
          </cell>
        </row>
        <row r="257">
          <cell r="A257">
            <v>33611</v>
          </cell>
          <cell r="B257" t="str">
            <v>18个装纸箱</v>
          </cell>
          <cell r="C257" t="str">
            <v>搪胶小鸭</v>
          </cell>
          <cell r="D257">
            <v>18</v>
          </cell>
          <cell r="E257">
            <v>32.39</v>
          </cell>
          <cell r="F257">
            <v>17.78</v>
          </cell>
          <cell r="G257">
            <v>9.53</v>
          </cell>
        </row>
        <row r="257">
          <cell r="J257">
            <v>0.005488271726</v>
          </cell>
        </row>
        <row r="258">
          <cell r="A258">
            <v>33612</v>
          </cell>
          <cell r="B258" t="str">
            <v>18个装纸箱</v>
          </cell>
          <cell r="C258" t="str">
            <v>搪胶小鸭</v>
          </cell>
          <cell r="D258">
            <v>18</v>
          </cell>
          <cell r="E258">
            <v>32.39</v>
          </cell>
          <cell r="F258">
            <v>17.78</v>
          </cell>
          <cell r="G258">
            <v>9.53</v>
          </cell>
        </row>
        <row r="258">
          <cell r="J258">
            <v>0.005488271726</v>
          </cell>
        </row>
        <row r="259">
          <cell r="A259">
            <v>33613</v>
          </cell>
          <cell r="B259" t="str">
            <v>18个装纸箱</v>
          </cell>
          <cell r="C259" t="str">
            <v>搪胶小鸭</v>
          </cell>
          <cell r="D259">
            <v>18</v>
          </cell>
          <cell r="E259">
            <v>32.39</v>
          </cell>
          <cell r="F259">
            <v>17.78</v>
          </cell>
          <cell r="G259">
            <v>9.53</v>
          </cell>
        </row>
        <row r="259">
          <cell r="J259">
            <v>0.005488271726</v>
          </cell>
        </row>
        <row r="260">
          <cell r="A260">
            <v>33614</v>
          </cell>
          <cell r="B260" t="str">
            <v>18个装纸箱</v>
          </cell>
          <cell r="C260" t="str">
            <v>搪胶小鸭</v>
          </cell>
          <cell r="D260">
            <v>18</v>
          </cell>
          <cell r="E260">
            <v>32.39</v>
          </cell>
          <cell r="F260">
            <v>17.78</v>
          </cell>
          <cell r="G260">
            <v>9.53</v>
          </cell>
        </row>
        <row r="260">
          <cell r="J260">
            <v>0.005488271726</v>
          </cell>
        </row>
        <row r="261">
          <cell r="A261">
            <v>41502</v>
          </cell>
          <cell r="B261" t="str">
            <v>4个装纸箱</v>
          </cell>
          <cell r="C261" t="str">
            <v>梅根头</v>
          </cell>
          <cell r="D261">
            <v>18</v>
          </cell>
          <cell r="E261">
            <v>43.18</v>
          </cell>
          <cell r="F261">
            <v>35.56</v>
          </cell>
          <cell r="G261">
            <v>36.2</v>
          </cell>
        </row>
        <row r="261">
          <cell r="J261">
            <v>0.05558440496</v>
          </cell>
        </row>
        <row r="262">
          <cell r="A262" t="str">
            <v>14747(12)</v>
          </cell>
          <cell r="B262" t="str">
            <v>12个装纸箱</v>
          </cell>
        </row>
        <row r="262">
          <cell r="D262">
            <v>12</v>
          </cell>
          <cell r="E262">
            <v>60.96</v>
          </cell>
          <cell r="F262">
            <v>51.8</v>
          </cell>
          <cell r="G262">
            <v>33.02</v>
          </cell>
        </row>
        <row r="262">
          <cell r="J262">
            <v>0.10426817856</v>
          </cell>
        </row>
        <row r="263">
          <cell r="A263" t="str">
            <v>14746(12)</v>
          </cell>
          <cell r="B263" t="str">
            <v>12个装纸箱</v>
          </cell>
        </row>
        <row r="263">
          <cell r="D263">
            <v>12</v>
          </cell>
          <cell r="E263">
            <v>60.96</v>
          </cell>
          <cell r="F263">
            <v>51.8</v>
          </cell>
          <cell r="G263">
            <v>33.02</v>
          </cell>
        </row>
        <row r="263">
          <cell r="J263">
            <v>0.10426817856</v>
          </cell>
        </row>
        <row r="264">
          <cell r="A264">
            <v>58770</v>
          </cell>
          <cell r="B264" t="str">
            <v>12个装纸箱</v>
          </cell>
          <cell r="C264" t="str">
            <v>搪胶小鸭</v>
          </cell>
          <cell r="D264">
            <v>12</v>
          </cell>
          <cell r="E264">
            <v>22.54</v>
          </cell>
          <cell r="F264">
            <v>18.42</v>
          </cell>
          <cell r="G264">
            <v>11.11</v>
          </cell>
        </row>
        <row r="264">
          <cell r="J264">
            <v>0.004612725348</v>
          </cell>
        </row>
        <row r="265">
          <cell r="A265">
            <v>11783</v>
          </cell>
          <cell r="B265" t="str">
            <v>24个装纸箱</v>
          </cell>
          <cell r="C265" t="str">
            <v>搪胶小鸭</v>
          </cell>
          <cell r="D265">
            <v>24</v>
          </cell>
          <cell r="E265">
            <v>25.72</v>
          </cell>
          <cell r="F265">
            <v>19.69</v>
          </cell>
          <cell r="G265">
            <v>28.26</v>
          </cell>
        </row>
        <row r="265">
          <cell r="J265">
            <v>0.014311621368</v>
          </cell>
        </row>
        <row r="266">
          <cell r="A266">
            <v>11781</v>
          </cell>
          <cell r="B266" t="str">
            <v>24个装纸箱</v>
          </cell>
          <cell r="C266" t="str">
            <v>搪胶小鸭</v>
          </cell>
          <cell r="D266">
            <v>24</v>
          </cell>
          <cell r="E266">
            <v>25.72</v>
          </cell>
          <cell r="F266">
            <v>19.69</v>
          </cell>
          <cell r="G266">
            <v>28.26</v>
          </cell>
        </row>
        <row r="266">
          <cell r="J266">
            <v>0.014311621368</v>
          </cell>
        </row>
        <row r="267">
          <cell r="A267">
            <v>11782</v>
          </cell>
          <cell r="B267" t="str">
            <v>24个装纸箱</v>
          </cell>
          <cell r="C267" t="str">
            <v>搪胶小鸭</v>
          </cell>
          <cell r="D267">
            <v>24</v>
          </cell>
          <cell r="E267">
            <v>25.72</v>
          </cell>
          <cell r="F267">
            <v>19.69</v>
          </cell>
          <cell r="G267">
            <v>28.26</v>
          </cell>
        </row>
        <row r="267">
          <cell r="J267">
            <v>0.014311621368</v>
          </cell>
        </row>
        <row r="268">
          <cell r="A268">
            <v>45586</v>
          </cell>
          <cell r="B268" t="str">
            <v>24个装纸箱</v>
          </cell>
        </row>
        <row r="268">
          <cell r="D268">
            <v>24</v>
          </cell>
          <cell r="E268">
            <v>25.72</v>
          </cell>
          <cell r="F268">
            <v>19.69</v>
          </cell>
          <cell r="G268">
            <v>28.26</v>
          </cell>
        </row>
        <row r="268">
          <cell r="J268">
            <v>0.014311621368</v>
          </cell>
        </row>
        <row r="269">
          <cell r="A269">
            <v>570974</v>
          </cell>
          <cell r="B269" t="str">
            <v>1个装纸箱</v>
          </cell>
          <cell r="C269" t="str">
            <v>蓝球</v>
          </cell>
          <cell r="D269">
            <v>1</v>
          </cell>
          <cell r="E269">
            <v>59.05</v>
          </cell>
          <cell r="F269">
            <v>26.04</v>
          </cell>
          <cell r="G269">
            <v>55.88</v>
          </cell>
        </row>
        <row r="269">
          <cell r="J269">
            <v>0.08592455256</v>
          </cell>
        </row>
        <row r="270">
          <cell r="A270">
            <v>570975</v>
          </cell>
          <cell r="B270" t="str">
            <v>1个装纸箱</v>
          </cell>
          <cell r="C270" t="str">
            <v>棒球</v>
          </cell>
          <cell r="D270">
            <v>1</v>
          </cell>
          <cell r="E270">
            <v>30.48</v>
          </cell>
          <cell r="F270">
            <v>11.795</v>
          </cell>
          <cell r="G270">
            <v>53.34</v>
          </cell>
        </row>
        <row r="270">
          <cell r="J270">
            <v>0.019176348744</v>
          </cell>
        </row>
        <row r="271">
          <cell r="A271">
            <v>25250</v>
          </cell>
          <cell r="B271" t="str">
            <v>6个装纸箱</v>
          </cell>
          <cell r="C271" t="str">
            <v>磁铁公仔</v>
          </cell>
          <cell r="D271">
            <v>6</v>
          </cell>
          <cell r="E271">
            <v>32.4</v>
          </cell>
          <cell r="F271">
            <v>21</v>
          </cell>
          <cell r="G271">
            <v>17.8</v>
          </cell>
        </row>
        <row r="271">
          <cell r="J271">
            <v>0.01211112</v>
          </cell>
        </row>
        <row r="272">
          <cell r="A272">
            <v>45188</v>
          </cell>
          <cell r="B272" t="str">
            <v>6个装纸箱</v>
          </cell>
        </row>
        <row r="272">
          <cell r="D272">
            <v>6</v>
          </cell>
          <cell r="E272">
            <v>32.4</v>
          </cell>
          <cell r="F272">
            <v>21</v>
          </cell>
          <cell r="G272">
            <v>17.8</v>
          </cell>
        </row>
        <row r="272">
          <cell r="J272">
            <v>0.01211112</v>
          </cell>
        </row>
        <row r="273">
          <cell r="A273">
            <v>11884</v>
          </cell>
        </row>
        <row r="273">
          <cell r="D273">
            <v>8</v>
          </cell>
          <cell r="E273">
            <v>25.72</v>
          </cell>
          <cell r="F273">
            <v>19.69</v>
          </cell>
          <cell r="G273">
            <v>28.26</v>
          </cell>
        </row>
        <row r="273">
          <cell r="J273">
            <v>0.014311621368</v>
          </cell>
        </row>
        <row r="274">
          <cell r="A274">
            <v>46097</v>
          </cell>
          <cell r="B274" t="str">
            <v>纸箱（10个装）</v>
          </cell>
          <cell r="C274" t="str">
            <v>小熊维尼历险记系列</v>
          </cell>
          <cell r="D274">
            <v>10</v>
          </cell>
          <cell r="E274">
            <v>40.01</v>
          </cell>
          <cell r="F274">
            <v>26.67</v>
          </cell>
          <cell r="G274">
            <v>20.96</v>
          </cell>
        </row>
        <row r="274">
          <cell r="J274">
            <v>0.022365718032</v>
          </cell>
        </row>
        <row r="275">
          <cell r="A275">
            <v>570989</v>
          </cell>
          <cell r="B275" t="str">
            <v>纸箱（27个装）</v>
          </cell>
          <cell r="C275" t="str">
            <v>盲盒系列</v>
          </cell>
          <cell r="D275">
            <v>27</v>
          </cell>
          <cell r="E275">
            <v>31.115</v>
          </cell>
          <cell r="F275">
            <v>22.59</v>
          </cell>
          <cell r="G275">
            <v>15.875</v>
          </cell>
        </row>
        <row r="275">
          <cell r="J275">
            <v>0.01115834461875</v>
          </cell>
        </row>
        <row r="276">
          <cell r="A276" t="str">
            <v>14225（6）</v>
          </cell>
          <cell r="B276" t="str">
            <v>纸箱（6个装）</v>
          </cell>
        </row>
        <row r="276">
          <cell r="D276">
            <v>6</v>
          </cell>
          <cell r="E276">
            <v>32.39</v>
          </cell>
          <cell r="F276">
            <v>20.32</v>
          </cell>
          <cell r="G276">
            <v>17.15</v>
          </cell>
        </row>
        <row r="276">
          <cell r="J276">
            <v>0.01128752632</v>
          </cell>
        </row>
        <row r="277">
          <cell r="A277" t="str">
            <v>33769（72）</v>
          </cell>
          <cell r="B277" t="str">
            <v>纸箱（24个装）</v>
          </cell>
          <cell r="C277" t="str">
            <v>搪胶小鸭</v>
          </cell>
          <cell r="D277">
            <v>72</v>
          </cell>
          <cell r="E277">
            <v>25.4</v>
          </cell>
          <cell r="F277">
            <v>24.765</v>
          </cell>
          <cell r="G277">
            <v>31.75</v>
          </cell>
        </row>
        <row r="277">
          <cell r="J277">
            <v>0.01997173425</v>
          </cell>
        </row>
        <row r="278">
          <cell r="A278">
            <v>28481</v>
          </cell>
          <cell r="B278" t="str">
            <v>骰子</v>
          </cell>
          <cell r="C278" t="str">
            <v>骰子</v>
          </cell>
          <cell r="D278">
            <v>4</v>
          </cell>
          <cell r="E278">
            <v>23.81</v>
          </cell>
          <cell r="F278">
            <v>17.78</v>
          </cell>
          <cell r="G278">
            <v>23.81</v>
          </cell>
        </row>
        <row r="278">
          <cell r="J278">
            <v>0.010079768258</v>
          </cell>
        </row>
        <row r="279">
          <cell r="A279">
            <v>28483</v>
          </cell>
          <cell r="B279" t="str">
            <v>振动球</v>
          </cell>
          <cell r="C279" t="str">
            <v>振动球</v>
          </cell>
          <cell r="D279">
            <v>1</v>
          </cell>
          <cell r="E279">
            <v>16.83</v>
          </cell>
          <cell r="F279">
            <v>17.15</v>
          </cell>
          <cell r="G279">
            <v>20</v>
          </cell>
        </row>
        <row r="279">
          <cell r="J279">
            <v>0.00577269</v>
          </cell>
        </row>
        <row r="280">
          <cell r="A280">
            <v>82165</v>
          </cell>
          <cell r="B280" t="str">
            <v>纸箱（8个装）</v>
          </cell>
        </row>
        <row r="280">
          <cell r="D280">
            <v>8</v>
          </cell>
          <cell r="E280">
            <v>25.72</v>
          </cell>
          <cell r="F280">
            <v>19.69</v>
          </cell>
          <cell r="G280">
            <v>28.26</v>
          </cell>
        </row>
        <row r="280">
          <cell r="J280">
            <v>0.014311621368</v>
          </cell>
        </row>
        <row r="281">
          <cell r="A281">
            <v>571299</v>
          </cell>
          <cell r="B281" t="str">
            <v>自卸车</v>
          </cell>
          <cell r="C281" t="str">
            <v>自卸车</v>
          </cell>
          <cell r="D281">
            <v>1</v>
          </cell>
          <cell r="E281">
            <v>42</v>
          </cell>
          <cell r="F281">
            <v>22</v>
          </cell>
          <cell r="G281">
            <v>29</v>
          </cell>
        </row>
        <row r="281">
          <cell r="J281">
            <v>0.026796</v>
          </cell>
        </row>
        <row r="282">
          <cell r="A282" t="str">
            <v>14878（8）</v>
          </cell>
          <cell r="B282" t="str">
            <v>8个装纸箱</v>
          </cell>
        </row>
        <row r="282">
          <cell r="D282">
            <v>8</v>
          </cell>
          <cell r="E282">
            <v>57.785</v>
          </cell>
          <cell r="F282">
            <v>57.15</v>
          </cell>
          <cell r="G282">
            <v>25.4</v>
          </cell>
        </row>
        <row r="282">
          <cell r="J282">
            <v>0.08388128385</v>
          </cell>
        </row>
        <row r="283">
          <cell r="A283">
            <v>21150</v>
          </cell>
          <cell r="B283" t="str">
            <v>纸箱（12个装）</v>
          </cell>
          <cell r="C283" t="str">
            <v>豆袋系列</v>
          </cell>
          <cell r="D283">
            <v>12</v>
          </cell>
          <cell r="E283">
            <v>41.91</v>
          </cell>
          <cell r="F283">
            <v>32.75</v>
          </cell>
          <cell r="G283">
            <v>12.065</v>
          </cell>
        </row>
        <row r="283">
          <cell r="J283">
            <v>0.0165598459125</v>
          </cell>
        </row>
        <row r="284">
          <cell r="A284" t="str">
            <v>33735（12）</v>
          </cell>
          <cell r="B284" t="str">
            <v>纸箱（12个装）</v>
          </cell>
          <cell r="C284" t="str">
            <v>搪胶小鸭</v>
          </cell>
          <cell r="D284">
            <v>12</v>
          </cell>
          <cell r="E284">
            <v>22.5</v>
          </cell>
          <cell r="F284">
            <v>19.5</v>
          </cell>
          <cell r="G284">
            <v>11.3</v>
          </cell>
        </row>
        <row r="284">
          <cell r="J284">
            <v>0.004957875</v>
          </cell>
        </row>
        <row r="285">
          <cell r="A285" t="str">
            <v>33735（18）</v>
          </cell>
          <cell r="B285" t="str">
            <v>纸箱（18个装）</v>
          </cell>
          <cell r="C285" t="str">
            <v>搪胶小鸭</v>
          </cell>
          <cell r="D285">
            <v>18</v>
          </cell>
          <cell r="E285">
            <v>32.5</v>
          </cell>
          <cell r="F285">
            <v>18.3</v>
          </cell>
          <cell r="G285">
            <v>10.7</v>
          </cell>
        </row>
        <row r="285">
          <cell r="J285">
            <v>0.006363825</v>
          </cell>
        </row>
        <row r="286">
          <cell r="A286" t="str">
            <v>33475（192）</v>
          </cell>
          <cell r="B286" t="str">
            <v>纸箱（192个装）</v>
          </cell>
          <cell r="C286" t="str">
            <v>搪胶小鸭</v>
          </cell>
          <cell r="D286">
            <v>192</v>
          </cell>
          <cell r="E286">
            <v>32.7</v>
          </cell>
          <cell r="F286">
            <v>27.8</v>
          </cell>
          <cell r="G286">
            <v>41.6</v>
          </cell>
        </row>
        <row r="286">
          <cell r="J286">
            <v>0.037816896</v>
          </cell>
        </row>
        <row r="287">
          <cell r="A287" t="str">
            <v>33735（36）</v>
          </cell>
          <cell r="B287" t="str">
            <v>纸箱（36个装）</v>
          </cell>
          <cell r="C287" t="str">
            <v>搪胶小鸭</v>
          </cell>
          <cell r="D287">
            <v>36</v>
          </cell>
          <cell r="E287">
            <v>39.3</v>
          </cell>
          <cell r="F287">
            <v>35</v>
          </cell>
          <cell r="G287">
            <v>14.1</v>
          </cell>
        </row>
        <row r="287">
          <cell r="J287">
            <v>0.01939455</v>
          </cell>
        </row>
        <row r="288">
          <cell r="A288">
            <v>46133</v>
          </cell>
        </row>
        <row r="288">
          <cell r="C288" t="str">
            <v>小美人鱼系列</v>
          </cell>
          <cell r="D288">
            <v>2</v>
          </cell>
          <cell r="E288">
            <v>40.01</v>
          </cell>
          <cell r="F288">
            <v>26.67</v>
          </cell>
          <cell r="G288">
            <v>20.96</v>
          </cell>
        </row>
        <row r="288">
          <cell r="J288">
            <v>0.022365718032</v>
          </cell>
        </row>
        <row r="289">
          <cell r="A289">
            <v>46099</v>
          </cell>
        </row>
        <row r="289">
          <cell r="C289" t="str">
            <v>米奇老鼠系列</v>
          </cell>
          <cell r="D289">
            <v>2</v>
          </cell>
          <cell r="E289">
            <v>40.01</v>
          </cell>
          <cell r="F289">
            <v>26.67</v>
          </cell>
          <cell r="G289">
            <v>20.96</v>
          </cell>
        </row>
        <row r="289">
          <cell r="J289">
            <v>0.022365718032</v>
          </cell>
        </row>
        <row r="290">
          <cell r="A290" t="str">
            <v>33475（48）</v>
          </cell>
          <cell r="B290" t="str">
            <v>48个装纸箱</v>
          </cell>
          <cell r="C290" t="str">
            <v>搪胶小鸭</v>
          </cell>
          <cell r="D290">
            <v>48</v>
          </cell>
          <cell r="E290">
            <v>34.925</v>
          </cell>
          <cell r="F290">
            <v>22.225</v>
          </cell>
          <cell r="G290">
            <v>19.05</v>
          </cell>
        </row>
        <row r="290">
          <cell r="J290">
            <v>0.01478676478125</v>
          </cell>
        </row>
        <row r="291">
          <cell r="A291" t="str">
            <v>33490（48）</v>
          </cell>
          <cell r="B291" t="str">
            <v>48个装纸箱</v>
          </cell>
          <cell r="C291" t="str">
            <v>搪胶小鸭</v>
          </cell>
          <cell r="D291">
            <v>48</v>
          </cell>
          <cell r="E291">
            <v>34.925</v>
          </cell>
          <cell r="F291">
            <v>22.225</v>
          </cell>
          <cell r="G291">
            <v>19.05</v>
          </cell>
        </row>
        <row r="291">
          <cell r="J291">
            <v>0.01478676478125</v>
          </cell>
        </row>
        <row r="292">
          <cell r="A292" t="str">
            <v>33658（8）</v>
          </cell>
          <cell r="B292" t="str">
            <v>8个装纸箱</v>
          </cell>
          <cell r="C292" t="str">
            <v>我爱纽约组合小鸭</v>
          </cell>
          <cell r="D292">
            <v>8</v>
          </cell>
          <cell r="E292">
            <v>33</v>
          </cell>
          <cell r="F292">
            <v>16.7</v>
          </cell>
          <cell r="G292">
            <v>14.3</v>
          </cell>
        </row>
        <row r="292">
          <cell r="J292">
            <v>0.00788073</v>
          </cell>
        </row>
        <row r="293">
          <cell r="A293" t="str">
            <v>33708（8）</v>
          </cell>
          <cell r="B293" t="str">
            <v>8个装纸箱</v>
          </cell>
          <cell r="C293" t="str">
            <v>搪胶小鸭</v>
          </cell>
          <cell r="D293">
            <v>8</v>
          </cell>
          <cell r="E293">
            <v>33</v>
          </cell>
          <cell r="F293">
            <v>16.7</v>
          </cell>
          <cell r="G293">
            <v>14.3</v>
          </cell>
        </row>
        <row r="293">
          <cell r="J293">
            <v>0.00788073</v>
          </cell>
        </row>
        <row r="294">
          <cell r="A294">
            <v>33429</v>
          </cell>
        </row>
        <row r="294">
          <cell r="C294" t="str">
            <v>搪胶小鸭</v>
          </cell>
        </row>
        <row r="295">
          <cell r="A295">
            <v>33477</v>
          </cell>
        </row>
        <row r="295">
          <cell r="C295" t="str">
            <v>搪小鸭外星史迪仔</v>
          </cell>
        </row>
        <row r="296">
          <cell r="A296">
            <v>33476</v>
          </cell>
        </row>
        <row r="296">
          <cell r="C296" t="str">
            <v>搪小鸭天使</v>
          </cell>
        </row>
        <row r="297">
          <cell r="A297">
            <v>46462</v>
          </cell>
          <cell r="B297" t="str">
            <v>纸箱（2个装）</v>
          </cell>
          <cell r="C297" t="str">
            <v>史迪仔系列</v>
          </cell>
          <cell r="D297">
            <v>2</v>
          </cell>
          <cell r="E297">
            <v>40.01</v>
          </cell>
          <cell r="F297">
            <v>26.67</v>
          </cell>
          <cell r="G297">
            <v>20.96</v>
          </cell>
        </row>
        <row r="297">
          <cell r="J297">
            <v>0.022365718032</v>
          </cell>
        </row>
        <row r="298">
          <cell r="A298">
            <v>46496</v>
          </cell>
          <cell r="B298" t="str">
            <v>纸箱（2个装）</v>
          </cell>
          <cell r="C298" t="str">
            <v>米妮系列</v>
          </cell>
          <cell r="D298">
            <v>2</v>
          </cell>
          <cell r="E298">
            <v>40.01</v>
          </cell>
          <cell r="F298">
            <v>26.67</v>
          </cell>
          <cell r="G298">
            <v>20.96</v>
          </cell>
        </row>
        <row r="298">
          <cell r="J298">
            <v>0.022365718032</v>
          </cell>
        </row>
        <row r="299">
          <cell r="A299">
            <v>571412</v>
          </cell>
        </row>
        <row r="299">
          <cell r="C299" t="str">
            <v>绿色金属车</v>
          </cell>
          <cell r="D299">
            <v>2</v>
          </cell>
          <cell r="E299">
            <v>41</v>
          </cell>
          <cell r="F299">
            <v>38</v>
          </cell>
          <cell r="G299">
            <v>24</v>
          </cell>
        </row>
        <row r="299">
          <cell r="J299">
            <v>0.037392</v>
          </cell>
        </row>
        <row r="300">
          <cell r="A300">
            <v>571388</v>
          </cell>
        </row>
        <row r="300">
          <cell r="C300" t="str">
            <v>翰迪尔娃娃（咖色头发）</v>
          </cell>
          <cell r="D300">
            <v>4</v>
          </cell>
          <cell r="E300">
            <v>27.94</v>
          </cell>
          <cell r="F300">
            <v>16.51</v>
          </cell>
          <cell r="G300">
            <v>33</v>
          </cell>
        </row>
        <row r="300">
          <cell r="J300">
            <v>0.0152225502</v>
          </cell>
        </row>
        <row r="301">
          <cell r="A301">
            <v>33610</v>
          </cell>
        </row>
        <row r="301">
          <cell r="C301" t="str">
            <v>搪果鸭</v>
          </cell>
          <cell r="D301">
            <v>12</v>
          </cell>
          <cell r="E301">
            <v>22.7</v>
          </cell>
          <cell r="F301">
            <v>18.2</v>
          </cell>
          <cell r="G301">
            <v>11.1</v>
          </cell>
        </row>
        <row r="301">
          <cell r="J301">
            <v>0.004585854</v>
          </cell>
        </row>
        <row r="302">
          <cell r="A302">
            <v>33813</v>
          </cell>
        </row>
        <row r="302">
          <cell r="C302" t="str">
            <v>搪胶小鸭</v>
          </cell>
          <cell r="D302">
            <v>84</v>
          </cell>
          <cell r="E302">
            <v>29.6</v>
          </cell>
          <cell r="F302">
            <v>21.1</v>
          </cell>
          <cell r="G302">
            <v>30.4</v>
          </cell>
        </row>
        <row r="302">
          <cell r="J302">
            <v>0.018986624</v>
          </cell>
        </row>
        <row r="303">
          <cell r="A303">
            <v>33812</v>
          </cell>
        </row>
        <row r="303">
          <cell r="C303" t="str">
            <v>搪胶小鸭</v>
          </cell>
          <cell r="D303">
            <v>60</v>
          </cell>
          <cell r="E303">
            <v>32.2</v>
          </cell>
          <cell r="F303">
            <v>26.4</v>
          </cell>
          <cell r="G303">
            <v>17.9</v>
          </cell>
        </row>
        <row r="303">
          <cell r="J303">
            <v>0.015216432</v>
          </cell>
        </row>
        <row r="304">
          <cell r="A304">
            <v>33807</v>
          </cell>
        </row>
        <row r="304">
          <cell r="C304" t="str">
            <v>搪胶小鸭</v>
          </cell>
          <cell r="D304">
            <v>96</v>
          </cell>
          <cell r="E304">
            <v>32.5</v>
          </cell>
          <cell r="F304">
            <v>20.7</v>
          </cell>
          <cell r="G304">
            <v>33</v>
          </cell>
        </row>
        <row r="304">
          <cell r="J304">
            <v>0.02220075</v>
          </cell>
        </row>
        <row r="305">
          <cell r="A305">
            <v>33808</v>
          </cell>
        </row>
        <row r="305">
          <cell r="C305" t="str">
            <v>搪胶小鸭</v>
          </cell>
          <cell r="D305">
            <v>96</v>
          </cell>
          <cell r="E305">
            <v>32.5</v>
          </cell>
          <cell r="F305">
            <v>20.7</v>
          </cell>
          <cell r="G305">
            <v>33</v>
          </cell>
        </row>
        <row r="305">
          <cell r="J305">
            <v>0.02220075</v>
          </cell>
        </row>
        <row r="306">
          <cell r="A306">
            <v>46462</v>
          </cell>
        </row>
        <row r="306">
          <cell r="C306" t="str">
            <v>史迪仔系列</v>
          </cell>
          <cell r="D306">
            <v>2</v>
          </cell>
          <cell r="E306">
            <v>40.01</v>
          </cell>
          <cell r="F306">
            <v>26.67</v>
          </cell>
          <cell r="G306">
            <v>20.96</v>
          </cell>
        </row>
        <row r="306">
          <cell r="J306">
            <v>0.022365718032</v>
          </cell>
        </row>
        <row r="307">
          <cell r="A307">
            <v>46911</v>
          </cell>
        </row>
        <row r="307">
          <cell r="C307" t="str">
            <v>蜘蛛侠系列</v>
          </cell>
          <cell r="D307">
            <v>2</v>
          </cell>
          <cell r="E307">
            <v>40.01</v>
          </cell>
          <cell r="F307">
            <v>26.67</v>
          </cell>
          <cell r="G307">
            <v>20.96</v>
          </cell>
        </row>
        <row r="307">
          <cell r="J307">
            <v>0.022365718032</v>
          </cell>
        </row>
        <row r="308">
          <cell r="A308">
            <v>46857</v>
          </cell>
        </row>
        <row r="308">
          <cell r="C308" t="str">
            <v>33477外星史迪仔</v>
          </cell>
        </row>
        <row r="309">
          <cell r="A309">
            <v>46886</v>
          </cell>
        </row>
        <row r="309">
          <cell r="C309" t="str">
            <v>33477外星史迪仔</v>
          </cell>
        </row>
        <row r="310">
          <cell r="A310">
            <v>46897</v>
          </cell>
        </row>
        <row r="310">
          <cell r="C310" t="str">
            <v>33476天使</v>
          </cell>
        </row>
        <row r="311">
          <cell r="A311" t="str">
            <v>46913-1</v>
          </cell>
        </row>
        <row r="311">
          <cell r="C311" t="str">
            <v>33476天使</v>
          </cell>
        </row>
        <row r="312">
          <cell r="A312" t="str">
            <v>46913-2</v>
          </cell>
        </row>
        <row r="312">
          <cell r="C312" t="str">
            <v>33416史迪仔</v>
          </cell>
        </row>
        <row r="313">
          <cell r="A313">
            <v>46862</v>
          </cell>
        </row>
        <row r="313">
          <cell r="C313" t="str">
            <v>荧光杰克</v>
          </cell>
        </row>
        <row r="314">
          <cell r="A314">
            <v>46094</v>
          </cell>
        </row>
        <row r="314">
          <cell r="C314" t="str">
            <v>漫威系列</v>
          </cell>
          <cell r="D314">
            <v>2</v>
          </cell>
          <cell r="E314">
            <v>40.01</v>
          </cell>
          <cell r="F314">
            <v>26.67</v>
          </cell>
          <cell r="G314">
            <v>20.96</v>
          </cell>
        </row>
        <row r="314">
          <cell r="J314">
            <v>0.022365718032</v>
          </cell>
        </row>
        <row r="315">
          <cell r="A315">
            <v>33776</v>
          </cell>
        </row>
        <row r="315">
          <cell r="C315" t="str">
            <v>搪胶小鸭子系列</v>
          </cell>
          <cell r="D315">
            <v>96</v>
          </cell>
          <cell r="E315">
            <v>54.95</v>
          </cell>
          <cell r="F315">
            <v>34.95</v>
          </cell>
          <cell r="G315">
            <v>42.9</v>
          </cell>
        </row>
        <row r="315">
          <cell r="J315">
            <v>0.08238955725</v>
          </cell>
        </row>
        <row r="316">
          <cell r="A316">
            <v>671509</v>
          </cell>
        </row>
        <row r="316">
          <cell r="C316" t="str">
            <v>绿色铁皮勾车</v>
          </cell>
          <cell r="D316">
            <v>2</v>
          </cell>
          <cell r="E316">
            <v>40.32</v>
          </cell>
          <cell r="F316">
            <v>37.47</v>
          </cell>
          <cell r="G316">
            <v>23.81</v>
          </cell>
        </row>
        <row r="316">
          <cell r="J316">
            <v>0.035971919424</v>
          </cell>
        </row>
        <row r="317">
          <cell r="A317" t="str">
            <v>33465（48）</v>
          </cell>
        </row>
        <row r="317">
          <cell r="C317" t="str">
            <v>搪胶小鸭子系列</v>
          </cell>
          <cell r="D317">
            <v>48</v>
          </cell>
          <cell r="E317">
            <v>36.7</v>
          </cell>
          <cell r="F317">
            <v>28</v>
          </cell>
          <cell r="G317">
            <v>17.2</v>
          </cell>
        </row>
        <row r="317">
          <cell r="J317">
            <v>0.01767472</v>
          </cell>
        </row>
        <row r="318">
          <cell r="A318" t="str">
            <v>33782（48）</v>
          </cell>
          <cell r="B318" t="str">
            <v>纸箱（48个装）</v>
          </cell>
          <cell r="C318" t="str">
            <v>鸭子</v>
          </cell>
          <cell r="D318">
            <v>48</v>
          </cell>
          <cell r="E318">
            <v>37.15</v>
          </cell>
          <cell r="F318">
            <v>33</v>
          </cell>
          <cell r="G318">
            <v>33.34</v>
          </cell>
        </row>
        <row r="318">
          <cell r="J318">
            <v>0.040873173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装箱单"/>
      <sheetName val="计划"/>
      <sheetName val="实发车"/>
      <sheetName val="塑胶半成品"/>
      <sheetName val="4-25的搪胶鸭子欠数"/>
      <sheetName val="33410"/>
      <sheetName val="2025年底余数出货"/>
      <sheetName val="Sheet2"/>
      <sheetName val="120款搪胶货"/>
      <sheetName val="Sheet1"/>
    </sheetNames>
    <sheetDataSet>
      <sheetData sheetId="0" refreshError="1">
        <row r="1">
          <cell r="A1" t="str">
            <v> WM Item#</v>
          </cell>
          <cell r="B1" t="str">
            <v>Description</v>
          </cell>
        </row>
        <row r="1">
          <cell r="D1" t="str">
            <v>Qty/Ctn</v>
          </cell>
          <cell r="E1" t="str">
            <v>Measurement/ctn 
(L/W/H ) (cm)</v>
          </cell>
        </row>
        <row r="1">
          <cell r="H1" t="str">
            <v>NW/CTN</v>
          </cell>
          <cell r="I1" t="str">
            <v>GW/CTN</v>
          </cell>
          <cell r="J1" t="str">
            <v>CBM/CTN</v>
          </cell>
        </row>
        <row r="2">
          <cell r="A2">
            <v>320398</v>
          </cell>
          <cell r="B2" t="str">
            <v>HONEY BEE ACRES BUNNY FAMILY 4-PACK</v>
          </cell>
          <cell r="C2" t="str">
            <v>兔子家族</v>
          </cell>
          <cell r="D2">
            <v>4</v>
          </cell>
          <cell r="E2">
            <v>24.5</v>
          </cell>
          <cell r="F2">
            <v>21</v>
          </cell>
          <cell r="G2">
            <v>20</v>
          </cell>
          <cell r="H2">
            <v>0.52</v>
          </cell>
          <cell r="I2">
            <v>0.71</v>
          </cell>
          <cell r="J2">
            <v>0.01029</v>
          </cell>
        </row>
        <row r="3">
          <cell r="A3" t="str">
            <v>320398-X</v>
          </cell>
          <cell r="B3" t="str">
            <v>HONEY BEE ACRES BUNNY FAMILY 4-PACK</v>
          </cell>
          <cell r="C3" t="str">
            <v>兔子家族</v>
          </cell>
          <cell r="D3">
            <v>4</v>
          </cell>
          <cell r="E3">
            <v>24.5</v>
          </cell>
          <cell r="F3">
            <v>21</v>
          </cell>
          <cell r="G3">
            <v>20</v>
          </cell>
          <cell r="H3">
            <v>0.52</v>
          </cell>
          <cell r="I3">
            <v>0.71</v>
          </cell>
          <cell r="J3">
            <v>0.01029</v>
          </cell>
        </row>
        <row r="4">
          <cell r="A4">
            <v>320399</v>
          </cell>
          <cell r="B4" t="str">
            <v>HONEY BEE ACRES CAT FAMILY 4-PACK</v>
          </cell>
          <cell r="C4" t="str">
            <v>猫家族</v>
          </cell>
          <cell r="D4">
            <v>4</v>
          </cell>
          <cell r="E4">
            <v>24.5</v>
          </cell>
          <cell r="F4">
            <v>21</v>
          </cell>
          <cell r="G4">
            <v>20</v>
          </cell>
          <cell r="H4">
            <v>0.5</v>
          </cell>
          <cell r="I4">
            <v>0.68</v>
          </cell>
          <cell r="J4">
            <v>0.01029</v>
          </cell>
        </row>
        <row r="5">
          <cell r="A5" t="str">
            <v>320399-X</v>
          </cell>
          <cell r="B5" t="str">
            <v>HONEY BEE ACRES CAT FAMILY 4-PACK</v>
          </cell>
          <cell r="C5" t="str">
            <v>猫家族</v>
          </cell>
          <cell r="D5">
            <v>4</v>
          </cell>
          <cell r="E5">
            <v>24.5</v>
          </cell>
          <cell r="F5">
            <v>21</v>
          </cell>
          <cell r="G5">
            <v>20</v>
          </cell>
          <cell r="H5">
            <v>0.5</v>
          </cell>
          <cell r="I5">
            <v>0.68</v>
          </cell>
          <cell r="J5">
            <v>0.01029</v>
          </cell>
        </row>
        <row r="6">
          <cell r="A6">
            <v>320400</v>
          </cell>
          <cell r="B6" t="str">
            <v>HONEY BEE ACRES BEAR FAMILY 4-PACK</v>
          </cell>
          <cell r="C6" t="str">
            <v>熊家族</v>
          </cell>
          <cell r="D6">
            <v>4</v>
          </cell>
          <cell r="E6">
            <v>24.5</v>
          </cell>
          <cell r="F6">
            <v>21</v>
          </cell>
          <cell r="G6">
            <v>20</v>
          </cell>
          <cell r="H6">
            <v>0.47</v>
          </cell>
          <cell r="I6">
            <v>0.68</v>
          </cell>
          <cell r="J6">
            <v>0.01029</v>
          </cell>
        </row>
        <row r="7">
          <cell r="A7" t="str">
            <v>320400-X</v>
          </cell>
          <cell r="B7" t="str">
            <v>HONEY BEE ACRES BEAR FAMILY 4-PACK</v>
          </cell>
          <cell r="C7" t="str">
            <v>熊家族</v>
          </cell>
          <cell r="D7">
            <v>4</v>
          </cell>
          <cell r="E7">
            <v>24.5</v>
          </cell>
          <cell r="F7">
            <v>21</v>
          </cell>
          <cell r="G7">
            <v>20</v>
          </cell>
          <cell r="H7">
            <v>0.47</v>
          </cell>
          <cell r="I7">
            <v>0.68</v>
          </cell>
          <cell r="J7">
            <v>0.01029</v>
          </cell>
        </row>
        <row r="8">
          <cell r="A8">
            <v>320401</v>
          </cell>
          <cell r="B8" t="str">
            <v>HONEY BEE ACRES DOG FAMILY 4-PACK</v>
          </cell>
          <cell r="C8" t="str">
            <v>狗家族</v>
          </cell>
          <cell r="D8">
            <v>4</v>
          </cell>
          <cell r="E8">
            <v>24.5</v>
          </cell>
          <cell r="F8">
            <v>21</v>
          </cell>
          <cell r="G8">
            <v>20</v>
          </cell>
          <cell r="H8">
            <v>0.51</v>
          </cell>
          <cell r="I8">
            <v>0.71</v>
          </cell>
          <cell r="J8">
            <v>0.01029</v>
          </cell>
        </row>
        <row r="9">
          <cell r="A9" t="str">
            <v>320401-X</v>
          </cell>
          <cell r="B9" t="str">
            <v>HONEY BEE ACRES DOG FAMILY 4-PACK</v>
          </cell>
          <cell r="C9" t="str">
            <v>狗家族</v>
          </cell>
          <cell r="D9">
            <v>4</v>
          </cell>
          <cell r="E9">
            <v>24.5</v>
          </cell>
          <cell r="F9">
            <v>21</v>
          </cell>
          <cell r="G9">
            <v>20</v>
          </cell>
          <cell r="H9">
            <v>0.51</v>
          </cell>
          <cell r="I9">
            <v>0.71</v>
          </cell>
          <cell r="J9">
            <v>0.01029</v>
          </cell>
        </row>
        <row r="10">
          <cell r="A10">
            <v>320918</v>
          </cell>
          <cell r="B10" t="str">
            <v>HONEY BEE ACRES DOG FAMILY 4-PACK</v>
          </cell>
          <cell r="C10" t="str">
            <v>狗家族</v>
          </cell>
          <cell r="D10">
            <v>4</v>
          </cell>
          <cell r="E10">
            <v>24.5</v>
          </cell>
          <cell r="F10">
            <v>21</v>
          </cell>
          <cell r="G10">
            <v>20</v>
          </cell>
          <cell r="H10">
            <v>0.51</v>
          </cell>
          <cell r="I10">
            <v>0.71</v>
          </cell>
          <cell r="J10">
            <v>0.01029</v>
          </cell>
        </row>
        <row r="11">
          <cell r="A11">
            <v>320735</v>
          </cell>
        </row>
        <row r="11">
          <cell r="C11" t="str">
            <v>混装</v>
          </cell>
          <cell r="D11">
            <v>4</v>
          </cell>
          <cell r="E11">
            <v>24.5</v>
          </cell>
          <cell r="F11">
            <v>21</v>
          </cell>
          <cell r="G11">
            <v>20</v>
          </cell>
          <cell r="H11">
            <v>0.51</v>
          </cell>
          <cell r="I11">
            <v>0.71</v>
          </cell>
          <cell r="J11">
            <v>0.01029</v>
          </cell>
        </row>
        <row r="12">
          <cell r="A12">
            <v>320403</v>
          </cell>
          <cell r="B12" t="str">
            <v>HONEY BEE ACRES ASSORTED CHARACTERS</v>
          </cell>
          <cell r="C12" t="str">
            <v>各种角色公仔组合</v>
          </cell>
          <cell r="D12">
            <v>16</v>
          </cell>
          <cell r="E12">
            <v>22</v>
          </cell>
          <cell r="F12">
            <v>17</v>
          </cell>
          <cell r="G12">
            <v>20.5</v>
          </cell>
          <cell r="H12">
            <v>0.75</v>
          </cell>
          <cell r="I12">
            <v>0.93</v>
          </cell>
          <cell r="J12">
            <v>0.007667</v>
          </cell>
        </row>
        <row r="13">
          <cell r="A13" t="str">
            <v>320403-X</v>
          </cell>
          <cell r="B13" t="str">
            <v>HONEY BEE ACRES ASSORTED CHARACTERS</v>
          </cell>
          <cell r="C13" t="str">
            <v>各种角色公仔组合</v>
          </cell>
          <cell r="D13">
            <v>16</v>
          </cell>
          <cell r="E13">
            <v>22</v>
          </cell>
          <cell r="F13">
            <v>17</v>
          </cell>
          <cell r="G13">
            <v>20.5</v>
          </cell>
          <cell r="H13">
            <v>0.75</v>
          </cell>
          <cell r="I13">
            <v>0.93</v>
          </cell>
          <cell r="J13">
            <v>0.007667</v>
          </cell>
        </row>
        <row r="14">
          <cell r="A14">
            <v>320402</v>
          </cell>
          <cell r="B14" t="str">
            <v>HONEY BEE ACRES PLAYGROUND PALS</v>
          </cell>
          <cell r="C14" t="str">
            <v>游乐场伙伴</v>
          </cell>
          <cell r="D14">
            <v>4</v>
          </cell>
          <cell r="E14">
            <v>31.5</v>
          </cell>
          <cell r="F14">
            <v>25</v>
          </cell>
          <cell r="G14">
            <v>20.5</v>
          </cell>
          <cell r="H14">
            <v>0.84</v>
          </cell>
          <cell r="I14">
            <v>1.11</v>
          </cell>
          <cell r="J14">
            <v>0.01614375</v>
          </cell>
        </row>
        <row r="15">
          <cell r="A15" t="str">
            <v>320402-X</v>
          </cell>
          <cell r="B15" t="str">
            <v>HONEY BEE ACRES PLAYGROUND PALS</v>
          </cell>
          <cell r="C15" t="str">
            <v>游乐场伙伴</v>
          </cell>
          <cell r="D15">
            <v>4</v>
          </cell>
          <cell r="E15">
            <v>31.5</v>
          </cell>
          <cell r="F15">
            <v>25</v>
          </cell>
          <cell r="G15">
            <v>20.5</v>
          </cell>
          <cell r="H15">
            <v>0.84</v>
          </cell>
          <cell r="I15">
            <v>1.11</v>
          </cell>
          <cell r="J15">
            <v>0.01614375</v>
          </cell>
        </row>
        <row r="16">
          <cell r="A16">
            <v>320404</v>
          </cell>
          <cell r="B16" t="str">
            <v>HONEY BEE ACRES AROUND TOWN VAN</v>
          </cell>
          <cell r="C16" t="str">
            <v>城镇货车</v>
          </cell>
          <cell r="D16">
            <v>2</v>
          </cell>
          <cell r="E16">
            <v>31</v>
          </cell>
          <cell r="F16">
            <v>29.5</v>
          </cell>
          <cell r="G16">
            <v>20</v>
          </cell>
          <cell r="H16">
            <v>1.11</v>
          </cell>
          <cell r="I16">
            <v>1.43</v>
          </cell>
          <cell r="J16">
            <v>0.01829</v>
          </cell>
        </row>
        <row r="17">
          <cell r="A17">
            <v>320405</v>
          </cell>
          <cell r="B17" t="str">
            <v>HONEY BEE ACRES LIVING ROOM DECOR ACCESSORIES
</v>
          </cell>
          <cell r="C17" t="str">
            <v>客厅装饰</v>
          </cell>
          <cell r="D17">
            <v>3</v>
          </cell>
          <cell r="E17">
            <v>31.5</v>
          </cell>
          <cell r="F17">
            <v>27</v>
          </cell>
          <cell r="G17">
            <v>20</v>
          </cell>
          <cell r="H17">
            <v>1.5</v>
          </cell>
          <cell r="I17">
            <v>1.83</v>
          </cell>
          <cell r="J17">
            <v>0.01701</v>
          </cell>
        </row>
        <row r="18">
          <cell r="A18" t="str">
            <v>320405-X</v>
          </cell>
          <cell r="B18" t="str">
            <v>HONEY BEE ACRES LIVING ROOM DECOR ACCESSORIES
</v>
          </cell>
          <cell r="C18" t="str">
            <v>客厅装饰</v>
          </cell>
          <cell r="D18">
            <v>3</v>
          </cell>
          <cell r="E18">
            <v>31.5</v>
          </cell>
          <cell r="F18">
            <v>27</v>
          </cell>
          <cell r="G18">
            <v>20</v>
          </cell>
          <cell r="H18">
            <v>1.5</v>
          </cell>
          <cell r="I18">
            <v>1.83</v>
          </cell>
          <cell r="J18">
            <v>0.01701</v>
          </cell>
        </row>
        <row r="19">
          <cell r="A19">
            <v>320406</v>
          </cell>
          <cell r="B19" t="str">
            <v>HONEY BEE ACRES KITCHEN DECOR ACCESSORIES </v>
          </cell>
          <cell r="C19" t="str">
            <v>厨房装饰</v>
          </cell>
          <cell r="D19">
            <v>3</v>
          </cell>
          <cell r="E19">
            <v>31</v>
          </cell>
          <cell r="F19">
            <v>26.5</v>
          </cell>
          <cell r="G19">
            <v>20.5</v>
          </cell>
          <cell r="H19">
            <v>0.79</v>
          </cell>
          <cell r="I19">
            <v>1.07</v>
          </cell>
          <cell r="J19">
            <v>0.01684075</v>
          </cell>
        </row>
        <row r="20">
          <cell r="A20" t="str">
            <v>320406-X</v>
          </cell>
          <cell r="B20" t="str">
            <v>HONEY BEE ACRES KITCHEN DECOR ACCESSORIES </v>
          </cell>
          <cell r="C20" t="str">
            <v>厨房装饰</v>
          </cell>
          <cell r="D20">
            <v>3</v>
          </cell>
          <cell r="E20">
            <v>31</v>
          </cell>
          <cell r="F20">
            <v>26.5</v>
          </cell>
          <cell r="G20">
            <v>20.5</v>
          </cell>
          <cell r="H20">
            <v>0.79</v>
          </cell>
          <cell r="I20">
            <v>1.07</v>
          </cell>
          <cell r="J20">
            <v>0.01684075</v>
          </cell>
        </row>
        <row r="21">
          <cell r="A21">
            <v>320407</v>
          </cell>
          <cell r="B21" t="str">
            <v>HONEY BEE ACRES BATHROOM DECOR ACCESSORIES </v>
          </cell>
          <cell r="C21" t="str">
            <v>浴室装饰</v>
          </cell>
          <cell r="D21">
            <v>3</v>
          </cell>
          <cell r="E21">
            <v>31</v>
          </cell>
          <cell r="F21">
            <v>27</v>
          </cell>
          <cell r="G21">
            <v>20</v>
          </cell>
          <cell r="H21">
            <v>0.93</v>
          </cell>
          <cell r="I21">
            <v>1.21</v>
          </cell>
          <cell r="J21">
            <v>0.01674</v>
          </cell>
        </row>
        <row r="22">
          <cell r="A22" t="str">
            <v>320407-X</v>
          </cell>
          <cell r="B22" t="str">
            <v>HONEY BEE ACRES BATHROOM DECOR ACCESSORIES </v>
          </cell>
          <cell r="C22" t="str">
            <v>浴室装饰</v>
          </cell>
          <cell r="D22">
            <v>3</v>
          </cell>
          <cell r="E22">
            <v>31</v>
          </cell>
          <cell r="F22">
            <v>27</v>
          </cell>
          <cell r="G22">
            <v>20</v>
          </cell>
          <cell r="H22">
            <v>0.93</v>
          </cell>
          <cell r="I22">
            <v>1.21</v>
          </cell>
          <cell r="J22">
            <v>0.01674</v>
          </cell>
        </row>
        <row r="23">
          <cell r="A23">
            <v>320408</v>
          </cell>
          <cell r="B23" t="str">
            <v>HONEY BEE ACRES GENERAL STORE with Adult Figure </v>
          </cell>
          <cell r="C23" t="str">
            <v>普通商店</v>
          </cell>
          <cell r="D23">
            <v>2</v>
          </cell>
          <cell r="E23">
            <v>41.91</v>
          </cell>
          <cell r="F23">
            <v>31.75</v>
          </cell>
          <cell r="G23">
            <v>21.59</v>
          </cell>
          <cell r="H23">
            <v>1.97</v>
          </cell>
          <cell r="I23">
            <v>2.43</v>
          </cell>
          <cell r="J23">
            <v>0.028728571575</v>
          </cell>
        </row>
        <row r="24">
          <cell r="A24" t="str">
            <v>320408-X</v>
          </cell>
          <cell r="B24" t="str">
            <v>HONEY BEE ACRES GENERAL STORE with Adult Figure </v>
          </cell>
          <cell r="C24" t="str">
            <v>普通商店</v>
          </cell>
          <cell r="D24">
            <v>2</v>
          </cell>
          <cell r="E24">
            <v>39.5</v>
          </cell>
          <cell r="F24">
            <v>30</v>
          </cell>
          <cell r="G24">
            <v>21.5</v>
          </cell>
          <cell r="H24">
            <v>1.97</v>
          </cell>
          <cell r="I24">
            <v>2.43</v>
          </cell>
          <cell r="J24">
            <v>0.0254775</v>
          </cell>
        </row>
        <row r="25">
          <cell r="A25">
            <v>320409</v>
          </cell>
          <cell r="B25" t="str">
            <v>HONEY BEE ACRES SUNFLOWER COUNTRY COTTAGE with Adult Figure </v>
          </cell>
          <cell r="C25" t="str">
            <v>向日葵家</v>
          </cell>
          <cell r="D25">
            <v>2</v>
          </cell>
          <cell r="E25">
            <v>43</v>
          </cell>
          <cell r="F25">
            <v>32.5</v>
          </cell>
          <cell r="G25">
            <v>30.5</v>
          </cell>
          <cell r="H25">
            <v>2.34</v>
          </cell>
          <cell r="I25">
            <v>3</v>
          </cell>
          <cell r="J25">
            <v>0.04262375</v>
          </cell>
        </row>
        <row r="26">
          <cell r="A26">
            <v>320410</v>
          </cell>
          <cell r="B26" t="str">
            <v>HONEY BEE ACRES BUZZBY FARM HOUSE  with 2 FIGURES (Adult &amp;Child)</v>
          </cell>
          <cell r="C26" t="str">
            <v>巴比斯农舍</v>
          </cell>
          <cell r="D26">
            <v>1</v>
          </cell>
          <cell r="E26">
            <v>62</v>
          </cell>
          <cell r="F26">
            <v>25</v>
          </cell>
          <cell r="G26">
            <v>40.5</v>
          </cell>
          <cell r="H26">
            <v>4.9</v>
          </cell>
          <cell r="I26">
            <v>5.56</v>
          </cell>
          <cell r="J26">
            <v>0.062775</v>
          </cell>
        </row>
        <row r="27">
          <cell r="A27">
            <v>470191</v>
          </cell>
          <cell r="B27" t="str">
            <v>HONEY BEE ACRES BUZZBY FARM HOUSE  with 2 FIGURES (Adult &amp;Child)</v>
          </cell>
          <cell r="C27" t="str">
            <v>巴比斯农舍</v>
          </cell>
          <cell r="D27">
            <v>1</v>
          </cell>
          <cell r="E27">
            <v>62</v>
          </cell>
          <cell r="F27">
            <v>25</v>
          </cell>
          <cell r="G27">
            <v>40.5</v>
          </cell>
          <cell r="H27">
            <v>4.9</v>
          </cell>
          <cell r="I27">
            <v>5.56</v>
          </cell>
          <cell r="J27">
            <v>0.062775</v>
          </cell>
        </row>
        <row r="28">
          <cell r="A28">
            <v>320626</v>
          </cell>
          <cell r="B28" t="str">
            <v>HONEY BEE ACRES RAINBOW RIDGE BABIES with ACCESSOR</v>
          </cell>
          <cell r="C28" t="str">
            <v>彩虹岭婴儿与配件系列</v>
          </cell>
          <cell r="D28">
            <v>16</v>
          </cell>
          <cell r="E28">
            <v>21</v>
          </cell>
          <cell r="F28">
            <v>17</v>
          </cell>
          <cell r="G28">
            <v>20</v>
          </cell>
          <cell r="H28">
            <v>0.74</v>
          </cell>
          <cell r="I28">
            <v>0.9</v>
          </cell>
          <cell r="J28">
            <v>0.00714</v>
          </cell>
        </row>
        <row r="29">
          <cell r="A29">
            <v>320627</v>
          </cell>
          <cell r="B29" t="str">
            <v>HONEY BEE ACRES PAINT and COLOR ART FUN</v>
          </cell>
          <cell r="C29" t="str">
            <v>画画装扮</v>
          </cell>
          <cell r="D29">
            <v>4</v>
          </cell>
          <cell r="E29">
            <v>25.5</v>
          </cell>
          <cell r="F29">
            <v>17.5</v>
          </cell>
          <cell r="G29">
            <v>20</v>
          </cell>
          <cell r="H29">
            <v>0.34</v>
          </cell>
          <cell r="I29">
            <v>0.52</v>
          </cell>
          <cell r="J29">
            <v>0.008925</v>
          </cell>
        </row>
        <row r="30">
          <cell r="A30">
            <v>320629</v>
          </cell>
          <cell r="B30" t="str">
            <v>HONEY BEE ACRES PAINT and COLOR ART FUN</v>
          </cell>
          <cell r="C30" t="str">
            <v>画画装扮</v>
          </cell>
          <cell r="D30">
            <v>4</v>
          </cell>
          <cell r="E30">
            <v>33</v>
          </cell>
          <cell r="F30">
            <v>20</v>
          </cell>
          <cell r="G30">
            <v>20</v>
          </cell>
          <cell r="H30">
            <v>0.34</v>
          </cell>
          <cell r="I30">
            <v>0.52</v>
          </cell>
          <cell r="J30">
            <v>0.0132</v>
          </cell>
        </row>
        <row r="31">
          <cell r="A31">
            <v>320785</v>
          </cell>
          <cell r="B31" t="str">
            <v>HONEY BEE ACRES PAINT and COLOR ART FUN</v>
          </cell>
          <cell r="C31" t="str">
            <v>画画装扮</v>
          </cell>
          <cell r="D31">
            <v>4</v>
          </cell>
          <cell r="E31">
            <v>25.5</v>
          </cell>
          <cell r="F31">
            <v>17.5</v>
          </cell>
          <cell r="G31">
            <v>20</v>
          </cell>
          <cell r="H31">
            <v>0.34</v>
          </cell>
          <cell r="I31">
            <v>0.52</v>
          </cell>
          <cell r="J31">
            <v>0.008925</v>
          </cell>
        </row>
        <row r="32">
          <cell r="A32">
            <v>320630</v>
          </cell>
          <cell r="B32" t="str">
            <v>HONEY BEE ACRES CLOVERBERRIES COW FAMILY</v>
          </cell>
          <cell r="C32" t="str">
            <v>牛家族</v>
          </cell>
          <cell r="D32">
            <v>4</v>
          </cell>
          <cell r="E32">
            <v>25</v>
          </cell>
          <cell r="F32">
            <v>20.5</v>
          </cell>
          <cell r="G32">
            <v>20</v>
          </cell>
          <cell r="H32">
            <v>0.46</v>
          </cell>
          <cell r="I32">
            <v>0.67</v>
          </cell>
          <cell r="J32">
            <v>0.01025</v>
          </cell>
        </row>
        <row r="33">
          <cell r="A33">
            <v>320631</v>
          </cell>
          <cell r="B33" t="str">
            <v>HONEY BEE ACRES CHEDDARS MOUSE FAMILY</v>
          </cell>
          <cell r="C33" t="str">
            <v>老鼠家族</v>
          </cell>
          <cell r="D33">
            <v>4</v>
          </cell>
          <cell r="E33">
            <v>25.5</v>
          </cell>
          <cell r="F33">
            <v>21</v>
          </cell>
          <cell r="G33">
            <v>20</v>
          </cell>
          <cell r="H33">
            <v>0.47</v>
          </cell>
          <cell r="I33">
            <v>0.7</v>
          </cell>
          <cell r="J33">
            <v>0.01071</v>
          </cell>
        </row>
        <row r="34">
          <cell r="A34">
            <v>320632</v>
          </cell>
          <cell r="B34" t="str">
            <v>HONEY BEE ACRES BACK to SCHOOL PALS - 8 
STYLES</v>
          </cell>
          <cell r="C34" t="str">
            <v>学校队友</v>
          </cell>
          <cell r="D34">
            <v>4</v>
          </cell>
          <cell r="E34">
            <v>31.5</v>
          </cell>
          <cell r="F34">
            <v>25</v>
          </cell>
          <cell r="G34">
            <v>20</v>
          </cell>
          <cell r="H34">
            <v>0.83</v>
          </cell>
          <cell r="I34">
            <v>1.09</v>
          </cell>
          <cell r="J34">
            <v>0.01575</v>
          </cell>
        </row>
        <row r="35">
          <cell r="A35">
            <v>320634</v>
          </cell>
          <cell r="B35" t="str">
            <v>HONEY BEE ACRES RAINBOW RIDGE - 9 STYLES</v>
          </cell>
          <cell r="C35" t="str">
            <v>彩虹岭伙伴</v>
          </cell>
          <cell r="D35">
            <v>4</v>
          </cell>
          <cell r="E35">
            <v>31.5</v>
          </cell>
          <cell r="F35">
            <v>25</v>
          </cell>
          <cell r="G35">
            <v>20</v>
          </cell>
          <cell r="H35">
            <v>0.82</v>
          </cell>
          <cell r="I35">
            <v>1.08</v>
          </cell>
          <cell r="J35">
            <v>0.01575</v>
          </cell>
        </row>
        <row r="36">
          <cell r="A36">
            <v>320637</v>
          </cell>
          <cell r="B36" t="str">
            <v>HONEY BEE ACRES DAYDREAMERS UNICORN FAMILY</v>
          </cell>
          <cell r="C36" t="str">
            <v>独角兽家族</v>
          </cell>
          <cell r="D36">
            <v>4</v>
          </cell>
          <cell r="E36">
            <v>25.5</v>
          </cell>
          <cell r="F36">
            <v>21</v>
          </cell>
          <cell r="G36">
            <v>20</v>
          </cell>
          <cell r="H36">
            <v>0.5</v>
          </cell>
          <cell r="I36">
            <v>0.7</v>
          </cell>
          <cell r="J36">
            <v>0.01071</v>
          </cell>
        </row>
        <row r="37">
          <cell r="A37">
            <v>320638</v>
          </cell>
          <cell r="B37" t="str">
            <v>HONEY BEE ACRES SWEET DREAMS PAJAMA 
PARTY</v>
          </cell>
          <cell r="C37" t="str">
            <v>露营派对装扮</v>
          </cell>
          <cell r="D37">
            <v>4</v>
          </cell>
          <cell r="E37">
            <v>25.5</v>
          </cell>
          <cell r="F37">
            <v>17.5</v>
          </cell>
          <cell r="G37">
            <v>20.5</v>
          </cell>
          <cell r="H37">
            <v>0.62</v>
          </cell>
          <cell r="I37">
            <v>0.8</v>
          </cell>
          <cell r="J37">
            <v>0.009148125</v>
          </cell>
        </row>
        <row r="38">
          <cell r="A38">
            <v>470195</v>
          </cell>
          <cell r="B38" t="str">
            <v>HONEY BEE ACRES SWEET DREAMS PAJAMA 
PARTY</v>
          </cell>
          <cell r="C38" t="str">
            <v>花园</v>
          </cell>
          <cell r="D38">
            <v>4</v>
          </cell>
          <cell r="E38">
            <v>19.05</v>
          </cell>
          <cell r="F38">
            <v>17.145</v>
          </cell>
          <cell r="G38">
            <v>19.05</v>
          </cell>
          <cell r="H38">
            <v>0.62</v>
          </cell>
          <cell r="I38">
            <v>0.8</v>
          </cell>
          <cell r="J38">
            <v>0.0062219633625</v>
          </cell>
        </row>
        <row r="39">
          <cell r="A39">
            <v>320639</v>
          </cell>
          <cell r="B39" t="str">
            <v>HONEY BEE ACRES FLOWER GROOVE VAN WITH CHARACTER</v>
          </cell>
          <cell r="C39" t="str">
            <v>新货车</v>
          </cell>
          <cell r="D39">
            <v>2</v>
          </cell>
          <cell r="E39">
            <v>29.4</v>
          </cell>
          <cell r="F39">
            <v>27.4</v>
          </cell>
          <cell r="G39">
            <v>20.3</v>
          </cell>
          <cell r="H39">
            <v>1.02</v>
          </cell>
          <cell r="I39">
            <v>1.29</v>
          </cell>
          <cell r="J39">
            <v>0.016352868</v>
          </cell>
        </row>
        <row r="40">
          <cell r="A40">
            <v>320640</v>
          </cell>
          <cell r="B40" t="str">
            <v>HONEY BEE ACRES SUNBURST ART STUDIO</v>
          </cell>
          <cell r="C40" t="str">
            <v>彩虹屋</v>
          </cell>
          <cell r="D40">
            <v>1</v>
          </cell>
          <cell r="E40">
            <v>53.5</v>
          </cell>
          <cell r="F40">
            <v>22.5</v>
          </cell>
          <cell r="G40">
            <v>32.5</v>
          </cell>
          <cell r="H40">
            <v>1.73</v>
          </cell>
          <cell r="I40">
            <v>2.2</v>
          </cell>
          <cell r="J40">
            <v>0.039121875</v>
          </cell>
        </row>
        <row r="41">
          <cell r="A41">
            <v>320641</v>
          </cell>
          <cell r="B41" t="str">
            <v> 
HONEY BEE ACRES CRYSTAL'S ICE CREAM SHOP PLAYSET</v>
          </cell>
          <cell r="C41" t="str">
            <v>冰淇淋屋</v>
          </cell>
          <cell r="D41">
            <v>2</v>
          </cell>
          <cell r="E41">
            <v>43</v>
          </cell>
          <cell r="F41">
            <v>32.5</v>
          </cell>
          <cell r="G41">
            <v>23</v>
          </cell>
          <cell r="H41">
            <v>1.68</v>
          </cell>
          <cell r="I41">
            <v>2.15</v>
          </cell>
          <cell r="J41">
            <v>0.0321425</v>
          </cell>
        </row>
        <row r="42">
          <cell r="A42">
            <v>320916</v>
          </cell>
          <cell r="B42" t="str">
            <v> 
HONEY BEE ACRES CRYSTAL'S ICE CREAM SHOP PLAYSET</v>
          </cell>
          <cell r="C42" t="str">
            <v>糕屋</v>
          </cell>
          <cell r="D42">
            <v>2</v>
          </cell>
          <cell r="E42">
            <v>38.1</v>
          </cell>
          <cell r="F42">
            <v>30.48</v>
          </cell>
          <cell r="G42">
            <v>22.225</v>
          </cell>
          <cell r="H42">
            <v>1.68</v>
          </cell>
          <cell r="I42">
            <v>2.15</v>
          </cell>
          <cell r="J42">
            <v>0.0258096258</v>
          </cell>
        </row>
        <row r="43">
          <cell r="A43">
            <v>320649</v>
          </cell>
          <cell r="B43" t="str">
            <v>FIDGIE FRIENDS WATERMELOW</v>
          </cell>
          <cell r="C43" t="str">
            <v>西瓜女孩</v>
          </cell>
          <cell r="D43">
            <v>2</v>
          </cell>
          <cell r="E43">
            <v>22.5</v>
          </cell>
          <cell r="F43">
            <v>22.5</v>
          </cell>
          <cell r="G43">
            <v>33</v>
          </cell>
          <cell r="H43">
            <v>0.822</v>
          </cell>
          <cell r="I43">
            <v>1.185</v>
          </cell>
          <cell r="J43">
            <v>0.01670625</v>
          </cell>
        </row>
        <row r="44">
          <cell r="A44">
            <v>320650</v>
          </cell>
          <cell r="B44" t="str">
            <v>FIDGIE FRIENDS BOBA BUBBLES</v>
          </cell>
          <cell r="C44" t="str">
            <v>波巴女孩</v>
          </cell>
          <cell r="D44">
            <v>2</v>
          </cell>
          <cell r="E44">
            <v>22.5</v>
          </cell>
          <cell r="F44">
            <v>22.5</v>
          </cell>
          <cell r="G44">
            <v>33</v>
          </cell>
          <cell r="H44">
            <v>0.957</v>
          </cell>
          <cell r="I44">
            <v>1.32</v>
          </cell>
          <cell r="J44">
            <v>0.01670625</v>
          </cell>
        </row>
        <row r="45">
          <cell r="A45">
            <v>320651</v>
          </cell>
          <cell r="B45" t="str">
            <v> 
FIDGIE FRIENDS DANDELION WISHES</v>
          </cell>
          <cell r="C45" t="str">
            <v>蒲公英女孩</v>
          </cell>
          <cell r="D45">
            <v>2</v>
          </cell>
          <cell r="E45">
            <v>22.5</v>
          </cell>
          <cell r="F45">
            <v>22.5</v>
          </cell>
          <cell r="G45">
            <v>33</v>
          </cell>
          <cell r="H45">
            <v>1.276</v>
          </cell>
          <cell r="I45">
            <v>1.645</v>
          </cell>
          <cell r="J45">
            <v>0.01670625</v>
          </cell>
        </row>
        <row r="46">
          <cell r="A46">
            <v>320652</v>
          </cell>
          <cell r="B46" t="str">
            <v>FIDGIE FRIENDS UNICORN SPRINKLES</v>
          </cell>
          <cell r="C46" t="str">
            <v>独角女孩</v>
          </cell>
          <cell r="D46">
            <v>2</v>
          </cell>
          <cell r="E46">
            <v>22.5</v>
          </cell>
          <cell r="F46">
            <v>22.5</v>
          </cell>
          <cell r="G46">
            <v>33</v>
          </cell>
          <cell r="H46">
            <v>0.894</v>
          </cell>
          <cell r="I46">
            <v>1.262</v>
          </cell>
          <cell r="J46">
            <v>0.01670625</v>
          </cell>
        </row>
        <row r="47">
          <cell r="A47">
            <v>320839</v>
          </cell>
        </row>
        <row r="47">
          <cell r="C47" t="str">
            <v>面条女孩</v>
          </cell>
          <cell r="D47">
            <v>2</v>
          </cell>
          <cell r="E47">
            <v>22.5</v>
          </cell>
          <cell r="F47">
            <v>22.5</v>
          </cell>
          <cell r="G47">
            <v>33</v>
          </cell>
          <cell r="H47">
            <v>0.894</v>
          </cell>
          <cell r="I47">
            <v>1.262</v>
          </cell>
          <cell r="J47">
            <v>0.01670625</v>
          </cell>
        </row>
        <row r="48">
          <cell r="A48">
            <v>320840</v>
          </cell>
        </row>
        <row r="48">
          <cell r="C48" t="str">
            <v>披萨女孩</v>
          </cell>
          <cell r="D48">
            <v>2</v>
          </cell>
          <cell r="E48">
            <v>22.5</v>
          </cell>
          <cell r="F48">
            <v>22.5</v>
          </cell>
          <cell r="G48">
            <v>33</v>
          </cell>
          <cell r="H48">
            <v>0.894</v>
          </cell>
          <cell r="I48">
            <v>1.262</v>
          </cell>
          <cell r="J48">
            <v>0.01670625</v>
          </cell>
        </row>
        <row r="49">
          <cell r="A49">
            <v>320841</v>
          </cell>
          <cell r="B49" t="str">
            <v>FIDGIE FRIENDS UNICORN SPRINKLES</v>
          </cell>
          <cell r="C49" t="str">
            <v>独角女孩</v>
          </cell>
          <cell r="D49">
            <v>2</v>
          </cell>
          <cell r="E49">
            <v>22.5</v>
          </cell>
          <cell r="F49">
            <v>22.5</v>
          </cell>
          <cell r="G49">
            <v>33</v>
          </cell>
          <cell r="H49">
            <v>0.894</v>
          </cell>
          <cell r="I49">
            <v>1.262</v>
          </cell>
          <cell r="J49">
            <v>0.01670625</v>
          </cell>
        </row>
        <row r="50">
          <cell r="A50">
            <v>320915</v>
          </cell>
          <cell r="B50" t="str">
            <v>HONEY BEE ACRES RAINBOW RIDGE - 9 STYLES</v>
          </cell>
          <cell r="C50" t="str">
            <v>圣装伙伴</v>
          </cell>
          <cell r="D50">
            <v>4</v>
          </cell>
          <cell r="E50">
            <v>31.5</v>
          </cell>
          <cell r="F50">
            <v>25</v>
          </cell>
          <cell r="G50">
            <v>20</v>
          </cell>
          <cell r="H50">
            <v>0.82</v>
          </cell>
          <cell r="I50">
            <v>1.08</v>
          </cell>
          <cell r="J50">
            <v>0.01575</v>
          </cell>
        </row>
        <row r="51">
          <cell r="A51">
            <v>320643</v>
          </cell>
        </row>
        <row r="51">
          <cell r="C51" t="str">
            <v>复活节彩蛋</v>
          </cell>
          <cell r="D51">
            <v>24</v>
          </cell>
          <cell r="E51">
            <v>62.3316</v>
          </cell>
          <cell r="F51">
            <v>37.465</v>
          </cell>
          <cell r="G51">
            <v>14.605</v>
          </cell>
        </row>
        <row r="51">
          <cell r="J51">
            <v>0.03410637581937</v>
          </cell>
        </row>
        <row r="52">
          <cell r="A52">
            <v>320993</v>
          </cell>
        </row>
        <row r="52">
          <cell r="C52" t="str">
            <v>健身房</v>
          </cell>
          <cell r="D52">
            <v>5</v>
          </cell>
          <cell r="E52">
            <v>59.69</v>
          </cell>
          <cell r="F52">
            <v>39.37</v>
          </cell>
          <cell r="G52">
            <v>44.45</v>
          </cell>
        </row>
        <row r="52">
          <cell r="J52">
            <v>0.104457291085</v>
          </cell>
        </row>
        <row r="53">
          <cell r="A53" t="str">
            <v>12369（1）</v>
          </cell>
        </row>
        <row r="53">
          <cell r="C53" t="str">
            <v>摇摆米奇</v>
          </cell>
          <cell r="D53">
            <v>1</v>
          </cell>
          <cell r="E53">
            <v>37.084</v>
          </cell>
          <cell r="F53">
            <v>16.51</v>
          </cell>
          <cell r="G53">
            <v>42.545</v>
          </cell>
        </row>
        <row r="53">
          <cell r="J53">
            <v>0.0260484672578</v>
          </cell>
        </row>
        <row r="54">
          <cell r="A54" t="str">
            <v>12369（2）</v>
          </cell>
        </row>
        <row r="54">
          <cell r="C54" t="str">
            <v>摇摆米奇</v>
          </cell>
          <cell r="D54">
            <v>2</v>
          </cell>
          <cell r="E54">
            <v>37.084</v>
          </cell>
          <cell r="F54">
            <v>31.75</v>
          </cell>
          <cell r="G54">
            <v>42.545</v>
          </cell>
        </row>
        <row r="54">
          <cell r="J54">
            <v>0.050093206265</v>
          </cell>
        </row>
        <row r="55">
          <cell r="A55" t="str">
            <v>12369（3）</v>
          </cell>
        </row>
        <row r="55">
          <cell r="C55" t="str">
            <v>摇摆米奇</v>
          </cell>
          <cell r="D55">
            <v>3</v>
          </cell>
          <cell r="E55">
            <v>48.26</v>
          </cell>
          <cell r="F55">
            <v>36.83</v>
          </cell>
          <cell r="G55">
            <v>42.545</v>
          </cell>
        </row>
        <row r="55">
          <cell r="J55">
            <v>0.075620155211</v>
          </cell>
        </row>
        <row r="56">
          <cell r="A56" t="str">
            <v>12369（4）</v>
          </cell>
          <cell r="B56" t="str">
            <v>纸箱（4个装）</v>
          </cell>
          <cell r="C56" t="str">
            <v>摇摆米奇</v>
          </cell>
          <cell r="D56">
            <v>4</v>
          </cell>
          <cell r="E56">
            <v>64.135</v>
          </cell>
          <cell r="F56">
            <v>36.83</v>
          </cell>
          <cell r="G56">
            <v>42.545</v>
          </cell>
        </row>
        <row r="56">
          <cell r="J56">
            <v>0.10049520626725</v>
          </cell>
        </row>
        <row r="57">
          <cell r="A57" t="str">
            <v>96112（1）</v>
          </cell>
          <cell r="B57" t="str">
            <v>纸箱（1个装有彩盒）</v>
          </cell>
          <cell r="C57" t="str">
            <v>JJ大头娃娃</v>
          </cell>
        </row>
        <row r="57">
          <cell r="E57">
            <v>30</v>
          </cell>
          <cell r="F57">
            <v>28</v>
          </cell>
          <cell r="G57">
            <v>18.5</v>
          </cell>
        </row>
        <row r="57">
          <cell r="J57">
            <v>0.01554</v>
          </cell>
        </row>
        <row r="58">
          <cell r="A58" t="str">
            <v>96112（9）</v>
          </cell>
          <cell r="B58" t="str">
            <v>纸箱（9个装无彩盒）</v>
          </cell>
          <cell r="C58" t="str">
            <v>JJ大头娃娃</v>
          </cell>
        </row>
        <row r="58">
          <cell r="E58">
            <v>53.34</v>
          </cell>
          <cell r="F58">
            <v>45.72</v>
          </cell>
          <cell r="G58">
            <v>27.94</v>
          </cell>
        </row>
        <row r="58">
          <cell r="J58">
            <v>0.068137412112</v>
          </cell>
        </row>
        <row r="59">
          <cell r="A59" t="str">
            <v>96112（4）</v>
          </cell>
          <cell r="B59" t="str">
            <v>纸箱（4个装有彩盒）</v>
          </cell>
          <cell r="C59" t="str">
            <v>JJ大头娃娃</v>
          </cell>
        </row>
        <row r="59">
          <cell r="E59">
            <v>54</v>
          </cell>
          <cell r="F59">
            <v>35</v>
          </cell>
          <cell r="G59">
            <v>31</v>
          </cell>
        </row>
        <row r="59">
          <cell r="J59">
            <v>0.05859</v>
          </cell>
        </row>
        <row r="60">
          <cell r="A60" t="str">
            <v>96112（6）</v>
          </cell>
          <cell r="B60" t="str">
            <v>纸箱（6个装有彩盒）</v>
          </cell>
          <cell r="C60" t="str">
            <v>JJ大头娃娃</v>
          </cell>
        </row>
        <row r="60">
          <cell r="E60">
            <v>52.705</v>
          </cell>
          <cell r="F60">
            <v>52.07</v>
          </cell>
          <cell r="G60">
            <v>29.845</v>
          </cell>
        </row>
        <row r="60">
          <cell r="J60">
            <v>0.08190510635075</v>
          </cell>
        </row>
        <row r="61">
          <cell r="A61">
            <v>96112</v>
          </cell>
          <cell r="B61" t="str">
            <v>邮包盒无彩盒</v>
          </cell>
          <cell r="C61" t="str">
            <v>JJ大头娃娃</v>
          </cell>
        </row>
        <row r="61">
          <cell r="E61">
            <v>26.67</v>
          </cell>
          <cell r="F61">
            <v>14.605</v>
          </cell>
          <cell r="G61">
            <v>27.94</v>
          </cell>
        </row>
        <row r="61">
          <cell r="J61">
            <v>0.010883058879</v>
          </cell>
        </row>
        <row r="62">
          <cell r="A62" t="str">
            <v>96112（邮包）</v>
          </cell>
          <cell r="B62" t="str">
            <v>6个邮包盒纸箱</v>
          </cell>
          <cell r="C62" t="str">
            <v>JJ大头娃娃</v>
          </cell>
        </row>
        <row r="62">
          <cell r="E62">
            <v>54.61</v>
          </cell>
          <cell r="F62">
            <v>45.72</v>
          </cell>
          <cell r="G62">
            <v>29.21</v>
          </cell>
        </row>
        <row r="62">
          <cell r="J62">
            <v>0.072930628332</v>
          </cell>
        </row>
        <row r="63">
          <cell r="A63" t="str">
            <v>96112（PDQ）</v>
          </cell>
          <cell r="B63" t="str">
            <v>纸箱（6个装BJ版PDQ）</v>
          </cell>
          <cell r="C63" t="str">
            <v>JJ大头娃娃</v>
          </cell>
        </row>
        <row r="63">
          <cell r="E63">
            <v>54.61</v>
          </cell>
          <cell r="F63">
            <v>52.705</v>
          </cell>
          <cell r="G63">
            <v>30.48</v>
          </cell>
        </row>
        <row r="63">
          <cell r="J63">
            <v>0.087728147124</v>
          </cell>
        </row>
        <row r="64">
          <cell r="A64" t="str">
            <v>96112（39）</v>
          </cell>
          <cell r="B64" t="str">
            <v>纸箱（39个装有彩盒）</v>
          </cell>
          <cell r="C64" t="str">
            <v>JJ大头娃娃</v>
          </cell>
        </row>
        <row r="64">
          <cell r="E64">
            <v>124</v>
          </cell>
          <cell r="F64">
            <v>54</v>
          </cell>
          <cell r="G64">
            <v>88</v>
          </cell>
        </row>
        <row r="64">
          <cell r="J64">
            <v>0.589248</v>
          </cell>
        </row>
        <row r="65">
          <cell r="A65" t="str">
            <v>88188（3）</v>
          </cell>
          <cell r="B65" t="str">
            <v>纸箱（3个装）</v>
          </cell>
          <cell r="C65" t="str">
            <v>背包狗</v>
          </cell>
        </row>
        <row r="65">
          <cell r="E65">
            <v>55.245</v>
          </cell>
          <cell r="F65">
            <v>24.765</v>
          </cell>
          <cell r="G65">
            <v>35.56</v>
          </cell>
        </row>
        <row r="65">
          <cell r="J65">
            <v>0.048651144633</v>
          </cell>
        </row>
        <row r="66">
          <cell r="A66" t="str">
            <v>88188（1）</v>
          </cell>
          <cell r="B66" t="str">
            <v>纸箱（1个装）</v>
          </cell>
          <cell r="C66" t="str">
            <v>背包狗</v>
          </cell>
        </row>
        <row r="66">
          <cell r="E66">
            <v>24.13</v>
          </cell>
          <cell r="F66">
            <v>19.05</v>
          </cell>
          <cell r="G66">
            <v>34.29</v>
          </cell>
        </row>
        <row r="66">
          <cell r="J66">
            <v>0.015762307185</v>
          </cell>
        </row>
        <row r="67">
          <cell r="A67">
            <v>95526</v>
          </cell>
          <cell r="B67" t="str">
            <v>纸箱（18个装）</v>
          </cell>
        </row>
        <row r="67">
          <cell r="E67">
            <v>24</v>
          </cell>
          <cell r="F67">
            <v>22</v>
          </cell>
          <cell r="G67">
            <v>39.5</v>
          </cell>
        </row>
        <row r="67">
          <cell r="J67">
            <v>0.020856</v>
          </cell>
        </row>
        <row r="68">
          <cell r="A68" t="str">
            <v>42062（2）</v>
          </cell>
          <cell r="B68" t="str">
            <v>纸箱（2个装）</v>
          </cell>
          <cell r="C68" t="str">
            <v>大狗</v>
          </cell>
        </row>
        <row r="68">
          <cell r="E68">
            <v>35</v>
          </cell>
          <cell r="F68">
            <v>32.5</v>
          </cell>
          <cell r="G68">
            <v>29.5</v>
          </cell>
        </row>
        <row r="68">
          <cell r="J68">
            <v>0.03355625</v>
          </cell>
        </row>
        <row r="69">
          <cell r="A69" t="str">
            <v>42064（2）</v>
          </cell>
          <cell r="B69" t="str">
            <v>纸箱（2个装）</v>
          </cell>
          <cell r="C69" t="str">
            <v>大马</v>
          </cell>
        </row>
        <row r="69">
          <cell r="E69">
            <v>35</v>
          </cell>
          <cell r="F69">
            <v>32.5</v>
          </cell>
          <cell r="G69">
            <v>29.5</v>
          </cell>
        </row>
        <row r="69">
          <cell r="J69">
            <v>0.03355625</v>
          </cell>
        </row>
        <row r="70">
          <cell r="A70" t="str">
            <v>42062（6）</v>
          </cell>
          <cell r="B70" t="str">
            <v>纸箱（6个装）</v>
          </cell>
          <cell r="C70" t="str">
            <v>大狗</v>
          </cell>
        </row>
        <row r="70">
          <cell r="E70">
            <v>57.15</v>
          </cell>
          <cell r="F70">
            <v>51.435</v>
          </cell>
          <cell r="G70">
            <v>31.75</v>
          </cell>
        </row>
        <row r="70">
          <cell r="J70">
            <v>0.0933294504375</v>
          </cell>
        </row>
        <row r="71">
          <cell r="A71" t="str">
            <v>42064（6）</v>
          </cell>
          <cell r="B71" t="str">
            <v>纸箱（6个装）</v>
          </cell>
          <cell r="C71" t="str">
            <v>大马</v>
          </cell>
        </row>
        <row r="71">
          <cell r="E71">
            <v>57.15</v>
          </cell>
          <cell r="F71">
            <v>51.435</v>
          </cell>
          <cell r="G71">
            <v>31.75</v>
          </cell>
        </row>
        <row r="71">
          <cell r="J71">
            <v>0.0933294504375</v>
          </cell>
        </row>
        <row r="72">
          <cell r="A72" t="str">
            <v>42069(6)</v>
          </cell>
          <cell r="B72" t="str">
            <v>纸箱（6个装）</v>
          </cell>
          <cell r="C72" t="str">
            <v>大狗</v>
          </cell>
        </row>
        <row r="72">
          <cell r="E72">
            <v>57.15</v>
          </cell>
          <cell r="F72">
            <v>51.435</v>
          </cell>
          <cell r="G72">
            <v>31.75</v>
          </cell>
        </row>
        <row r="72">
          <cell r="J72">
            <v>0.0933294504375</v>
          </cell>
        </row>
        <row r="73">
          <cell r="A73" t="str">
            <v>42068(6)</v>
          </cell>
          <cell r="B73" t="str">
            <v>纸箱（6个装）</v>
          </cell>
          <cell r="C73" t="str">
            <v>大马</v>
          </cell>
        </row>
        <row r="73">
          <cell r="E73">
            <v>57.15</v>
          </cell>
          <cell r="F73">
            <v>51.435</v>
          </cell>
          <cell r="G73">
            <v>31.75</v>
          </cell>
        </row>
        <row r="73">
          <cell r="J73">
            <v>0.0933294504375</v>
          </cell>
        </row>
        <row r="74">
          <cell r="A74" t="str">
            <v>42087(6)</v>
          </cell>
          <cell r="B74" t="str">
            <v>纸箱（6个装）</v>
          </cell>
          <cell r="C74" t="str">
            <v>大马</v>
          </cell>
        </row>
        <row r="74">
          <cell r="E74">
            <v>57.15</v>
          </cell>
          <cell r="F74">
            <v>51.435</v>
          </cell>
          <cell r="G74">
            <v>31.75</v>
          </cell>
        </row>
        <row r="74">
          <cell r="J74">
            <v>0.0933294504375</v>
          </cell>
        </row>
        <row r="75">
          <cell r="A75" t="str">
            <v>42069/87</v>
          </cell>
          <cell r="B75" t="str">
            <v>纸箱（6个装）</v>
          </cell>
          <cell r="C75" t="str">
            <v>大狗/大马混装</v>
          </cell>
        </row>
        <row r="75">
          <cell r="E75">
            <v>57.15</v>
          </cell>
          <cell r="F75">
            <v>51.435</v>
          </cell>
          <cell r="G75">
            <v>31.75</v>
          </cell>
        </row>
        <row r="75">
          <cell r="J75">
            <v>0.0933294504375</v>
          </cell>
        </row>
        <row r="76">
          <cell r="A76" t="str">
            <v>470111（4）</v>
          </cell>
          <cell r="B76" t="str">
            <v>纸箱（4个装）</v>
          </cell>
          <cell r="C76" t="str">
            <v>卷发女孩</v>
          </cell>
        </row>
        <row r="76">
          <cell r="E76">
            <v>27.94</v>
          </cell>
          <cell r="F76">
            <v>16.51</v>
          </cell>
          <cell r="G76">
            <v>33</v>
          </cell>
        </row>
        <row r="76">
          <cell r="J76">
            <v>0.0152225502</v>
          </cell>
        </row>
        <row r="77">
          <cell r="A77" t="str">
            <v>470112（4）</v>
          </cell>
          <cell r="B77" t="str">
            <v>纸箱（4个装）</v>
          </cell>
          <cell r="C77" t="str">
            <v>黄色狗</v>
          </cell>
        </row>
        <row r="77">
          <cell r="E77">
            <v>27.94</v>
          </cell>
          <cell r="F77">
            <v>16.51</v>
          </cell>
          <cell r="G77">
            <v>33</v>
          </cell>
        </row>
        <row r="77">
          <cell r="J77">
            <v>0.0152225502</v>
          </cell>
        </row>
        <row r="78">
          <cell r="A78" t="str">
            <v>470113（4）</v>
          </cell>
          <cell r="B78" t="str">
            <v>纸箱（4个装）</v>
          </cell>
          <cell r="C78" t="str">
            <v>直发女孩</v>
          </cell>
        </row>
        <row r="78">
          <cell r="E78">
            <v>27.94</v>
          </cell>
          <cell r="F78">
            <v>16.51</v>
          </cell>
          <cell r="G78">
            <v>33</v>
          </cell>
        </row>
        <row r="78">
          <cell r="J78">
            <v>0.0152225502</v>
          </cell>
        </row>
        <row r="79">
          <cell r="A79" t="str">
            <v>470114（4）</v>
          </cell>
          <cell r="B79" t="str">
            <v>纸箱（4个装）</v>
          </cell>
          <cell r="C79" t="str">
            <v>粉色兔子</v>
          </cell>
        </row>
        <row r="79">
          <cell r="E79">
            <v>27.94</v>
          </cell>
          <cell r="F79">
            <v>16.51</v>
          </cell>
          <cell r="G79">
            <v>33</v>
          </cell>
        </row>
        <row r="79">
          <cell r="J79">
            <v>0.0152225502</v>
          </cell>
        </row>
        <row r="80">
          <cell r="A80" t="str">
            <v>470111（18）</v>
          </cell>
          <cell r="B80" t="str">
            <v>纸箱（18个装）</v>
          </cell>
          <cell r="C80" t="str">
            <v>卷发女孩</v>
          </cell>
        </row>
        <row r="80">
          <cell r="E80">
            <v>48.26</v>
          </cell>
          <cell r="F80">
            <v>40.64</v>
          </cell>
          <cell r="G80">
            <v>31.75</v>
          </cell>
        </row>
        <row r="80">
          <cell r="J80">
            <v>0.0622708432</v>
          </cell>
        </row>
        <row r="81">
          <cell r="A81" t="str">
            <v>470112（18）</v>
          </cell>
          <cell r="B81" t="str">
            <v>纸箱（18个装）</v>
          </cell>
          <cell r="C81" t="str">
            <v>黄色狗</v>
          </cell>
        </row>
        <row r="81">
          <cell r="E81">
            <v>48.26</v>
          </cell>
          <cell r="F81">
            <v>40.64</v>
          </cell>
          <cell r="G81">
            <v>31.75</v>
          </cell>
        </row>
        <row r="81">
          <cell r="J81">
            <v>0.0622708432</v>
          </cell>
        </row>
        <row r="82">
          <cell r="A82" t="str">
            <v>470113（18）</v>
          </cell>
          <cell r="B82" t="str">
            <v>纸箱（18个装）</v>
          </cell>
          <cell r="C82" t="str">
            <v>直发女孩</v>
          </cell>
        </row>
        <row r="82">
          <cell r="E82">
            <v>48.26</v>
          </cell>
          <cell r="F82">
            <v>40.64</v>
          </cell>
          <cell r="G82">
            <v>31.75</v>
          </cell>
        </row>
        <row r="82">
          <cell r="J82">
            <v>0.0622708432</v>
          </cell>
        </row>
        <row r="83">
          <cell r="A83" t="str">
            <v>470114（18）</v>
          </cell>
          <cell r="B83" t="str">
            <v>纸箱（18个装）</v>
          </cell>
          <cell r="C83" t="str">
            <v>粉色兔子</v>
          </cell>
        </row>
        <row r="83">
          <cell r="E83">
            <v>48.26</v>
          </cell>
          <cell r="F83">
            <v>40.64</v>
          </cell>
          <cell r="G83">
            <v>31.75</v>
          </cell>
        </row>
        <row r="83">
          <cell r="J83">
            <v>0.0622708432</v>
          </cell>
        </row>
        <row r="84">
          <cell r="A84" t="str">
            <v>470616（4）</v>
          </cell>
          <cell r="B84" t="str">
            <v>纸箱（4个装）</v>
          </cell>
          <cell r="C84" t="str">
            <v>直发仙女</v>
          </cell>
        </row>
        <row r="84">
          <cell r="E84">
            <v>33</v>
          </cell>
          <cell r="F84">
            <v>17.2</v>
          </cell>
          <cell r="G84">
            <v>28</v>
          </cell>
        </row>
        <row r="84">
          <cell r="J84">
            <v>0.0158928</v>
          </cell>
        </row>
        <row r="85">
          <cell r="A85" t="str">
            <v>12136（1）</v>
          </cell>
          <cell r="B85" t="str">
            <v>1个装纸箱</v>
          </cell>
          <cell r="C85" t="str">
            <v>爬爬米奇</v>
          </cell>
        </row>
        <row r="85">
          <cell r="E85">
            <v>30.48</v>
          </cell>
          <cell r="F85">
            <v>14.605</v>
          </cell>
          <cell r="G85">
            <v>24.13</v>
          </cell>
        </row>
        <row r="85">
          <cell r="J85">
            <v>0.010741720452</v>
          </cell>
        </row>
        <row r="86">
          <cell r="A86" t="str">
            <v>12136（2）</v>
          </cell>
          <cell r="B86" t="str">
            <v>2个装纸箱</v>
          </cell>
          <cell r="C86" t="str">
            <v>爬爬米奇</v>
          </cell>
        </row>
        <row r="86">
          <cell r="E86">
            <v>30.48</v>
          </cell>
          <cell r="F86">
            <v>27.94</v>
          </cell>
          <cell r="G86">
            <v>24.13</v>
          </cell>
        </row>
        <row r="86">
          <cell r="J86">
            <v>0.020549378256</v>
          </cell>
        </row>
        <row r="87">
          <cell r="A87" t="str">
            <v>12136（4）</v>
          </cell>
          <cell r="B87" t="str">
            <v>4个装纸箱</v>
          </cell>
          <cell r="C87" t="str">
            <v>爬爬米奇</v>
          </cell>
        </row>
        <row r="87">
          <cell r="E87">
            <v>57.785</v>
          </cell>
          <cell r="F87">
            <v>27.94</v>
          </cell>
          <cell r="G87">
            <v>24.13</v>
          </cell>
        </row>
        <row r="87">
          <cell r="J87">
            <v>0.038958196277</v>
          </cell>
        </row>
        <row r="88">
          <cell r="A88" t="str">
            <v>12136（8）</v>
          </cell>
          <cell r="B88" t="str">
            <v>8个装纸箱</v>
          </cell>
          <cell r="C88" t="str">
            <v>爬爬米奇</v>
          </cell>
        </row>
        <row r="88">
          <cell r="E88">
            <v>57.785</v>
          </cell>
          <cell r="F88">
            <v>57.15</v>
          </cell>
          <cell r="G88">
            <v>25.4</v>
          </cell>
        </row>
        <row r="88">
          <cell r="J88">
            <v>0.08388128385</v>
          </cell>
        </row>
        <row r="89">
          <cell r="A89" t="str">
            <v>12137（1）</v>
          </cell>
          <cell r="B89" t="str">
            <v>1个装纸箱</v>
          </cell>
          <cell r="C89" t="str">
            <v>爬爬米妮</v>
          </cell>
        </row>
        <row r="89">
          <cell r="E89">
            <v>30.48</v>
          </cell>
          <cell r="F89">
            <v>14.605</v>
          </cell>
          <cell r="G89">
            <v>24.13</v>
          </cell>
        </row>
        <row r="89">
          <cell r="J89">
            <v>0.010741720452</v>
          </cell>
        </row>
        <row r="90">
          <cell r="A90" t="str">
            <v>12137（2）</v>
          </cell>
          <cell r="B90" t="str">
            <v>2个装纸箱</v>
          </cell>
          <cell r="C90" t="str">
            <v>爬爬米妮</v>
          </cell>
        </row>
        <row r="90">
          <cell r="E90">
            <v>30.48</v>
          </cell>
          <cell r="F90">
            <v>27.94</v>
          </cell>
          <cell r="G90">
            <v>24.13</v>
          </cell>
        </row>
        <row r="90">
          <cell r="J90">
            <v>0.020549378256</v>
          </cell>
        </row>
        <row r="91">
          <cell r="A91" t="str">
            <v>12137（4）</v>
          </cell>
          <cell r="B91" t="str">
            <v>4个装纸箱</v>
          </cell>
          <cell r="C91" t="str">
            <v>爬爬米妮</v>
          </cell>
        </row>
        <row r="91">
          <cell r="E91">
            <v>57.785</v>
          </cell>
          <cell r="F91">
            <v>27.94</v>
          </cell>
          <cell r="G91">
            <v>24.13</v>
          </cell>
        </row>
        <row r="91">
          <cell r="J91">
            <v>0.038958196277</v>
          </cell>
        </row>
        <row r="92">
          <cell r="A92" t="str">
            <v>12137（8）</v>
          </cell>
          <cell r="B92" t="str">
            <v>8个装纸箱</v>
          </cell>
          <cell r="C92" t="str">
            <v>爬爬米妮</v>
          </cell>
        </row>
        <row r="92">
          <cell r="E92">
            <v>57.785</v>
          </cell>
          <cell r="F92">
            <v>57.15</v>
          </cell>
          <cell r="G92">
            <v>25.4</v>
          </cell>
        </row>
        <row r="92">
          <cell r="J92">
            <v>0.08388128385</v>
          </cell>
        </row>
        <row r="93">
          <cell r="A93" t="str">
            <v>12125（4）</v>
          </cell>
          <cell r="B93" t="str">
            <v>4个装纸箱</v>
          </cell>
          <cell r="C93" t="str">
            <v>爬爬系列</v>
          </cell>
        </row>
        <row r="93">
          <cell r="E93">
            <v>57.785</v>
          </cell>
          <cell r="F93">
            <v>27.94</v>
          </cell>
          <cell r="G93">
            <v>24.13</v>
          </cell>
        </row>
        <row r="93">
          <cell r="J93">
            <v>0.038958196277</v>
          </cell>
        </row>
        <row r="94">
          <cell r="A94" t="str">
            <v>320398（14）</v>
          </cell>
          <cell r="B94" t="str">
            <v>14个装纸箱</v>
          </cell>
          <cell r="C94" t="str">
            <v>兔子家族</v>
          </cell>
        </row>
        <row r="94">
          <cell r="E94">
            <v>42</v>
          </cell>
          <cell r="F94">
            <v>36</v>
          </cell>
          <cell r="G94">
            <v>22.5</v>
          </cell>
        </row>
        <row r="94">
          <cell r="J94">
            <v>0.03402</v>
          </cell>
        </row>
        <row r="95">
          <cell r="A95">
            <v>320635</v>
          </cell>
          <cell r="B95" t="str">
            <v>2个装纸箱</v>
          </cell>
          <cell r="C95" t="str">
            <v>校车</v>
          </cell>
        </row>
        <row r="95">
          <cell r="E95">
            <v>35.18</v>
          </cell>
          <cell r="F95">
            <v>27.18</v>
          </cell>
          <cell r="G95">
            <v>16.51</v>
          </cell>
        </row>
        <row r="95">
          <cell r="J95">
            <v>0.015786736524</v>
          </cell>
        </row>
        <row r="96">
          <cell r="A96">
            <v>470230</v>
          </cell>
          <cell r="B96" t="str">
            <v>2个装纸箱</v>
          </cell>
          <cell r="C96" t="str">
            <v>转面公仔</v>
          </cell>
        </row>
        <row r="96">
          <cell r="E96">
            <v>35.56</v>
          </cell>
          <cell r="F96">
            <v>22.86</v>
          </cell>
          <cell r="G96">
            <v>30</v>
          </cell>
        </row>
        <row r="96">
          <cell r="J96">
            <v>0.024387048</v>
          </cell>
        </row>
        <row r="97">
          <cell r="A97">
            <v>470231</v>
          </cell>
          <cell r="B97" t="str">
            <v>2个装纸箱</v>
          </cell>
          <cell r="C97" t="str">
            <v>转面公仔</v>
          </cell>
        </row>
        <row r="97">
          <cell r="E97">
            <v>35.56</v>
          </cell>
          <cell r="F97">
            <v>22.86</v>
          </cell>
          <cell r="G97">
            <v>31.75</v>
          </cell>
        </row>
        <row r="97">
          <cell r="J97">
            <v>0.0258096258</v>
          </cell>
        </row>
        <row r="98">
          <cell r="A98" t="str">
            <v>470232-KH</v>
          </cell>
          <cell r="B98" t="str">
            <v>2个装纸箱</v>
          </cell>
          <cell r="C98" t="str">
            <v>转面公仔</v>
          </cell>
        </row>
        <row r="98">
          <cell r="E98">
            <v>35.56</v>
          </cell>
          <cell r="F98">
            <v>22.86</v>
          </cell>
          <cell r="G98">
            <v>31.75</v>
          </cell>
        </row>
        <row r="98">
          <cell r="J98">
            <v>0.0258096258</v>
          </cell>
        </row>
        <row r="99">
          <cell r="A99">
            <v>470232</v>
          </cell>
          <cell r="B99" t="str">
            <v>2个装纸箱</v>
          </cell>
          <cell r="C99" t="str">
            <v>转面公仔</v>
          </cell>
        </row>
        <row r="99">
          <cell r="E99">
            <v>35.56</v>
          </cell>
          <cell r="F99">
            <v>22.86</v>
          </cell>
          <cell r="G99">
            <v>31.75</v>
          </cell>
        </row>
        <row r="99">
          <cell r="J99">
            <v>0.0258096258</v>
          </cell>
        </row>
        <row r="100">
          <cell r="A100">
            <v>470227</v>
          </cell>
          <cell r="B100" t="str">
            <v>2个装纸箱</v>
          </cell>
          <cell r="C100" t="str">
            <v>转面公仔</v>
          </cell>
        </row>
        <row r="100">
          <cell r="E100">
            <v>35.56</v>
          </cell>
          <cell r="F100">
            <v>22.86</v>
          </cell>
          <cell r="G100">
            <v>31.75</v>
          </cell>
        </row>
        <row r="100">
          <cell r="J100">
            <v>0.0258096258</v>
          </cell>
        </row>
        <row r="101">
          <cell r="A101">
            <v>470228</v>
          </cell>
          <cell r="B101" t="str">
            <v>2个装纸箱</v>
          </cell>
          <cell r="C101" t="str">
            <v>转面公仔</v>
          </cell>
        </row>
        <row r="101">
          <cell r="E101">
            <v>35.56</v>
          </cell>
          <cell r="F101">
            <v>22.86</v>
          </cell>
          <cell r="G101">
            <v>31.75</v>
          </cell>
        </row>
        <row r="101">
          <cell r="J101">
            <v>0.0258096258</v>
          </cell>
        </row>
        <row r="102">
          <cell r="A102">
            <v>86330</v>
          </cell>
          <cell r="B102" t="str">
            <v>2个装纸箱</v>
          </cell>
          <cell r="C102" t="str">
            <v>搪胶小鸭</v>
          </cell>
        </row>
        <row r="102">
          <cell r="E102">
            <v>25</v>
          </cell>
          <cell r="F102">
            <v>36</v>
          </cell>
          <cell r="G102">
            <v>39</v>
          </cell>
        </row>
        <row r="102">
          <cell r="J102">
            <v>0.0351</v>
          </cell>
        </row>
        <row r="103">
          <cell r="A103" t="str">
            <v>58725(48)</v>
          </cell>
          <cell r="B103" t="str">
            <v>48个装纸箱</v>
          </cell>
          <cell r="C103" t="str">
            <v>搪胶小鸭</v>
          </cell>
        </row>
        <row r="103">
          <cell r="E103">
            <v>34.925</v>
          </cell>
          <cell r="F103">
            <v>22.225</v>
          </cell>
          <cell r="G103">
            <v>19.05</v>
          </cell>
        </row>
        <row r="103">
          <cell r="J103">
            <v>0.01478676478125</v>
          </cell>
        </row>
        <row r="104">
          <cell r="A104">
            <v>26850</v>
          </cell>
          <cell r="B104" t="str">
            <v>48个装纸箱</v>
          </cell>
          <cell r="C104" t="str">
            <v>搪胶小鸭</v>
          </cell>
        </row>
        <row r="104">
          <cell r="E104">
            <v>34.925</v>
          </cell>
          <cell r="F104">
            <v>22.225</v>
          </cell>
          <cell r="G104">
            <v>19.05</v>
          </cell>
        </row>
        <row r="104">
          <cell r="J104">
            <v>0.01478676478125</v>
          </cell>
        </row>
        <row r="105">
          <cell r="A105" t="str">
            <v>33415（48）</v>
          </cell>
          <cell r="B105" t="str">
            <v>48个装纸箱</v>
          </cell>
          <cell r="C105" t="str">
            <v>搪胶小鸭</v>
          </cell>
          <cell r="D105">
            <v>48</v>
          </cell>
          <cell r="E105">
            <v>34.925</v>
          </cell>
          <cell r="F105">
            <v>22.225</v>
          </cell>
          <cell r="G105">
            <v>19.05</v>
          </cell>
        </row>
        <row r="105">
          <cell r="J105">
            <v>0.01478676478125</v>
          </cell>
        </row>
        <row r="106">
          <cell r="A106" t="str">
            <v>33415（24）</v>
          </cell>
          <cell r="B106" t="str">
            <v>24个装纸箱</v>
          </cell>
          <cell r="C106" t="str">
            <v>搪胶小鸭</v>
          </cell>
          <cell r="D106">
            <v>24</v>
          </cell>
          <cell r="E106">
            <v>28.575</v>
          </cell>
          <cell r="F106">
            <v>19.05</v>
          </cell>
          <cell r="G106">
            <v>16.51</v>
          </cell>
        </row>
        <row r="106">
          <cell r="J106">
            <v>0.0089872804125</v>
          </cell>
        </row>
        <row r="107">
          <cell r="A107" t="str">
            <v>33415（18）</v>
          </cell>
          <cell r="B107" t="str">
            <v>18个装纸箱</v>
          </cell>
          <cell r="C107" t="str">
            <v>搪胶小鸭</v>
          </cell>
          <cell r="D107">
            <v>18</v>
          </cell>
          <cell r="E107">
            <v>32.385</v>
          </cell>
          <cell r="F107">
            <v>17.78</v>
          </cell>
          <cell r="G107">
            <v>10.16</v>
          </cell>
        </row>
        <row r="107">
          <cell r="J107">
            <v>0.005850181848</v>
          </cell>
        </row>
        <row r="108">
          <cell r="A108" t="str">
            <v>33415（36）</v>
          </cell>
          <cell r="B108" t="str">
            <v>36个装纸箱</v>
          </cell>
          <cell r="C108" t="str">
            <v>搪胶小鸭</v>
          </cell>
          <cell r="D108">
            <v>36</v>
          </cell>
          <cell r="E108">
            <v>31.75</v>
          </cell>
          <cell r="F108">
            <v>17.145</v>
          </cell>
          <cell r="G108">
            <v>19.05</v>
          </cell>
        </row>
        <row r="108">
          <cell r="J108">
            <v>0.0103699389375</v>
          </cell>
        </row>
        <row r="109">
          <cell r="A109" t="str">
            <v>33465（24）</v>
          </cell>
          <cell r="B109" t="str">
            <v>24个装纸箱</v>
          </cell>
          <cell r="C109" t="str">
            <v>搪胶小鸭</v>
          </cell>
        </row>
        <row r="109">
          <cell r="E109">
            <v>31</v>
          </cell>
          <cell r="F109">
            <v>22</v>
          </cell>
          <cell r="G109">
            <v>19.5</v>
          </cell>
        </row>
        <row r="109">
          <cell r="J109">
            <v>0.013299</v>
          </cell>
        </row>
        <row r="110">
          <cell r="A110">
            <v>33440</v>
          </cell>
          <cell r="B110" t="str">
            <v>36个装纸箱</v>
          </cell>
          <cell r="C110" t="str">
            <v>搪胶小鸭</v>
          </cell>
        </row>
        <row r="110">
          <cell r="E110">
            <v>37</v>
          </cell>
          <cell r="F110">
            <v>30</v>
          </cell>
          <cell r="G110">
            <v>13.5</v>
          </cell>
        </row>
        <row r="110">
          <cell r="J110">
            <v>0.014985</v>
          </cell>
        </row>
        <row r="111">
          <cell r="A111">
            <v>92058</v>
          </cell>
          <cell r="B111" t="str">
            <v>2个装纸箱</v>
          </cell>
        </row>
        <row r="111">
          <cell r="E111">
            <v>47.625</v>
          </cell>
          <cell r="F111">
            <v>34.925</v>
          </cell>
          <cell r="G111">
            <v>38.1</v>
          </cell>
        </row>
        <row r="111">
          <cell r="J111">
            <v>0.0633718490625</v>
          </cell>
        </row>
        <row r="112">
          <cell r="A112">
            <v>42803</v>
          </cell>
          <cell r="B112" t="str">
            <v>4个装纸箱</v>
          </cell>
        </row>
        <row r="112">
          <cell r="E112">
            <v>32.385</v>
          </cell>
          <cell r="F112">
            <v>11.43</v>
          </cell>
          <cell r="G112">
            <v>16.51</v>
          </cell>
        </row>
        <row r="112">
          <cell r="J112">
            <v>0.0061113506805</v>
          </cell>
        </row>
        <row r="113">
          <cell r="A113">
            <v>470194</v>
          </cell>
          <cell r="B113" t="str">
            <v>2个装纸箱</v>
          </cell>
          <cell r="C113" t="str">
            <v>树屋</v>
          </cell>
        </row>
        <row r="113">
          <cell r="E113">
            <v>41.91</v>
          </cell>
          <cell r="F113">
            <v>31.75</v>
          </cell>
          <cell r="G113">
            <v>30.48</v>
          </cell>
        </row>
        <row r="113">
          <cell r="J113">
            <v>0.0405579834</v>
          </cell>
        </row>
        <row r="114">
          <cell r="A114" t="str">
            <v>14746(3)</v>
          </cell>
          <cell r="B114" t="str">
            <v>3个装纸箱</v>
          </cell>
          <cell r="C114" t="str">
            <v>坐姿米奇</v>
          </cell>
        </row>
        <row r="114">
          <cell r="E114">
            <v>51.435</v>
          </cell>
          <cell r="F114">
            <v>22.225</v>
          </cell>
          <cell r="G114">
            <v>34.925</v>
          </cell>
        </row>
        <row r="114">
          <cell r="J114">
            <v>0.039924264909375</v>
          </cell>
        </row>
        <row r="115">
          <cell r="A115" t="str">
            <v>14747(3)</v>
          </cell>
          <cell r="B115" t="str">
            <v>3个装纸箱</v>
          </cell>
          <cell r="C115" t="str">
            <v>坐姿米妮</v>
          </cell>
        </row>
        <row r="115">
          <cell r="E115">
            <v>51.435</v>
          </cell>
          <cell r="F115">
            <v>22.225</v>
          </cell>
          <cell r="G115">
            <v>34.925</v>
          </cell>
        </row>
        <row r="115">
          <cell r="J115">
            <v>0.039924264909375</v>
          </cell>
        </row>
        <row r="116">
          <cell r="A116" t="str">
            <v>14745(3)</v>
          </cell>
          <cell r="B116" t="str">
            <v>3个装纸箱</v>
          </cell>
          <cell r="C116" t="str">
            <v>坐姿米奇&amp;米妮</v>
          </cell>
        </row>
        <row r="116">
          <cell r="E116">
            <v>51.435</v>
          </cell>
          <cell r="F116">
            <v>22.225</v>
          </cell>
          <cell r="G116">
            <v>34.925</v>
          </cell>
        </row>
        <row r="116">
          <cell r="J116">
            <v>0.039924264909375</v>
          </cell>
        </row>
        <row r="117">
          <cell r="A117">
            <v>320738</v>
          </cell>
          <cell r="B117" t="str">
            <v>HOPSCOTCH LANE BOOSTER SEAT with TRAY</v>
          </cell>
          <cell r="C117" t="str">
            <v>跳伞车道座椅和托盘系列</v>
          </cell>
          <cell r="D117">
            <v>1</v>
          </cell>
          <cell r="E117">
            <v>35.56</v>
          </cell>
          <cell r="F117">
            <v>22</v>
          </cell>
          <cell r="G117">
            <v>40</v>
          </cell>
          <cell r="H117">
            <v>1.92</v>
          </cell>
          <cell r="I117">
            <v>2.22</v>
          </cell>
          <cell r="J117">
            <v>0.0312928</v>
          </cell>
        </row>
        <row r="118">
          <cell r="A118">
            <v>470448</v>
          </cell>
          <cell r="B118" t="str">
            <v>16装纸箱</v>
          </cell>
        </row>
        <row r="118">
          <cell r="E118">
            <v>33.02</v>
          </cell>
          <cell r="F118">
            <v>25.4</v>
          </cell>
          <cell r="G118">
            <v>14.605</v>
          </cell>
        </row>
        <row r="118">
          <cell r="J118">
            <v>0.01224933034</v>
          </cell>
        </row>
        <row r="119">
          <cell r="A119">
            <v>470449</v>
          </cell>
          <cell r="B119" t="str">
            <v>16装纸箱</v>
          </cell>
        </row>
        <row r="119">
          <cell r="E119">
            <v>33.02</v>
          </cell>
          <cell r="F119">
            <v>25.4</v>
          </cell>
          <cell r="G119">
            <v>14.605</v>
          </cell>
        </row>
        <row r="119">
          <cell r="J119">
            <v>0.01224933034</v>
          </cell>
        </row>
        <row r="120">
          <cell r="A120">
            <v>470450</v>
          </cell>
          <cell r="B120" t="str">
            <v>16装纸箱</v>
          </cell>
        </row>
        <row r="120">
          <cell r="E120">
            <v>33.02</v>
          </cell>
          <cell r="F120">
            <v>25.4</v>
          </cell>
          <cell r="G120">
            <v>14.605</v>
          </cell>
        </row>
        <row r="120">
          <cell r="J120">
            <v>0.01224933034</v>
          </cell>
        </row>
        <row r="121">
          <cell r="A121">
            <v>470451</v>
          </cell>
          <cell r="B121" t="str">
            <v>16装纸箱</v>
          </cell>
        </row>
        <row r="121">
          <cell r="E121">
            <v>33.02</v>
          </cell>
          <cell r="F121">
            <v>25.4</v>
          </cell>
          <cell r="G121">
            <v>14.605</v>
          </cell>
        </row>
        <row r="121">
          <cell r="J121">
            <v>0.01224933034</v>
          </cell>
        </row>
        <row r="122">
          <cell r="A122">
            <v>470453</v>
          </cell>
          <cell r="B122" t="str">
            <v>16装纸箱</v>
          </cell>
        </row>
        <row r="122">
          <cell r="E122">
            <v>39.37</v>
          </cell>
          <cell r="F122">
            <v>24.765</v>
          </cell>
          <cell r="G122">
            <v>17.145</v>
          </cell>
        </row>
        <row r="122">
          <cell r="J122">
            <v>0.01671634156725</v>
          </cell>
        </row>
        <row r="123">
          <cell r="A123">
            <v>470454</v>
          </cell>
          <cell r="B123" t="str">
            <v>16装纸箱</v>
          </cell>
        </row>
        <row r="123">
          <cell r="E123">
            <v>39.37</v>
          </cell>
          <cell r="F123">
            <v>24.765</v>
          </cell>
          <cell r="G123">
            <v>17.145</v>
          </cell>
        </row>
        <row r="123">
          <cell r="J123">
            <v>0.01671634156725</v>
          </cell>
        </row>
        <row r="124">
          <cell r="A124">
            <v>470455</v>
          </cell>
          <cell r="B124" t="str">
            <v>16装纸箱</v>
          </cell>
        </row>
        <row r="124">
          <cell r="E124">
            <v>39.37</v>
          </cell>
          <cell r="F124">
            <v>25.4</v>
          </cell>
          <cell r="G124">
            <v>25.4</v>
          </cell>
        </row>
        <row r="124">
          <cell r="J124">
            <v>0.0253999492</v>
          </cell>
        </row>
        <row r="125">
          <cell r="A125">
            <v>470456</v>
          </cell>
          <cell r="B125" t="str">
            <v>16装纸箱</v>
          </cell>
        </row>
        <row r="125">
          <cell r="E125">
            <v>39.37</v>
          </cell>
          <cell r="F125">
            <v>24.765</v>
          </cell>
          <cell r="G125">
            <v>17.145</v>
          </cell>
        </row>
        <row r="125">
          <cell r="J125">
            <v>0.01671634156725</v>
          </cell>
        </row>
        <row r="126">
          <cell r="A126">
            <v>470457</v>
          </cell>
          <cell r="B126" t="str">
            <v>16装纸箱</v>
          </cell>
        </row>
        <row r="126">
          <cell r="E126">
            <v>26.67</v>
          </cell>
          <cell r="F126">
            <v>17.78</v>
          </cell>
          <cell r="G126">
            <v>14.605</v>
          </cell>
        </row>
        <row r="126">
          <cell r="J126">
            <v>0.006925582923</v>
          </cell>
        </row>
        <row r="127">
          <cell r="A127">
            <v>470458</v>
          </cell>
          <cell r="B127" t="str">
            <v>16装纸箱</v>
          </cell>
        </row>
        <row r="127">
          <cell r="E127">
            <v>26.67</v>
          </cell>
          <cell r="F127">
            <v>17.78</v>
          </cell>
          <cell r="G127">
            <v>12.7</v>
          </cell>
        </row>
        <row r="127">
          <cell r="J127">
            <v>0.00602224602</v>
          </cell>
        </row>
        <row r="128">
          <cell r="A128">
            <v>470459</v>
          </cell>
          <cell r="B128" t="str">
            <v>16装纸箱</v>
          </cell>
        </row>
        <row r="128">
          <cell r="E128">
            <v>26.67</v>
          </cell>
          <cell r="F128">
            <v>17.78</v>
          </cell>
          <cell r="G128">
            <v>14.605</v>
          </cell>
        </row>
        <row r="128">
          <cell r="J128">
            <v>0.006925582923</v>
          </cell>
        </row>
        <row r="129">
          <cell r="A129">
            <v>470460</v>
          </cell>
          <cell r="B129" t="str">
            <v>16装纸箱</v>
          </cell>
        </row>
        <row r="129">
          <cell r="E129">
            <v>26.67</v>
          </cell>
          <cell r="F129">
            <v>17.78</v>
          </cell>
          <cell r="G129">
            <v>11.43</v>
          </cell>
        </row>
        <row r="129">
          <cell r="J129">
            <v>0.005420021418</v>
          </cell>
        </row>
        <row r="130">
          <cell r="A130">
            <v>470461</v>
          </cell>
          <cell r="B130" t="str">
            <v>16装纸箱</v>
          </cell>
        </row>
        <row r="130">
          <cell r="E130">
            <v>21.59</v>
          </cell>
          <cell r="F130">
            <v>16.51</v>
          </cell>
          <cell r="G130">
            <v>19.05</v>
          </cell>
        </row>
        <row r="130">
          <cell r="J130">
            <v>0.006790389645</v>
          </cell>
        </row>
        <row r="131">
          <cell r="A131">
            <v>470462</v>
          </cell>
          <cell r="B131" t="str">
            <v>16装纸箱</v>
          </cell>
        </row>
        <row r="131">
          <cell r="E131">
            <v>21.59</v>
          </cell>
          <cell r="F131">
            <v>16.51</v>
          </cell>
          <cell r="G131">
            <v>13.97</v>
          </cell>
        </row>
        <row r="131">
          <cell r="J131">
            <v>0.004979619073</v>
          </cell>
        </row>
        <row r="132">
          <cell r="A132">
            <v>470463</v>
          </cell>
          <cell r="B132" t="str">
            <v>16装纸箱</v>
          </cell>
        </row>
        <row r="132">
          <cell r="E132">
            <v>21.59</v>
          </cell>
          <cell r="F132">
            <v>16.51</v>
          </cell>
          <cell r="G132">
            <v>13.97</v>
          </cell>
        </row>
        <row r="132">
          <cell r="J132">
            <v>0.004979619073</v>
          </cell>
        </row>
        <row r="133">
          <cell r="A133">
            <v>470464</v>
          </cell>
          <cell r="B133" t="str">
            <v>16装纸箱</v>
          </cell>
        </row>
        <row r="133">
          <cell r="E133">
            <v>21.59</v>
          </cell>
          <cell r="F133">
            <v>16.51</v>
          </cell>
          <cell r="G133">
            <v>20.32</v>
          </cell>
        </row>
        <row r="133">
          <cell r="J133">
            <v>0.007243082288</v>
          </cell>
        </row>
        <row r="134">
          <cell r="A134">
            <v>11356</v>
          </cell>
          <cell r="B134" t="str">
            <v>6装纸箱</v>
          </cell>
          <cell r="C134" t="str">
            <v>米奇</v>
          </cell>
        </row>
        <row r="134">
          <cell r="E134">
            <v>36.83</v>
          </cell>
          <cell r="F134">
            <v>29.21</v>
          </cell>
          <cell r="G134">
            <v>17.78</v>
          </cell>
        </row>
        <row r="134">
          <cell r="J134">
            <v>0.019127800454</v>
          </cell>
        </row>
        <row r="135">
          <cell r="A135" t="str">
            <v>12136(4)</v>
          </cell>
          <cell r="B135" t="str">
            <v>4个装纸箱</v>
          </cell>
        </row>
        <row r="135">
          <cell r="E135">
            <v>57.785</v>
          </cell>
          <cell r="F135">
            <v>27.94</v>
          </cell>
          <cell r="G135">
            <v>24.13</v>
          </cell>
        </row>
        <row r="135">
          <cell r="J135">
            <v>0.038958196277</v>
          </cell>
        </row>
        <row r="136">
          <cell r="A136" t="str">
            <v>12137(4)</v>
          </cell>
          <cell r="B136" t="str">
            <v>4个装纸箱</v>
          </cell>
        </row>
        <row r="136">
          <cell r="E136">
            <v>57.785</v>
          </cell>
          <cell r="F136">
            <v>27.94</v>
          </cell>
          <cell r="G136">
            <v>24.13</v>
          </cell>
        </row>
        <row r="136">
          <cell r="J136">
            <v>0.038958196277</v>
          </cell>
        </row>
        <row r="137">
          <cell r="A137" t="str">
            <v>14878(4)</v>
          </cell>
          <cell r="B137" t="str">
            <v>4个装纸箱</v>
          </cell>
        </row>
        <row r="137">
          <cell r="E137">
            <v>57.785</v>
          </cell>
          <cell r="F137">
            <v>27.94</v>
          </cell>
          <cell r="G137">
            <v>24.13</v>
          </cell>
        </row>
        <row r="137">
          <cell r="J137">
            <v>0.038958196277</v>
          </cell>
        </row>
        <row r="138">
          <cell r="A138">
            <v>11356</v>
          </cell>
          <cell r="B138" t="str">
            <v>6装纸箱</v>
          </cell>
          <cell r="C138" t="str">
            <v>米奇</v>
          </cell>
        </row>
        <row r="138">
          <cell r="E138">
            <v>36.83</v>
          </cell>
          <cell r="F138">
            <v>29.21</v>
          </cell>
          <cell r="G138">
            <v>17.78</v>
          </cell>
        </row>
        <row r="138">
          <cell r="J138">
            <v>0.019127800454</v>
          </cell>
        </row>
        <row r="139">
          <cell r="A139">
            <v>11357</v>
          </cell>
          <cell r="B139" t="str">
            <v>6装纸箱</v>
          </cell>
          <cell r="C139" t="str">
            <v>米妮</v>
          </cell>
        </row>
        <row r="139">
          <cell r="E139">
            <v>36.83</v>
          </cell>
          <cell r="F139">
            <v>29.21</v>
          </cell>
          <cell r="G139">
            <v>17.78</v>
          </cell>
        </row>
        <row r="139">
          <cell r="J139">
            <v>0.019127800454</v>
          </cell>
        </row>
        <row r="140">
          <cell r="A140">
            <v>11358</v>
          </cell>
          <cell r="B140" t="str">
            <v>6装纸箱</v>
          </cell>
          <cell r="C140" t="str">
            <v>史迪仔</v>
          </cell>
        </row>
        <row r="140">
          <cell r="E140">
            <v>36.83</v>
          </cell>
          <cell r="F140">
            <v>29.21</v>
          </cell>
          <cell r="G140">
            <v>17.78</v>
          </cell>
        </row>
        <row r="140">
          <cell r="J140">
            <v>0.019127800454</v>
          </cell>
        </row>
        <row r="141">
          <cell r="A141">
            <v>11359</v>
          </cell>
          <cell r="B141" t="str">
            <v>6装纸箱</v>
          </cell>
          <cell r="C141" t="str">
            <v>辛巴</v>
          </cell>
        </row>
        <row r="141">
          <cell r="E141">
            <v>36.83</v>
          </cell>
          <cell r="F141">
            <v>29.21</v>
          </cell>
          <cell r="G141">
            <v>17.78</v>
          </cell>
        </row>
        <row r="141">
          <cell r="J141">
            <v>0.019127800454</v>
          </cell>
        </row>
        <row r="142">
          <cell r="A142">
            <v>11361</v>
          </cell>
          <cell r="B142" t="str">
            <v>6装纸箱</v>
          </cell>
          <cell r="C142" t="str">
            <v>冥王狗</v>
          </cell>
        </row>
        <row r="142">
          <cell r="E142">
            <v>36.83</v>
          </cell>
          <cell r="F142">
            <v>29.21</v>
          </cell>
          <cell r="G142">
            <v>17.78</v>
          </cell>
        </row>
        <row r="142">
          <cell r="J142">
            <v>0.019127800454</v>
          </cell>
        </row>
        <row r="143">
          <cell r="A143">
            <v>11362</v>
          </cell>
          <cell r="B143" t="str">
            <v>6装纸箱</v>
          </cell>
          <cell r="C143" t="str">
            <v>小飞象</v>
          </cell>
        </row>
        <row r="143">
          <cell r="E143">
            <v>36.83</v>
          </cell>
          <cell r="F143">
            <v>29.21</v>
          </cell>
          <cell r="G143">
            <v>17.78</v>
          </cell>
        </row>
        <row r="143">
          <cell r="J143">
            <v>0.019127800454</v>
          </cell>
        </row>
        <row r="144">
          <cell r="A144">
            <v>11363</v>
          </cell>
          <cell r="B144" t="str">
            <v>6装纸箱</v>
          </cell>
          <cell r="C144" t="str">
            <v>维尼熊</v>
          </cell>
        </row>
        <row r="144">
          <cell r="E144">
            <v>36.83</v>
          </cell>
          <cell r="F144">
            <v>29.21</v>
          </cell>
          <cell r="G144">
            <v>17.78</v>
          </cell>
        </row>
        <row r="144">
          <cell r="J144">
            <v>0.019127800454</v>
          </cell>
        </row>
        <row r="145">
          <cell r="A145">
            <v>11364</v>
          </cell>
          <cell r="B145" t="str">
            <v>6装纸箱</v>
          </cell>
          <cell r="C145" t="str">
            <v>玛丽猫</v>
          </cell>
        </row>
        <row r="145">
          <cell r="E145">
            <v>36.83</v>
          </cell>
          <cell r="F145">
            <v>29.21</v>
          </cell>
          <cell r="G145">
            <v>17.78</v>
          </cell>
        </row>
        <row r="145">
          <cell r="J145">
            <v>0.019127800454</v>
          </cell>
        </row>
        <row r="146">
          <cell r="A146">
            <v>26870</v>
          </cell>
          <cell r="B146" t="str">
            <v>48个装纸箱</v>
          </cell>
          <cell r="C146" t="str">
            <v>搪胶小鸭</v>
          </cell>
        </row>
        <row r="146">
          <cell r="E146">
            <v>34.925</v>
          </cell>
          <cell r="F146">
            <v>22.225</v>
          </cell>
          <cell r="G146">
            <v>19.05</v>
          </cell>
        </row>
        <row r="146">
          <cell r="J146">
            <v>0.01478676478125</v>
          </cell>
        </row>
        <row r="147">
          <cell r="A147">
            <v>320752</v>
          </cell>
          <cell r="B147" t="str">
            <v>BATMAN BOOSTER SEAT WITH TABLE</v>
          </cell>
          <cell r="C147" t="str">
            <v>蝙蝠侠座椅和托盘系列</v>
          </cell>
          <cell r="D147">
            <v>1</v>
          </cell>
          <cell r="E147">
            <v>35.56</v>
          </cell>
          <cell r="F147">
            <v>22</v>
          </cell>
          <cell r="G147">
            <v>40</v>
          </cell>
        </row>
        <row r="147">
          <cell r="J147">
            <v>0.0312928</v>
          </cell>
        </row>
        <row r="148">
          <cell r="A148">
            <v>320753</v>
          </cell>
          <cell r="B148" t="str">
            <v>COCOMELON BOOSTER SEAT with TRAY</v>
          </cell>
          <cell r="C148" t="str">
            <v>JJ座椅和托盘系列</v>
          </cell>
          <cell r="D148">
            <v>1</v>
          </cell>
          <cell r="E148">
            <v>35.56</v>
          </cell>
          <cell r="F148">
            <v>22</v>
          </cell>
          <cell r="G148">
            <v>40</v>
          </cell>
        </row>
        <row r="148">
          <cell r="J148">
            <v>0.0312928</v>
          </cell>
        </row>
        <row r="149">
          <cell r="A149">
            <v>470631</v>
          </cell>
        </row>
        <row r="149">
          <cell r="C149" t="str">
            <v>圣代雪糕树</v>
          </cell>
          <cell r="D149">
            <v>8</v>
          </cell>
          <cell r="E149">
            <v>30.7</v>
          </cell>
          <cell r="F149">
            <v>26.3</v>
          </cell>
          <cell r="G149">
            <v>18.8</v>
          </cell>
        </row>
        <row r="149">
          <cell r="J149">
            <v>0.015179308</v>
          </cell>
        </row>
        <row r="150">
          <cell r="A150">
            <v>470632</v>
          </cell>
        </row>
        <row r="150">
          <cell r="C150" t="str">
            <v>草莓吊饰</v>
          </cell>
          <cell r="D150">
            <v>8</v>
          </cell>
          <cell r="E150">
            <v>30.7</v>
          </cell>
          <cell r="F150">
            <v>26.3</v>
          </cell>
          <cell r="G150">
            <v>18.8</v>
          </cell>
        </row>
        <row r="150">
          <cell r="J150">
            <v>0.015179308</v>
          </cell>
        </row>
        <row r="151">
          <cell r="A151">
            <v>470633</v>
          </cell>
        </row>
        <row r="151">
          <cell r="C151" t="str">
            <v>粉色爱心书本</v>
          </cell>
          <cell r="D151">
            <v>8</v>
          </cell>
          <cell r="E151">
            <v>25.7</v>
          </cell>
          <cell r="F151">
            <v>21.2</v>
          </cell>
          <cell r="G151">
            <v>19.8</v>
          </cell>
        </row>
        <row r="151">
          <cell r="J151">
            <v>0.010787832</v>
          </cell>
        </row>
        <row r="152">
          <cell r="A152">
            <v>470634</v>
          </cell>
        </row>
        <row r="152">
          <cell r="C152" t="str">
            <v>书本糖果盒</v>
          </cell>
          <cell r="D152">
            <v>8</v>
          </cell>
          <cell r="E152">
            <v>25.7</v>
          </cell>
          <cell r="F152">
            <v>21.2</v>
          </cell>
          <cell r="G152">
            <v>19.8</v>
          </cell>
        </row>
        <row r="152">
          <cell r="J152">
            <v>0.010787832</v>
          </cell>
        </row>
        <row r="153">
          <cell r="A153" t="str">
            <v>16390（12）</v>
          </cell>
          <cell r="B153" t="str">
            <v>12个装纸箱</v>
          </cell>
          <cell r="C153" t="str">
            <v>情人节系列</v>
          </cell>
          <cell r="D153">
            <v>12</v>
          </cell>
          <cell r="E153">
            <v>20.955</v>
          </cell>
          <cell r="F153">
            <v>17.51</v>
          </cell>
          <cell r="G153">
            <v>8.255</v>
          </cell>
        </row>
        <row r="153">
          <cell r="J153">
            <v>0.00302894152275</v>
          </cell>
        </row>
        <row r="154">
          <cell r="A154" t="str">
            <v>16390（54）</v>
          </cell>
          <cell r="B154" t="str">
            <v>54个装纸箱</v>
          </cell>
          <cell r="C154" t="str">
            <v>情人节系列</v>
          </cell>
          <cell r="D154">
            <v>54</v>
          </cell>
          <cell r="E154">
            <v>35.29</v>
          </cell>
          <cell r="F154">
            <v>20.685</v>
          </cell>
          <cell r="G154">
            <v>34.29</v>
          </cell>
        </row>
        <row r="154">
          <cell r="J154">
            <v>0.0250307964585</v>
          </cell>
        </row>
        <row r="155">
          <cell r="A155" t="str">
            <v>16390（18）</v>
          </cell>
          <cell r="B155" t="str">
            <v>18个装纸箱</v>
          </cell>
          <cell r="C155" t="str">
            <v>情人节系列</v>
          </cell>
          <cell r="D155">
            <v>18</v>
          </cell>
          <cell r="E155">
            <v>32.385</v>
          </cell>
          <cell r="F155">
            <v>18.78</v>
          </cell>
          <cell r="G155">
            <v>9.525</v>
          </cell>
        </row>
        <row r="155">
          <cell r="J155">
            <v>0.0057930126075</v>
          </cell>
        </row>
        <row r="156">
          <cell r="A156" t="str">
            <v>33465（24）</v>
          </cell>
          <cell r="B156" t="str">
            <v>24个装纸箱</v>
          </cell>
          <cell r="C156" t="str">
            <v>WM小搪胶鸭子系列</v>
          </cell>
          <cell r="D156">
            <v>24</v>
          </cell>
          <cell r="E156">
            <v>28.575</v>
          </cell>
          <cell r="F156">
            <v>19.05</v>
          </cell>
          <cell r="G156">
            <v>16.51</v>
          </cell>
        </row>
        <row r="156">
          <cell r="J156">
            <v>0.0089872804125</v>
          </cell>
        </row>
        <row r="157">
          <cell r="A157" t="str">
            <v>36015（12）</v>
          </cell>
          <cell r="B157" t="str">
            <v>12个装纸箱</v>
          </cell>
          <cell r="C157" t="str">
            <v>复活节小鸭</v>
          </cell>
          <cell r="D157">
            <v>12</v>
          </cell>
          <cell r="E157">
            <v>22.7</v>
          </cell>
          <cell r="F157">
            <v>18.6</v>
          </cell>
          <cell r="G157">
            <v>9.8</v>
          </cell>
        </row>
        <row r="157">
          <cell r="J157">
            <v>0.004137756</v>
          </cell>
        </row>
        <row r="158">
          <cell r="A158" t="str">
            <v>36015（18）</v>
          </cell>
          <cell r="B158" t="str">
            <v>18个装纸箱</v>
          </cell>
          <cell r="C158" t="str">
            <v>复活节小鸭</v>
          </cell>
          <cell r="D158">
            <v>18</v>
          </cell>
          <cell r="E158">
            <v>32.385</v>
          </cell>
          <cell r="F158">
            <v>18.78</v>
          </cell>
          <cell r="G158">
            <v>9.525</v>
          </cell>
        </row>
        <row r="158">
          <cell r="J158">
            <v>0.0057930126075</v>
          </cell>
        </row>
        <row r="159">
          <cell r="A159" t="str">
            <v>36015（36）</v>
          </cell>
          <cell r="B159" t="str">
            <v>36个装纸箱</v>
          </cell>
          <cell r="C159" t="str">
            <v>复活节小鸭</v>
          </cell>
          <cell r="D159">
            <v>36</v>
          </cell>
          <cell r="E159">
            <v>22.225</v>
          </cell>
          <cell r="F159">
            <v>18.78</v>
          </cell>
          <cell r="G159">
            <v>26.035</v>
          </cell>
        </row>
        <row r="159">
          <cell r="J159">
            <v>0.0108666314925</v>
          </cell>
        </row>
        <row r="160">
          <cell r="A160" t="str">
            <v>36015（54）</v>
          </cell>
          <cell r="B160" t="str">
            <v>54个装纸箱</v>
          </cell>
          <cell r="C160" t="str">
            <v>复活节小鸭</v>
          </cell>
          <cell r="D160">
            <v>54</v>
          </cell>
          <cell r="E160">
            <v>34.29</v>
          </cell>
          <cell r="F160">
            <v>20.685</v>
          </cell>
          <cell r="G160">
            <v>34.29</v>
          </cell>
        </row>
        <row r="160">
          <cell r="J160">
            <v>0.0243215078085</v>
          </cell>
        </row>
        <row r="161">
          <cell r="A161" t="str">
            <v>470662（14）</v>
          </cell>
          <cell r="B161" t="str">
            <v>17个装纸箱</v>
          </cell>
        </row>
        <row r="161">
          <cell r="D161">
            <v>14</v>
          </cell>
          <cell r="E161">
            <v>46.99</v>
          </cell>
          <cell r="F161">
            <v>33.385</v>
          </cell>
          <cell r="G161">
            <v>31.75</v>
          </cell>
        </row>
        <row r="161">
          <cell r="J161">
            <v>0.0498081665125</v>
          </cell>
        </row>
        <row r="162">
          <cell r="A162">
            <v>320770</v>
          </cell>
          <cell r="B162" t="str">
            <v>3个装纸箱</v>
          </cell>
          <cell r="C162" t="str">
            <v>320405、406、407混装</v>
          </cell>
          <cell r="D162">
            <v>3</v>
          </cell>
          <cell r="E162">
            <v>31.5</v>
          </cell>
          <cell r="F162">
            <v>27</v>
          </cell>
          <cell r="G162">
            <v>20</v>
          </cell>
          <cell r="H162">
            <v>1.5</v>
          </cell>
          <cell r="I162">
            <v>1.83</v>
          </cell>
          <cell r="J162">
            <v>0.01701</v>
          </cell>
        </row>
        <row r="163">
          <cell r="A163" t="str">
            <v>470615（4）</v>
          </cell>
          <cell r="B163" t="str">
            <v>纸箱（4个装）</v>
          </cell>
        </row>
        <row r="163">
          <cell r="E163">
            <v>33</v>
          </cell>
          <cell r="F163">
            <v>17.2</v>
          </cell>
          <cell r="G163">
            <v>28</v>
          </cell>
        </row>
        <row r="163">
          <cell r="J163">
            <v>0.0158928</v>
          </cell>
        </row>
        <row r="164">
          <cell r="A164">
            <v>320913</v>
          </cell>
        </row>
        <row r="164">
          <cell r="C164" t="str">
            <v>卡车</v>
          </cell>
        </row>
        <row r="165">
          <cell r="A165">
            <v>320920</v>
          </cell>
        </row>
        <row r="165">
          <cell r="C165" t="str">
            <v>学校</v>
          </cell>
        </row>
        <row r="166">
          <cell r="A166" t="str">
            <v>17185(36)</v>
          </cell>
          <cell r="B166" t="str">
            <v>36个装纸箱</v>
          </cell>
          <cell r="C166" t="str">
            <v>复活节小鸭</v>
          </cell>
          <cell r="D166">
            <v>36</v>
          </cell>
          <cell r="E166">
            <v>22.225</v>
          </cell>
          <cell r="F166">
            <v>18.78</v>
          </cell>
          <cell r="G166">
            <v>26.035</v>
          </cell>
        </row>
        <row r="166">
          <cell r="J166">
            <v>0.0108666314925</v>
          </cell>
        </row>
        <row r="167">
          <cell r="A167" t="str">
            <v>320409-X</v>
          </cell>
          <cell r="B167" t="str">
            <v>HONEY BEE ACRES SUNFLOWER COUNTRY COTTAGE with Adult Figure </v>
          </cell>
          <cell r="C167" t="str">
            <v>向日葵家</v>
          </cell>
          <cell r="D167">
            <v>2</v>
          </cell>
          <cell r="E167">
            <v>40.259</v>
          </cell>
          <cell r="F167">
            <v>26.543</v>
          </cell>
          <cell r="G167">
            <v>26.035</v>
          </cell>
          <cell r="H167">
            <v>2.34</v>
          </cell>
          <cell r="I167">
            <v>3</v>
          </cell>
          <cell r="J167">
            <v>0.027820861374295</v>
          </cell>
        </row>
        <row r="168">
          <cell r="A168" t="str">
            <v>46113(1)</v>
          </cell>
          <cell r="B168" t="str">
            <v>1个装纸箱</v>
          </cell>
        </row>
        <row r="168">
          <cell r="D168">
            <v>1</v>
          </cell>
          <cell r="E168">
            <v>36</v>
          </cell>
          <cell r="F168">
            <v>24.3</v>
          </cell>
          <cell r="G168">
            <v>44</v>
          </cell>
        </row>
        <row r="168">
          <cell r="J168">
            <v>0.0384912</v>
          </cell>
        </row>
        <row r="169">
          <cell r="A169">
            <v>92568</v>
          </cell>
        </row>
        <row r="169">
          <cell r="D169">
            <v>60</v>
          </cell>
          <cell r="E169">
            <v>70.485</v>
          </cell>
          <cell r="F169">
            <v>47.355</v>
          </cell>
          <cell r="G169">
            <v>42.545</v>
          </cell>
        </row>
        <row r="169">
          <cell r="J169">
            <v>0.142007431710375</v>
          </cell>
        </row>
        <row r="170">
          <cell r="A170">
            <v>92569</v>
          </cell>
        </row>
        <row r="170">
          <cell r="D170">
            <v>60</v>
          </cell>
          <cell r="E170">
            <v>70.485</v>
          </cell>
          <cell r="F170">
            <v>47.355</v>
          </cell>
          <cell r="G170">
            <v>42.545</v>
          </cell>
        </row>
        <row r="170">
          <cell r="J170">
            <v>0.142007431710375</v>
          </cell>
        </row>
        <row r="171">
          <cell r="A171" t="str">
            <v>26850（18）</v>
          </cell>
          <cell r="B171" t="str">
            <v>18个装纸箱</v>
          </cell>
          <cell r="C171" t="str">
            <v>假日小鸭</v>
          </cell>
          <cell r="D171">
            <v>18</v>
          </cell>
          <cell r="E171">
            <v>32.385</v>
          </cell>
          <cell r="F171">
            <v>18.78</v>
          </cell>
          <cell r="G171">
            <v>9.525</v>
          </cell>
        </row>
        <row r="171">
          <cell r="J171">
            <v>0.0057930126075</v>
          </cell>
        </row>
        <row r="172">
          <cell r="A172" t="str">
            <v>26870（48）</v>
          </cell>
          <cell r="B172" t="str">
            <v>48个装纸箱</v>
          </cell>
          <cell r="C172" t="str">
            <v>恐怖小鸭</v>
          </cell>
          <cell r="D172">
            <v>48</v>
          </cell>
          <cell r="E172">
            <v>34.925</v>
          </cell>
          <cell r="F172">
            <v>22.225</v>
          </cell>
          <cell r="G172">
            <v>19.05</v>
          </cell>
        </row>
        <row r="172">
          <cell r="J172">
            <v>0.01478676478125</v>
          </cell>
        </row>
        <row r="173">
          <cell r="A173" t="str">
            <v>26850（48）</v>
          </cell>
          <cell r="B173" t="str">
            <v>48个装纸箱</v>
          </cell>
          <cell r="C173" t="str">
            <v>假日小鸭</v>
          </cell>
          <cell r="D173">
            <v>48</v>
          </cell>
          <cell r="E173">
            <v>34.925</v>
          </cell>
          <cell r="F173">
            <v>22.225</v>
          </cell>
          <cell r="G173">
            <v>19.05</v>
          </cell>
        </row>
        <row r="173">
          <cell r="J173">
            <v>0.01478676478125</v>
          </cell>
        </row>
        <row r="174">
          <cell r="A174" t="str">
            <v>46113(2)</v>
          </cell>
          <cell r="B174" t="str">
            <v>1个装纸箱</v>
          </cell>
          <cell r="C174" t="str">
            <v>史迪仔</v>
          </cell>
          <cell r="D174">
            <v>2</v>
          </cell>
          <cell r="E174">
            <v>45.72</v>
          </cell>
          <cell r="F174">
            <v>36.56</v>
          </cell>
          <cell r="G174">
            <v>41.91</v>
          </cell>
        </row>
        <row r="174">
          <cell r="J174">
            <v>0.070053537312</v>
          </cell>
        </row>
        <row r="175">
          <cell r="A175">
            <v>470805</v>
          </cell>
          <cell r="B175" t="str">
            <v>12个装纸箱</v>
          </cell>
          <cell r="C175" t="str">
            <v>硅胶鹿</v>
          </cell>
          <cell r="D175">
            <v>12</v>
          </cell>
          <cell r="E175">
            <v>20.32</v>
          </cell>
          <cell r="F175">
            <v>13.7</v>
          </cell>
          <cell r="G175">
            <v>11.684</v>
          </cell>
        </row>
        <row r="175">
          <cell r="J175">
            <v>0.003252638656</v>
          </cell>
        </row>
        <row r="176">
          <cell r="A176" t="str">
            <v>33438（72）</v>
          </cell>
          <cell r="B176" t="str">
            <v>74个装纸箱</v>
          </cell>
          <cell r="C176" t="str">
            <v>眼镜鸭子</v>
          </cell>
          <cell r="D176">
            <v>72</v>
          </cell>
          <cell r="E176">
            <v>24.765</v>
          </cell>
          <cell r="F176">
            <v>25.765</v>
          </cell>
          <cell r="G176">
            <v>30.48</v>
          </cell>
        </row>
        <row r="176">
          <cell r="J176">
            <v>0.019448380458</v>
          </cell>
        </row>
        <row r="177">
          <cell r="A177" t="str">
            <v>11839（8）</v>
          </cell>
          <cell r="B177" t="str">
            <v>8个装纸箱</v>
          </cell>
          <cell r="C177" t="str">
            <v>磁铁肩膀史迪仔</v>
          </cell>
          <cell r="D177">
            <v>8</v>
          </cell>
          <cell r="E177">
            <v>30.48</v>
          </cell>
          <cell r="F177">
            <v>27.67</v>
          </cell>
          <cell r="G177">
            <v>15.24</v>
          </cell>
        </row>
        <row r="177">
          <cell r="J177">
            <v>0.012853135584</v>
          </cell>
        </row>
        <row r="178">
          <cell r="A178" t="str">
            <v>26870（36）</v>
          </cell>
          <cell r="B178" t="str">
            <v>36个装纸箱</v>
          </cell>
          <cell r="C178" t="str">
            <v>假日小鸭</v>
          </cell>
          <cell r="D178">
            <v>36</v>
          </cell>
          <cell r="E178">
            <v>22.225</v>
          </cell>
          <cell r="F178">
            <v>18.78</v>
          </cell>
          <cell r="G178">
            <v>26.035</v>
          </cell>
        </row>
        <row r="178">
          <cell r="J178">
            <v>0.0108666314925</v>
          </cell>
        </row>
        <row r="179">
          <cell r="A179">
            <v>470764</v>
          </cell>
          <cell r="B179" t="str">
            <v>1个装纸箱</v>
          </cell>
          <cell r="C179" t="str">
            <v>大型自卸车</v>
          </cell>
          <cell r="D179">
            <v>1</v>
          </cell>
          <cell r="E179">
            <v>42</v>
          </cell>
          <cell r="F179">
            <v>22</v>
          </cell>
          <cell r="G179">
            <v>29</v>
          </cell>
        </row>
        <row r="179">
          <cell r="J179">
            <v>0.026796</v>
          </cell>
        </row>
        <row r="180">
          <cell r="A180">
            <v>470813</v>
          </cell>
          <cell r="B180" t="str">
            <v>纸箱（4个装）</v>
          </cell>
        </row>
        <row r="180">
          <cell r="E180">
            <v>33</v>
          </cell>
          <cell r="F180">
            <v>17.2</v>
          </cell>
          <cell r="G180">
            <v>28</v>
          </cell>
        </row>
        <row r="180">
          <cell r="J180">
            <v>0.0158928</v>
          </cell>
        </row>
        <row r="181">
          <cell r="A181">
            <v>470814</v>
          </cell>
          <cell r="B181" t="str">
            <v>纸箱（4个装）</v>
          </cell>
        </row>
        <row r="181">
          <cell r="E181">
            <v>33</v>
          </cell>
          <cell r="F181">
            <v>17.2</v>
          </cell>
          <cell r="G181">
            <v>28</v>
          </cell>
        </row>
        <row r="181">
          <cell r="J181">
            <v>0.0158928</v>
          </cell>
        </row>
        <row r="182">
          <cell r="A182">
            <v>470725</v>
          </cell>
          <cell r="B182" t="str">
            <v>独角兽家族</v>
          </cell>
          <cell r="C182" t="str">
            <v>独角兽家族</v>
          </cell>
          <cell r="D182">
            <v>4</v>
          </cell>
          <cell r="E182">
            <v>25.5</v>
          </cell>
          <cell r="F182">
            <v>21</v>
          </cell>
          <cell r="G182">
            <v>20</v>
          </cell>
          <cell r="H182">
            <v>0.5</v>
          </cell>
          <cell r="I182">
            <v>0.7</v>
          </cell>
          <cell r="J182">
            <v>0.01071</v>
          </cell>
        </row>
        <row r="183">
          <cell r="A183" t="str">
            <v>33475（18）</v>
          </cell>
          <cell r="B183" t="str">
            <v>纸箱（18个装）</v>
          </cell>
          <cell r="C183" t="str">
            <v>鸭子</v>
          </cell>
          <cell r="D183">
            <v>18</v>
          </cell>
          <cell r="E183">
            <v>32.385</v>
          </cell>
          <cell r="F183">
            <v>18.78</v>
          </cell>
          <cell r="G183">
            <v>9.525</v>
          </cell>
        </row>
        <row r="183">
          <cell r="J183">
            <v>0.0057930126075</v>
          </cell>
        </row>
        <row r="184">
          <cell r="A184" t="str">
            <v>33395（36）</v>
          </cell>
          <cell r="B184" t="str">
            <v>纸箱（36个装）</v>
          </cell>
          <cell r="C184" t="str">
            <v>鸭子</v>
          </cell>
          <cell r="D184">
            <v>36</v>
          </cell>
          <cell r="E184">
            <v>22.225</v>
          </cell>
          <cell r="F184">
            <v>18.78</v>
          </cell>
          <cell r="G184">
            <v>26.035</v>
          </cell>
        </row>
        <row r="184">
          <cell r="J184">
            <v>0.0108666314925</v>
          </cell>
        </row>
        <row r="185">
          <cell r="A185" t="str">
            <v>26870（18）</v>
          </cell>
          <cell r="B185" t="str">
            <v>纸箱（18个装）</v>
          </cell>
          <cell r="C185" t="str">
            <v>鸭子</v>
          </cell>
          <cell r="D185">
            <v>18</v>
          </cell>
          <cell r="E185">
            <v>32.385</v>
          </cell>
          <cell r="F185">
            <v>18.78</v>
          </cell>
          <cell r="G185">
            <v>9.525</v>
          </cell>
        </row>
        <row r="185">
          <cell r="J185">
            <v>0.0057930126075</v>
          </cell>
        </row>
        <row r="186">
          <cell r="A186">
            <v>470534</v>
          </cell>
          <cell r="B186" t="str">
            <v>纸箱（3个装）</v>
          </cell>
          <cell r="C186" t="str">
            <v>搪胶公仔白种人</v>
          </cell>
          <cell r="D186">
            <v>3</v>
          </cell>
          <cell r="E186">
            <v>40.64</v>
          </cell>
          <cell r="F186">
            <v>21.701</v>
          </cell>
          <cell r="G186">
            <v>33.401</v>
          </cell>
        </row>
        <row r="186">
          <cell r="J186">
            <v>0.02945729850464</v>
          </cell>
        </row>
        <row r="187">
          <cell r="A187">
            <v>470535</v>
          </cell>
          <cell r="B187" t="str">
            <v>纸箱（3个装）</v>
          </cell>
          <cell r="C187" t="str">
            <v>搪胶公仔亚洲人</v>
          </cell>
          <cell r="D187">
            <v>3</v>
          </cell>
          <cell r="E187">
            <v>40.64</v>
          </cell>
          <cell r="F187">
            <v>21.701</v>
          </cell>
          <cell r="G187">
            <v>33.401</v>
          </cell>
        </row>
        <row r="187">
          <cell r="J187">
            <v>0.02945729850464</v>
          </cell>
        </row>
        <row r="188">
          <cell r="A188">
            <v>470536</v>
          </cell>
          <cell r="B188" t="str">
            <v>纸箱（3个装）</v>
          </cell>
          <cell r="C188" t="str">
            <v>搪胶公仔西班牙人</v>
          </cell>
          <cell r="D188">
            <v>3</v>
          </cell>
          <cell r="E188">
            <v>40.64</v>
          </cell>
          <cell r="F188">
            <v>21.701</v>
          </cell>
          <cell r="G188">
            <v>33.401</v>
          </cell>
        </row>
        <row r="188">
          <cell r="J188">
            <v>0.02945729850464</v>
          </cell>
        </row>
        <row r="189">
          <cell r="A189">
            <v>470537</v>
          </cell>
          <cell r="B189" t="str">
            <v>纸箱（3个装）</v>
          </cell>
          <cell r="C189" t="str">
            <v>搪胶公仔非洲人</v>
          </cell>
          <cell r="D189">
            <v>3</v>
          </cell>
          <cell r="E189">
            <v>40.64</v>
          </cell>
          <cell r="F189">
            <v>21.701</v>
          </cell>
          <cell r="G189">
            <v>33.401</v>
          </cell>
        </row>
        <row r="189">
          <cell r="J189">
            <v>0.02945729850464</v>
          </cell>
        </row>
        <row r="190">
          <cell r="A190" t="str">
            <v>33490（18）</v>
          </cell>
          <cell r="B190" t="str">
            <v>纸箱（18个装）</v>
          </cell>
          <cell r="C190" t="str">
            <v>鸭子</v>
          </cell>
          <cell r="D190">
            <v>18</v>
          </cell>
          <cell r="E190">
            <v>32.385</v>
          </cell>
          <cell r="F190">
            <v>18.78</v>
          </cell>
          <cell r="G190">
            <v>9.525</v>
          </cell>
        </row>
        <row r="190">
          <cell r="J190">
            <v>0.0057930126075</v>
          </cell>
        </row>
        <row r="191">
          <cell r="A191" t="str">
            <v>33465（12）</v>
          </cell>
          <cell r="B191" t="str">
            <v>纸箱（12个装）</v>
          </cell>
          <cell r="C191" t="str">
            <v>鸭子</v>
          </cell>
          <cell r="D191">
            <v>12</v>
          </cell>
          <cell r="E191">
            <v>20.955</v>
          </cell>
          <cell r="F191">
            <v>17.51</v>
          </cell>
          <cell r="G191">
            <v>8.255</v>
          </cell>
        </row>
        <row r="191">
          <cell r="J191">
            <v>0.00302894152275</v>
          </cell>
        </row>
        <row r="192">
          <cell r="A192">
            <v>470528</v>
          </cell>
          <cell r="B192" t="str">
            <v>纸箱（3个装）</v>
          </cell>
          <cell r="C192" t="str">
            <v>冰淇淋系列</v>
          </cell>
          <cell r="D192">
            <v>3</v>
          </cell>
          <cell r="E192">
            <v>32.7</v>
          </cell>
          <cell r="F192">
            <v>31.75</v>
          </cell>
          <cell r="G192">
            <v>33.35</v>
          </cell>
        </row>
        <row r="192">
          <cell r="J192">
            <v>0.03462480375</v>
          </cell>
        </row>
        <row r="193">
          <cell r="A193">
            <v>470688</v>
          </cell>
          <cell r="B193" t="str">
            <v>纸箱（3个装）</v>
          </cell>
          <cell r="C193" t="str">
            <v>生日蛋糕系列</v>
          </cell>
          <cell r="D193">
            <v>3</v>
          </cell>
          <cell r="E193">
            <v>31.43</v>
          </cell>
          <cell r="F193">
            <v>29.85</v>
          </cell>
          <cell r="G193">
            <v>33.35</v>
          </cell>
        </row>
        <row r="193">
          <cell r="J193">
            <v>0.031288486425</v>
          </cell>
        </row>
        <row r="194">
          <cell r="A194">
            <v>470689</v>
          </cell>
          <cell r="B194" t="str">
            <v>纸箱（3个装）</v>
          </cell>
          <cell r="C194" t="str">
            <v>甜品糕系列</v>
          </cell>
          <cell r="D194">
            <v>3</v>
          </cell>
          <cell r="E194">
            <v>31.43</v>
          </cell>
          <cell r="F194">
            <v>29.85</v>
          </cell>
          <cell r="G194">
            <v>33.35</v>
          </cell>
        </row>
        <row r="194">
          <cell r="J194">
            <v>0.031288486425</v>
          </cell>
        </row>
        <row r="195">
          <cell r="A195" t="str">
            <v>11369（1）</v>
          </cell>
          <cell r="B195" t="str">
            <v>纸箱（1个装）</v>
          </cell>
          <cell r="C195" t="str">
            <v>投影米奇</v>
          </cell>
          <cell r="D195">
            <v>1</v>
          </cell>
          <cell r="E195">
            <v>26.67</v>
          </cell>
          <cell r="F195">
            <v>18.78</v>
          </cell>
          <cell r="G195">
            <v>32.385</v>
          </cell>
        </row>
        <row r="195">
          <cell r="J195">
            <v>0.016220435301</v>
          </cell>
        </row>
        <row r="196">
          <cell r="A196" t="str">
            <v>33454(48)</v>
          </cell>
          <cell r="B196" t="str">
            <v>纸箱（48个装）</v>
          </cell>
          <cell r="C196" t="str">
            <v>鸭子</v>
          </cell>
          <cell r="D196">
            <v>48</v>
          </cell>
          <cell r="E196">
            <v>37.15</v>
          </cell>
          <cell r="F196">
            <v>33</v>
          </cell>
          <cell r="G196">
            <v>33.34</v>
          </cell>
        </row>
        <row r="196">
          <cell r="J196">
            <v>0.040873173</v>
          </cell>
        </row>
        <row r="197">
          <cell r="A197">
            <v>470529</v>
          </cell>
          <cell r="B197" t="str">
            <v>纸箱（3个装）</v>
          </cell>
          <cell r="C197" t="str">
            <v>搅拌机系列</v>
          </cell>
          <cell r="D197">
            <v>3</v>
          </cell>
          <cell r="E197">
            <v>41.59</v>
          </cell>
          <cell r="F197">
            <v>33</v>
          </cell>
          <cell r="G197">
            <v>33.35</v>
          </cell>
        </row>
        <row r="197">
          <cell r="J197">
            <v>0.0457718745</v>
          </cell>
        </row>
        <row r="198">
          <cell r="A198">
            <v>470690</v>
          </cell>
          <cell r="B198" t="str">
            <v>纸箱（3个装）</v>
          </cell>
          <cell r="C198" t="str">
            <v>电磁炉系列</v>
          </cell>
          <cell r="D198">
            <v>3</v>
          </cell>
          <cell r="E198">
            <v>41.59</v>
          </cell>
          <cell r="F198">
            <v>28.5</v>
          </cell>
          <cell r="G198">
            <v>33.35</v>
          </cell>
        </row>
        <row r="198">
          <cell r="J198">
            <v>0.03953025525</v>
          </cell>
        </row>
        <row r="199">
          <cell r="A199">
            <v>470691</v>
          </cell>
          <cell r="B199" t="str">
            <v>纸箱（3个装）</v>
          </cell>
          <cell r="C199" t="str">
            <v>华夫饼系列</v>
          </cell>
          <cell r="D199">
            <v>3</v>
          </cell>
          <cell r="E199">
            <v>41.59</v>
          </cell>
          <cell r="F199">
            <v>24.77</v>
          </cell>
          <cell r="G199">
            <v>33.35</v>
          </cell>
        </row>
        <row r="199">
          <cell r="J199">
            <v>0.034356646405</v>
          </cell>
        </row>
        <row r="200">
          <cell r="A200">
            <v>470692</v>
          </cell>
          <cell r="B200" t="str">
            <v>纸箱（3个装）</v>
          </cell>
          <cell r="C200" t="str">
            <v>酸奶系列</v>
          </cell>
          <cell r="D200">
            <v>3</v>
          </cell>
          <cell r="E200">
            <v>31.43</v>
          </cell>
          <cell r="F200">
            <v>26.9</v>
          </cell>
          <cell r="G200">
            <v>33.35</v>
          </cell>
        </row>
        <row r="200">
          <cell r="J200">
            <v>0.02819632445</v>
          </cell>
        </row>
        <row r="201">
          <cell r="A201" t="str">
            <v>33487（96）</v>
          </cell>
          <cell r="B201" t="str">
            <v>纸箱（96个装）</v>
          </cell>
          <cell r="C201" t="str">
            <v>盲盒小鸭</v>
          </cell>
          <cell r="D201">
            <v>96</v>
          </cell>
          <cell r="E201">
            <v>54.95</v>
          </cell>
          <cell r="F201">
            <v>34.95</v>
          </cell>
          <cell r="G201">
            <v>42.9</v>
          </cell>
        </row>
        <row r="201">
          <cell r="J201">
            <v>0.08238955725</v>
          </cell>
        </row>
        <row r="202">
          <cell r="A202" t="str">
            <v>棉</v>
          </cell>
        </row>
        <row r="202">
          <cell r="E202">
            <v>120</v>
          </cell>
          <cell r="F202">
            <v>110</v>
          </cell>
          <cell r="G202">
            <v>75</v>
          </cell>
        </row>
        <row r="202">
          <cell r="J202">
            <v>0.99</v>
          </cell>
        </row>
        <row r="203">
          <cell r="A203" t="str">
            <v>33369(96）</v>
          </cell>
          <cell r="B203" t="str">
            <v>纸箱（96个装）</v>
          </cell>
          <cell r="C203" t="str">
            <v>迷你搪胶小鸭</v>
          </cell>
          <cell r="D203">
            <v>96</v>
          </cell>
          <cell r="E203">
            <v>39.7</v>
          </cell>
          <cell r="F203">
            <v>22.9</v>
          </cell>
          <cell r="G203">
            <v>30.8</v>
          </cell>
        </row>
        <row r="203">
          <cell r="J203">
            <v>0.028001204</v>
          </cell>
        </row>
        <row r="204">
          <cell r="A204">
            <v>46092</v>
          </cell>
          <cell r="B204" t="str">
            <v>纸箱（10个装）</v>
          </cell>
          <cell r="C204" t="str">
            <v>玩具总动员系列</v>
          </cell>
          <cell r="D204">
            <v>10</v>
          </cell>
          <cell r="E204">
            <v>40.01</v>
          </cell>
          <cell r="F204">
            <v>26.67</v>
          </cell>
          <cell r="G204">
            <v>20.96</v>
          </cell>
        </row>
        <row r="204">
          <cell r="J204">
            <v>0.022365718032</v>
          </cell>
        </row>
        <row r="205">
          <cell r="A205">
            <v>46134</v>
          </cell>
          <cell r="B205" t="str">
            <v>纸箱（10个装）</v>
          </cell>
          <cell r="C205" t="str">
            <v>海洋奇缘系列</v>
          </cell>
          <cell r="D205">
            <v>10</v>
          </cell>
          <cell r="E205">
            <v>40.01</v>
          </cell>
          <cell r="F205">
            <v>26.67</v>
          </cell>
          <cell r="G205">
            <v>20.96</v>
          </cell>
        </row>
        <row r="205">
          <cell r="J205">
            <v>0.022365718032</v>
          </cell>
        </row>
        <row r="206">
          <cell r="A206">
            <v>46132</v>
          </cell>
          <cell r="B206" t="str">
            <v>纸箱（10个装）</v>
          </cell>
          <cell r="C206" t="str">
            <v>赛车总动员系列</v>
          </cell>
          <cell r="D206">
            <v>10</v>
          </cell>
          <cell r="E206">
            <v>40.01</v>
          </cell>
          <cell r="F206">
            <v>26.67</v>
          </cell>
          <cell r="G206">
            <v>20.96</v>
          </cell>
        </row>
        <row r="206">
          <cell r="J206">
            <v>0.022365718032</v>
          </cell>
        </row>
        <row r="207">
          <cell r="A207">
            <v>470745</v>
          </cell>
        </row>
        <row r="207">
          <cell r="D207">
            <v>3</v>
          </cell>
          <cell r="E207">
            <v>32.7</v>
          </cell>
          <cell r="F207">
            <v>31.75</v>
          </cell>
          <cell r="G207">
            <v>33.35</v>
          </cell>
        </row>
        <row r="207">
          <cell r="J207">
            <v>0.03462480375</v>
          </cell>
        </row>
        <row r="208">
          <cell r="A208">
            <v>470746</v>
          </cell>
        </row>
        <row r="208">
          <cell r="D208">
            <v>3</v>
          </cell>
          <cell r="E208">
            <v>41.59</v>
          </cell>
          <cell r="F208">
            <v>33</v>
          </cell>
          <cell r="G208">
            <v>33.35</v>
          </cell>
        </row>
        <row r="208">
          <cell r="J208">
            <v>0.0457718745</v>
          </cell>
        </row>
        <row r="209">
          <cell r="A209">
            <v>470748</v>
          </cell>
        </row>
        <row r="209">
          <cell r="D209">
            <v>3</v>
          </cell>
          <cell r="E209">
            <v>31.43</v>
          </cell>
          <cell r="F209">
            <v>29.85</v>
          </cell>
          <cell r="G209">
            <v>33.35</v>
          </cell>
        </row>
        <row r="209">
          <cell r="J209">
            <v>0.031288486425</v>
          </cell>
        </row>
        <row r="210">
          <cell r="A210">
            <v>470749</v>
          </cell>
        </row>
        <row r="210">
          <cell r="D210">
            <v>3</v>
          </cell>
          <cell r="E210">
            <v>31.43</v>
          </cell>
          <cell r="F210">
            <v>29.85</v>
          </cell>
          <cell r="G210">
            <v>33.35</v>
          </cell>
        </row>
        <row r="210">
          <cell r="J210">
            <v>0.031288486425</v>
          </cell>
        </row>
        <row r="211">
          <cell r="A211">
            <v>470751</v>
          </cell>
        </row>
        <row r="211">
          <cell r="D211">
            <v>3</v>
          </cell>
          <cell r="E211">
            <v>41.59</v>
          </cell>
          <cell r="F211">
            <v>24.77</v>
          </cell>
          <cell r="G211">
            <v>33.35</v>
          </cell>
        </row>
        <row r="211">
          <cell r="J211">
            <v>0.034356646405</v>
          </cell>
        </row>
        <row r="212">
          <cell r="A212">
            <v>470752</v>
          </cell>
        </row>
        <row r="212">
          <cell r="D212">
            <v>3</v>
          </cell>
          <cell r="E212">
            <v>31.43</v>
          </cell>
          <cell r="F212">
            <v>26.9</v>
          </cell>
          <cell r="G212">
            <v>33.35</v>
          </cell>
        </row>
        <row r="212">
          <cell r="J212">
            <v>0.02819632445</v>
          </cell>
        </row>
        <row r="213">
          <cell r="A213">
            <v>470753</v>
          </cell>
        </row>
        <row r="213">
          <cell r="D213">
            <v>3</v>
          </cell>
          <cell r="E213">
            <v>31.43</v>
          </cell>
          <cell r="F213">
            <v>22.86</v>
          </cell>
          <cell r="G213">
            <v>33.34</v>
          </cell>
        </row>
        <row r="213">
          <cell r="J213">
            <v>0.023954449932</v>
          </cell>
        </row>
        <row r="214">
          <cell r="A214">
            <v>470724</v>
          </cell>
        </row>
        <row r="214">
          <cell r="D214">
            <v>2</v>
          </cell>
          <cell r="E214">
            <v>62.55</v>
          </cell>
          <cell r="F214">
            <v>21.59</v>
          </cell>
          <cell r="G214">
            <v>41.59</v>
          </cell>
        </row>
        <row r="214">
          <cell r="J214">
            <v>0.056165402655</v>
          </cell>
        </row>
        <row r="215">
          <cell r="A215">
            <v>320628</v>
          </cell>
        </row>
        <row r="215">
          <cell r="C215" t="str">
            <v>生日趴对</v>
          </cell>
          <cell r="D215">
            <v>4</v>
          </cell>
          <cell r="E215">
            <v>25.75</v>
          </cell>
          <cell r="F215">
            <v>17.78</v>
          </cell>
          <cell r="G215">
            <v>20.64</v>
          </cell>
        </row>
        <row r="215">
          <cell r="J215">
            <v>0.0094497144</v>
          </cell>
        </row>
        <row r="216">
          <cell r="A216" t="str">
            <v>33475（36）</v>
          </cell>
        </row>
        <row r="216">
          <cell r="C216" t="str">
            <v>搪胶小鸭</v>
          </cell>
          <cell r="D216">
            <v>36</v>
          </cell>
          <cell r="E216">
            <v>31.75</v>
          </cell>
          <cell r="F216">
            <v>18.41</v>
          </cell>
          <cell r="G216">
            <v>20.32</v>
          </cell>
        </row>
        <row r="216">
          <cell r="J216">
            <v>0.0118773956</v>
          </cell>
        </row>
        <row r="217">
          <cell r="A217" t="str">
            <v>11369（4）</v>
          </cell>
          <cell r="B217" t="str">
            <v>纸箱（4个装）</v>
          </cell>
          <cell r="C217" t="str">
            <v>投影米奇</v>
          </cell>
          <cell r="D217">
            <v>4</v>
          </cell>
          <cell r="E217">
            <v>64.135</v>
          </cell>
          <cell r="F217">
            <v>36.83</v>
          </cell>
          <cell r="G217">
            <v>42.545</v>
          </cell>
        </row>
        <row r="217">
          <cell r="J217">
            <v>0.10049520626725</v>
          </cell>
        </row>
        <row r="218">
          <cell r="A218" t="str">
            <v>58725(12)</v>
          </cell>
        </row>
        <row r="218">
          <cell r="D218">
            <v>12</v>
          </cell>
          <cell r="E218">
            <v>22.54</v>
          </cell>
          <cell r="F218">
            <v>18.42</v>
          </cell>
          <cell r="G218">
            <v>11.11</v>
          </cell>
        </row>
        <row r="218">
          <cell r="J218">
            <v>0.004612725348</v>
          </cell>
        </row>
        <row r="219">
          <cell r="A219" t="str">
            <v>88188（2）</v>
          </cell>
        </row>
        <row r="219">
          <cell r="C219" t="str">
            <v>背包狗</v>
          </cell>
          <cell r="D219">
            <v>2</v>
          </cell>
          <cell r="E219">
            <v>37.15</v>
          </cell>
          <cell r="F219">
            <v>27.77</v>
          </cell>
          <cell r="G219">
            <v>35.88</v>
          </cell>
        </row>
        <row r="219">
          <cell r="J219">
            <v>0.03701579934</v>
          </cell>
        </row>
        <row r="220">
          <cell r="A220" t="str">
            <v>58725(36)</v>
          </cell>
        </row>
        <row r="220">
          <cell r="D220">
            <v>36</v>
          </cell>
          <cell r="E220">
            <v>31.75</v>
          </cell>
          <cell r="F220">
            <v>18.41</v>
          </cell>
          <cell r="G220">
            <v>20.32</v>
          </cell>
        </row>
        <row r="220">
          <cell r="J220">
            <v>0.0118773956</v>
          </cell>
        </row>
        <row r="221">
          <cell r="A221">
            <v>33580</v>
          </cell>
        </row>
        <row r="221">
          <cell r="C221" t="str">
            <v>搪胶小鸭</v>
          </cell>
          <cell r="D221">
            <v>48</v>
          </cell>
          <cell r="E221">
            <v>35.6</v>
          </cell>
          <cell r="F221">
            <v>23.4</v>
          </cell>
          <cell r="G221">
            <v>19.5</v>
          </cell>
        </row>
        <row r="221">
          <cell r="J221">
            <v>0.01624428</v>
          </cell>
        </row>
        <row r="222">
          <cell r="A222">
            <v>571067</v>
          </cell>
          <cell r="B222" t="str">
            <v>571067-2L（320915/320632/320402）</v>
          </cell>
          <cell r="C222" t="str">
            <v>（320915/632/402）混装</v>
          </cell>
          <cell r="D222">
            <v>4</v>
          </cell>
          <cell r="E222">
            <v>31.5</v>
          </cell>
          <cell r="F222">
            <v>25</v>
          </cell>
          <cell r="G222">
            <v>20</v>
          </cell>
        </row>
        <row r="222">
          <cell r="J222">
            <v>0.01575</v>
          </cell>
        </row>
        <row r="223">
          <cell r="A223">
            <v>470026</v>
          </cell>
          <cell r="B223" t="str">
            <v>470026-2L（470725/320630/320631/320918）</v>
          </cell>
        </row>
        <row r="223">
          <cell r="D223">
            <v>4</v>
          </cell>
          <cell r="E223">
            <v>25</v>
          </cell>
          <cell r="F223">
            <v>20.5</v>
          </cell>
          <cell r="G223">
            <v>20</v>
          </cell>
        </row>
        <row r="223">
          <cell r="J223">
            <v>0.01025</v>
          </cell>
        </row>
        <row r="224">
          <cell r="A224">
            <v>570929</v>
          </cell>
          <cell r="B224" t="str">
            <v>570929（470195/320785/320629/320627）</v>
          </cell>
          <cell r="C224" t="str">
            <v>（195/785/629/627）混装</v>
          </cell>
          <cell r="D224">
            <v>4</v>
          </cell>
          <cell r="E224">
            <v>28.89</v>
          </cell>
          <cell r="F224">
            <v>17.78</v>
          </cell>
          <cell r="G224">
            <v>20</v>
          </cell>
        </row>
        <row r="224">
          <cell r="J224">
            <v>0.010273284</v>
          </cell>
        </row>
        <row r="225">
          <cell r="A225">
            <v>320770</v>
          </cell>
          <cell r="B225" t="str">
            <v>3个装纸箱</v>
          </cell>
          <cell r="C225" t="str">
            <v>320405、406、407混装</v>
          </cell>
          <cell r="D225">
            <v>3</v>
          </cell>
          <cell r="E225">
            <v>31.5</v>
          </cell>
          <cell r="F225">
            <v>27</v>
          </cell>
          <cell r="G225">
            <v>20</v>
          </cell>
        </row>
        <row r="225">
          <cell r="J225">
            <v>0.01701</v>
          </cell>
        </row>
        <row r="226">
          <cell r="A226">
            <v>75280</v>
          </cell>
          <cell r="B226" t="str">
            <v>4个装纸箱</v>
          </cell>
        </row>
        <row r="226">
          <cell r="D226">
            <v>4</v>
          </cell>
          <cell r="E226">
            <v>33.97</v>
          </cell>
          <cell r="F226">
            <v>20.96</v>
          </cell>
          <cell r="G226">
            <v>34.61</v>
          </cell>
        </row>
        <row r="226">
          <cell r="J226">
            <v>0.024642707632</v>
          </cell>
        </row>
        <row r="227">
          <cell r="A227">
            <v>33550</v>
          </cell>
          <cell r="B227" t="str">
            <v>巨鸭</v>
          </cell>
          <cell r="C227" t="str">
            <v>巨鸭</v>
          </cell>
          <cell r="D227">
            <v>6</v>
          </cell>
          <cell r="E227">
            <v>60.5</v>
          </cell>
          <cell r="F227">
            <v>38.7</v>
          </cell>
          <cell r="G227">
            <v>25.7</v>
          </cell>
        </row>
        <row r="227">
          <cell r="J227">
            <v>0.060172695</v>
          </cell>
        </row>
        <row r="228">
          <cell r="A228">
            <v>28458</v>
          </cell>
          <cell r="B228" t="str">
            <v>五款硅胶手感球</v>
          </cell>
          <cell r="C228" t="str">
            <v>五款硅胶手感球</v>
          </cell>
          <cell r="D228">
            <v>15</v>
          </cell>
          <cell r="E228">
            <v>26.99</v>
          </cell>
          <cell r="F228">
            <v>27.31</v>
          </cell>
          <cell r="G228">
            <v>28.26</v>
          </cell>
        </row>
        <row r="228">
          <cell r="J228">
            <v>0.020830358394</v>
          </cell>
        </row>
        <row r="229">
          <cell r="A229">
            <v>28468</v>
          </cell>
          <cell r="B229" t="str">
            <v>大象</v>
          </cell>
          <cell r="C229" t="str">
            <v>大象</v>
          </cell>
          <cell r="D229">
            <v>1</v>
          </cell>
          <cell r="E229">
            <v>30</v>
          </cell>
          <cell r="F229">
            <v>20</v>
          </cell>
          <cell r="G229">
            <v>28</v>
          </cell>
        </row>
        <row r="229">
          <cell r="J229">
            <v>0.0168</v>
          </cell>
        </row>
        <row r="230">
          <cell r="A230">
            <v>28467</v>
          </cell>
          <cell r="B230" t="str">
            <v>青蛙</v>
          </cell>
          <cell r="C230" t="str">
            <v>青蛙</v>
          </cell>
          <cell r="D230">
            <v>1</v>
          </cell>
          <cell r="E230">
            <v>30</v>
          </cell>
          <cell r="F230">
            <v>20</v>
          </cell>
          <cell r="G230">
            <v>28</v>
          </cell>
        </row>
        <row r="230">
          <cell r="J230">
            <v>0.0168</v>
          </cell>
        </row>
        <row r="231">
          <cell r="A231">
            <v>28466</v>
          </cell>
          <cell r="B231" t="str">
            <v>长颈鹿</v>
          </cell>
          <cell r="C231" t="str">
            <v>长颈鹿</v>
          </cell>
          <cell r="D231">
            <v>1</v>
          </cell>
          <cell r="E231">
            <v>30</v>
          </cell>
          <cell r="F231">
            <v>20</v>
          </cell>
          <cell r="G231">
            <v>28</v>
          </cell>
        </row>
        <row r="231">
          <cell r="J231">
            <v>0.0168</v>
          </cell>
        </row>
        <row r="232">
          <cell r="A232">
            <v>28472</v>
          </cell>
          <cell r="B232" t="str">
            <v>狮子</v>
          </cell>
          <cell r="C232" t="str">
            <v>狮子</v>
          </cell>
          <cell r="D232">
            <v>1</v>
          </cell>
          <cell r="E232">
            <v>30</v>
          </cell>
          <cell r="F232">
            <v>17</v>
          </cell>
          <cell r="G232">
            <v>36</v>
          </cell>
        </row>
        <row r="232">
          <cell r="J232">
            <v>0.01836</v>
          </cell>
        </row>
        <row r="233">
          <cell r="A233">
            <v>320923</v>
          </cell>
          <cell r="B233" t="str">
            <v>花店</v>
          </cell>
          <cell r="C233" t="str">
            <v>花店</v>
          </cell>
          <cell r="D233">
            <v>1</v>
          </cell>
          <cell r="E233">
            <v>39.94</v>
          </cell>
          <cell r="F233">
            <v>30.1</v>
          </cell>
          <cell r="G233">
            <v>21.91</v>
          </cell>
        </row>
        <row r="233">
          <cell r="J233">
            <v>0.02634007054</v>
          </cell>
        </row>
        <row r="234">
          <cell r="A234">
            <v>28465</v>
          </cell>
          <cell r="B234" t="str">
            <v>14寸动物</v>
          </cell>
          <cell r="C234" t="str">
            <v>大象&amp;青蛙&amp;长颈鹿</v>
          </cell>
          <cell r="D234">
            <v>6</v>
          </cell>
          <cell r="E234">
            <v>63</v>
          </cell>
          <cell r="F234">
            <v>43</v>
          </cell>
          <cell r="G234">
            <v>30</v>
          </cell>
        </row>
        <row r="234">
          <cell r="J234">
            <v>0.08127</v>
          </cell>
        </row>
        <row r="235">
          <cell r="A235">
            <v>11441</v>
          </cell>
          <cell r="B235" t="str">
            <v>搪胶小鸭</v>
          </cell>
          <cell r="C235" t="str">
            <v>搪胶小鸭</v>
          </cell>
          <cell r="D235">
            <v>45</v>
          </cell>
          <cell r="E235">
            <v>27</v>
          </cell>
          <cell r="F235">
            <v>16.6</v>
          </cell>
          <cell r="G235">
            <v>26.5</v>
          </cell>
        </row>
        <row r="235">
          <cell r="J235">
            <v>0.0118773</v>
          </cell>
        </row>
        <row r="236">
          <cell r="A236">
            <v>14245</v>
          </cell>
          <cell r="B236" t="str">
            <v>磁铁肩膀公仔</v>
          </cell>
          <cell r="C236" t="str">
            <v>磁铁肩膀史迪仔</v>
          </cell>
          <cell r="D236">
            <v>4</v>
          </cell>
          <cell r="E236">
            <v>21.91</v>
          </cell>
          <cell r="F236">
            <v>22.23</v>
          </cell>
          <cell r="G236">
            <v>18.1</v>
          </cell>
        </row>
        <row r="236">
          <cell r="J236">
            <v>0.00881577333</v>
          </cell>
        </row>
        <row r="237">
          <cell r="A237" t="str">
            <v>D70850/470724</v>
          </cell>
          <cell r="B237" t="str">
            <v>火车</v>
          </cell>
        </row>
        <row r="237">
          <cell r="D237">
            <v>12</v>
          </cell>
          <cell r="E237">
            <v>119</v>
          </cell>
          <cell r="F237">
            <v>49</v>
          </cell>
          <cell r="G237">
            <v>111</v>
          </cell>
        </row>
        <row r="237">
          <cell r="J237">
            <v>0.647241</v>
          </cell>
        </row>
        <row r="238">
          <cell r="A238">
            <v>470875</v>
          </cell>
          <cell r="B238" t="str">
            <v>3个装纸箱</v>
          </cell>
          <cell r="C238" t="str">
            <v>320405、406、407混装</v>
          </cell>
          <cell r="D238">
            <v>3</v>
          </cell>
          <cell r="E238">
            <v>31.5</v>
          </cell>
          <cell r="F238">
            <v>27</v>
          </cell>
          <cell r="G238">
            <v>20</v>
          </cell>
          <cell r="H238">
            <v>1.5</v>
          </cell>
          <cell r="I238">
            <v>1.83</v>
          </cell>
          <cell r="J238">
            <v>0.01701</v>
          </cell>
        </row>
        <row r="239">
          <cell r="A239" t="str">
            <v>470689（12）</v>
          </cell>
          <cell r="B239" t="str">
            <v>12个装纸箱</v>
          </cell>
        </row>
        <row r="239">
          <cell r="D239">
            <v>12</v>
          </cell>
          <cell r="E239">
            <v>57.5</v>
          </cell>
          <cell r="F239">
            <v>30.8</v>
          </cell>
          <cell r="G239">
            <v>62</v>
          </cell>
        </row>
        <row r="239">
          <cell r="J239">
            <v>0.109802</v>
          </cell>
        </row>
        <row r="240">
          <cell r="A240" t="str">
            <v>470688（12）</v>
          </cell>
          <cell r="B240" t="str">
            <v>12个装纸箱</v>
          </cell>
        </row>
        <row r="240">
          <cell r="D240">
            <v>12</v>
          </cell>
          <cell r="E240">
            <v>57.5</v>
          </cell>
          <cell r="F240">
            <v>30.8</v>
          </cell>
          <cell r="G240">
            <v>62</v>
          </cell>
        </row>
        <row r="240">
          <cell r="J240">
            <v>0.109802</v>
          </cell>
        </row>
        <row r="241">
          <cell r="A241" t="str">
            <v>胶筐</v>
          </cell>
          <cell r="B241" t="str">
            <v>胶筐</v>
          </cell>
        </row>
        <row r="241">
          <cell r="D241">
            <v>1</v>
          </cell>
          <cell r="E241">
            <v>68</v>
          </cell>
          <cell r="F241">
            <v>48</v>
          </cell>
          <cell r="G241">
            <v>40</v>
          </cell>
        </row>
        <row r="241">
          <cell r="J241">
            <v>0.13056</v>
          </cell>
        </row>
        <row r="242">
          <cell r="A242" t="str">
            <v>33630（36）</v>
          </cell>
          <cell r="B242" t="str">
            <v>搪胶小鸭</v>
          </cell>
          <cell r="C242" t="str">
            <v>搪胶小鸭</v>
          </cell>
          <cell r="D242">
            <v>36</v>
          </cell>
          <cell r="E242">
            <v>31.75</v>
          </cell>
          <cell r="F242">
            <v>18.41</v>
          </cell>
          <cell r="G242">
            <v>20.32</v>
          </cell>
        </row>
        <row r="242">
          <cell r="J242">
            <v>0.0118773956</v>
          </cell>
        </row>
        <row r="243">
          <cell r="A243" t="str">
            <v>27694（2）</v>
          </cell>
          <cell r="B243" t="str">
            <v>侏罗纪棘龙</v>
          </cell>
        </row>
        <row r="243">
          <cell r="D243">
            <v>2</v>
          </cell>
          <cell r="E243">
            <v>41</v>
          </cell>
          <cell r="F243">
            <v>41</v>
          </cell>
          <cell r="G243">
            <v>35</v>
          </cell>
        </row>
        <row r="243">
          <cell r="J243">
            <v>0.058835</v>
          </cell>
        </row>
        <row r="244">
          <cell r="A244" t="str">
            <v>27694（3）</v>
          </cell>
          <cell r="B244" t="str">
            <v>侏罗纪棘龙</v>
          </cell>
        </row>
        <row r="244">
          <cell r="D244">
            <v>3</v>
          </cell>
          <cell r="E244">
            <v>60</v>
          </cell>
          <cell r="F244">
            <v>44</v>
          </cell>
          <cell r="G244">
            <v>35</v>
          </cell>
        </row>
        <row r="244">
          <cell r="J244">
            <v>0.0924</v>
          </cell>
        </row>
        <row r="245">
          <cell r="A245" t="str">
            <v>33490（36）</v>
          </cell>
          <cell r="B245" t="str">
            <v>搪胶小鸭</v>
          </cell>
          <cell r="C245" t="str">
            <v>搪胶小鸭</v>
          </cell>
          <cell r="D245">
            <v>36</v>
          </cell>
          <cell r="E245">
            <v>33.02</v>
          </cell>
          <cell r="F245">
            <v>18.41</v>
          </cell>
          <cell r="G245">
            <v>20.3</v>
          </cell>
        </row>
        <row r="245">
          <cell r="J245">
            <v>0.01234033346</v>
          </cell>
        </row>
        <row r="246">
          <cell r="A246" t="str">
            <v>58725(18)</v>
          </cell>
          <cell r="B246" t="str">
            <v>搪胶小鸭</v>
          </cell>
        </row>
        <row r="246">
          <cell r="D246">
            <v>18</v>
          </cell>
          <cell r="E246">
            <v>49.53</v>
          </cell>
          <cell r="F246">
            <v>15.25</v>
          </cell>
          <cell r="G246">
            <v>11.45</v>
          </cell>
        </row>
        <row r="246">
          <cell r="J246">
            <v>0.008648557125</v>
          </cell>
        </row>
        <row r="247">
          <cell r="A247" t="str">
            <v>D70950/470764</v>
          </cell>
          <cell r="B247" t="str">
            <v>15个装</v>
          </cell>
        </row>
        <row r="247">
          <cell r="D247">
            <v>15</v>
          </cell>
          <cell r="E247">
            <v>120.5</v>
          </cell>
          <cell r="F247">
            <v>48.5</v>
          </cell>
          <cell r="G247">
            <v>92</v>
          </cell>
        </row>
        <row r="247">
          <cell r="J247">
            <v>0.537671</v>
          </cell>
        </row>
        <row r="248">
          <cell r="A248">
            <v>14225</v>
          </cell>
          <cell r="B248" t="str">
            <v>8个装纸箱</v>
          </cell>
          <cell r="C248" t="str">
            <v>磁铁肩膀史迪仔</v>
          </cell>
          <cell r="D248">
            <v>8</v>
          </cell>
          <cell r="E248">
            <v>30.48</v>
          </cell>
          <cell r="F248">
            <v>27.67</v>
          </cell>
          <cell r="G248">
            <v>15.24</v>
          </cell>
        </row>
        <row r="248">
          <cell r="J248">
            <v>0.012853135584</v>
          </cell>
        </row>
        <row r="249">
          <cell r="A249" t="str">
            <v>14225（21）</v>
          </cell>
          <cell r="B249" t="str">
            <v>21个装纸箱</v>
          </cell>
        </row>
        <row r="249">
          <cell r="D249">
            <v>21</v>
          </cell>
          <cell r="E249">
            <v>125</v>
          </cell>
          <cell r="F249">
            <v>35</v>
          </cell>
          <cell r="G249">
            <v>16</v>
          </cell>
        </row>
        <row r="249">
          <cell r="J249">
            <v>0.07</v>
          </cell>
        </row>
        <row r="250">
          <cell r="A250">
            <v>46489</v>
          </cell>
          <cell r="B250" t="str">
            <v>史迪仔</v>
          </cell>
        </row>
        <row r="250">
          <cell r="D250">
            <v>12</v>
          </cell>
          <cell r="E250">
            <v>121.5</v>
          </cell>
          <cell r="F250">
            <v>53.5</v>
          </cell>
          <cell r="G250">
            <v>115</v>
          </cell>
        </row>
        <row r="250">
          <cell r="J250">
            <v>0.74752875</v>
          </cell>
        </row>
        <row r="251">
          <cell r="A251" t="str">
            <v>D70950(470764)</v>
          </cell>
        </row>
        <row r="251">
          <cell r="D251">
            <v>15</v>
          </cell>
          <cell r="E251">
            <v>120.5</v>
          </cell>
          <cell r="F251">
            <v>48.5</v>
          </cell>
          <cell r="G251">
            <v>92</v>
          </cell>
        </row>
        <row r="251">
          <cell r="J251">
            <v>0.537671</v>
          </cell>
        </row>
        <row r="252">
          <cell r="A252" t="str">
            <v>D70850(470724)</v>
          </cell>
        </row>
        <row r="252">
          <cell r="D252">
            <v>12</v>
          </cell>
          <cell r="E252">
            <v>119</v>
          </cell>
          <cell r="F252">
            <v>49</v>
          </cell>
          <cell r="G252">
            <v>111</v>
          </cell>
        </row>
        <row r="252">
          <cell r="J252">
            <v>0.647241</v>
          </cell>
        </row>
        <row r="253">
          <cell r="A253">
            <v>33410</v>
          </cell>
        </row>
        <row r="253">
          <cell r="C253" t="str">
            <v>搪胶小鸭</v>
          </cell>
          <cell r="D253">
            <v>400</v>
          </cell>
          <cell r="E253">
            <v>52.83</v>
          </cell>
          <cell r="F253">
            <v>52.32</v>
          </cell>
          <cell r="G253">
            <v>113</v>
          </cell>
        </row>
        <row r="253">
          <cell r="J253">
            <v>0.3123394128</v>
          </cell>
        </row>
        <row r="254">
          <cell r="A254" t="str">
            <v>14265（18）</v>
          </cell>
          <cell r="B254" t="str">
            <v>钥匙扣系列</v>
          </cell>
          <cell r="C254" t="str">
            <v>钥匙扣系列</v>
          </cell>
          <cell r="D254">
            <v>18</v>
          </cell>
          <cell r="E254">
            <v>42.48</v>
          </cell>
          <cell r="F254">
            <v>22.8</v>
          </cell>
          <cell r="G254">
            <v>15.5</v>
          </cell>
        </row>
        <row r="254">
          <cell r="J254">
            <v>0.015012432</v>
          </cell>
        </row>
        <row r="255">
          <cell r="A255" t="str">
            <v>卡板</v>
          </cell>
        </row>
        <row r="255">
          <cell r="E255">
            <v>107</v>
          </cell>
          <cell r="F255">
            <v>48</v>
          </cell>
          <cell r="G255">
            <v>12</v>
          </cell>
        </row>
        <row r="255">
          <cell r="J255">
            <v>0.061632</v>
          </cell>
        </row>
        <row r="256">
          <cell r="A256">
            <v>14746</v>
          </cell>
        </row>
        <row r="256">
          <cell r="C256" t="str">
            <v>坐姿米奇</v>
          </cell>
          <cell r="D256">
            <v>12</v>
          </cell>
          <cell r="E256">
            <v>61.5</v>
          </cell>
          <cell r="F256">
            <v>51</v>
          </cell>
          <cell r="G256">
            <v>34.5</v>
          </cell>
        </row>
        <row r="256">
          <cell r="J256">
            <v>0.10820925</v>
          </cell>
        </row>
        <row r="257">
          <cell r="A257">
            <v>33611</v>
          </cell>
          <cell r="B257" t="str">
            <v>18个装纸箱</v>
          </cell>
          <cell r="C257" t="str">
            <v>搪胶小鸭</v>
          </cell>
          <cell r="D257">
            <v>18</v>
          </cell>
          <cell r="E257">
            <v>32.39</v>
          </cell>
          <cell r="F257">
            <v>17.78</v>
          </cell>
          <cell r="G257">
            <v>9.53</v>
          </cell>
        </row>
        <row r="257">
          <cell r="J257">
            <v>0.005488271726</v>
          </cell>
        </row>
        <row r="258">
          <cell r="A258">
            <v>33612</v>
          </cell>
          <cell r="B258" t="str">
            <v>18个装纸箱</v>
          </cell>
          <cell r="C258" t="str">
            <v>搪胶小鸭</v>
          </cell>
          <cell r="D258">
            <v>18</v>
          </cell>
          <cell r="E258">
            <v>32.39</v>
          </cell>
          <cell r="F258">
            <v>17.78</v>
          </cell>
          <cell r="G258">
            <v>9.53</v>
          </cell>
        </row>
        <row r="258">
          <cell r="J258">
            <v>0.005488271726</v>
          </cell>
        </row>
        <row r="259">
          <cell r="A259">
            <v>33613</v>
          </cell>
          <cell r="B259" t="str">
            <v>18个装纸箱</v>
          </cell>
          <cell r="C259" t="str">
            <v>搪胶小鸭</v>
          </cell>
          <cell r="D259">
            <v>18</v>
          </cell>
          <cell r="E259">
            <v>32.39</v>
          </cell>
          <cell r="F259">
            <v>17.78</v>
          </cell>
          <cell r="G259">
            <v>9.53</v>
          </cell>
        </row>
        <row r="259">
          <cell r="J259">
            <v>0.005488271726</v>
          </cell>
        </row>
        <row r="260">
          <cell r="A260">
            <v>33614</v>
          </cell>
          <cell r="B260" t="str">
            <v>18个装纸箱</v>
          </cell>
          <cell r="C260" t="str">
            <v>搪胶小鸭</v>
          </cell>
          <cell r="D260">
            <v>18</v>
          </cell>
          <cell r="E260">
            <v>32.39</v>
          </cell>
          <cell r="F260">
            <v>17.78</v>
          </cell>
          <cell r="G260">
            <v>9.53</v>
          </cell>
        </row>
        <row r="260">
          <cell r="J260">
            <v>0.005488271726</v>
          </cell>
        </row>
        <row r="261">
          <cell r="A261">
            <v>41502</v>
          </cell>
          <cell r="B261" t="str">
            <v>4个装纸箱</v>
          </cell>
          <cell r="C261" t="str">
            <v>梅根头</v>
          </cell>
          <cell r="D261">
            <v>18</v>
          </cell>
          <cell r="E261">
            <v>43.18</v>
          </cell>
          <cell r="F261">
            <v>35.56</v>
          </cell>
          <cell r="G261">
            <v>36.2</v>
          </cell>
        </row>
        <row r="261">
          <cell r="J261">
            <v>0.05558440496</v>
          </cell>
        </row>
        <row r="262">
          <cell r="A262" t="str">
            <v>14747(12)</v>
          </cell>
          <cell r="B262" t="str">
            <v>12个装纸箱</v>
          </cell>
        </row>
        <row r="262">
          <cell r="D262">
            <v>12</v>
          </cell>
          <cell r="E262">
            <v>60.96</v>
          </cell>
          <cell r="F262">
            <v>51.8</v>
          </cell>
          <cell r="G262">
            <v>33.02</v>
          </cell>
        </row>
        <row r="262">
          <cell r="J262">
            <v>0.10426817856</v>
          </cell>
        </row>
        <row r="263">
          <cell r="A263" t="str">
            <v>14746(12)</v>
          </cell>
          <cell r="B263" t="str">
            <v>12个装纸箱</v>
          </cell>
        </row>
        <row r="263">
          <cell r="D263">
            <v>12</v>
          </cell>
          <cell r="E263">
            <v>60.96</v>
          </cell>
          <cell r="F263">
            <v>51.8</v>
          </cell>
          <cell r="G263">
            <v>33.02</v>
          </cell>
        </row>
        <row r="263">
          <cell r="J263">
            <v>0.10426817856</v>
          </cell>
        </row>
        <row r="264">
          <cell r="A264">
            <v>58770</v>
          </cell>
          <cell r="B264" t="str">
            <v>12个装纸箱</v>
          </cell>
          <cell r="C264" t="str">
            <v>搪胶小鸭</v>
          </cell>
          <cell r="D264">
            <v>12</v>
          </cell>
          <cell r="E264">
            <v>22.54</v>
          </cell>
          <cell r="F264">
            <v>18.42</v>
          </cell>
          <cell r="G264">
            <v>11.11</v>
          </cell>
        </row>
        <row r="264">
          <cell r="J264">
            <v>0.004612725348</v>
          </cell>
        </row>
        <row r="265">
          <cell r="A265">
            <v>11783</v>
          </cell>
          <cell r="B265" t="str">
            <v>24个装纸箱</v>
          </cell>
          <cell r="C265" t="str">
            <v>搪胶小鸭</v>
          </cell>
          <cell r="D265">
            <v>24</v>
          </cell>
          <cell r="E265">
            <v>25.72</v>
          </cell>
          <cell r="F265">
            <v>19.69</v>
          </cell>
          <cell r="G265">
            <v>28.26</v>
          </cell>
        </row>
        <row r="265">
          <cell r="J265">
            <v>0.014311621368</v>
          </cell>
        </row>
        <row r="266">
          <cell r="A266">
            <v>11781</v>
          </cell>
          <cell r="B266" t="str">
            <v>24个装纸箱</v>
          </cell>
          <cell r="C266" t="str">
            <v>搪胶小鸭</v>
          </cell>
          <cell r="D266">
            <v>24</v>
          </cell>
          <cell r="E266">
            <v>25.72</v>
          </cell>
          <cell r="F266">
            <v>19.69</v>
          </cell>
          <cell r="G266">
            <v>28.26</v>
          </cell>
        </row>
        <row r="266">
          <cell r="J266">
            <v>0.014311621368</v>
          </cell>
        </row>
        <row r="267">
          <cell r="A267">
            <v>11782</v>
          </cell>
          <cell r="B267" t="str">
            <v>24个装纸箱</v>
          </cell>
          <cell r="C267" t="str">
            <v>搪胶小鸭</v>
          </cell>
          <cell r="D267">
            <v>24</v>
          </cell>
          <cell r="E267">
            <v>25.72</v>
          </cell>
          <cell r="F267">
            <v>19.69</v>
          </cell>
          <cell r="G267">
            <v>28.26</v>
          </cell>
        </row>
        <row r="267">
          <cell r="J267">
            <v>0.014311621368</v>
          </cell>
        </row>
        <row r="268">
          <cell r="A268">
            <v>45586</v>
          </cell>
          <cell r="B268" t="str">
            <v>24个装纸箱</v>
          </cell>
        </row>
        <row r="268">
          <cell r="D268">
            <v>24</v>
          </cell>
          <cell r="E268">
            <v>25.72</v>
          </cell>
          <cell r="F268">
            <v>19.69</v>
          </cell>
          <cell r="G268">
            <v>28.26</v>
          </cell>
        </row>
        <row r="268">
          <cell r="J268">
            <v>0.014311621368</v>
          </cell>
        </row>
        <row r="269">
          <cell r="A269">
            <v>570974</v>
          </cell>
          <cell r="B269" t="str">
            <v>1个装纸箱</v>
          </cell>
          <cell r="C269" t="str">
            <v>蓝球</v>
          </cell>
          <cell r="D269">
            <v>1</v>
          </cell>
          <cell r="E269">
            <v>59.05</v>
          </cell>
          <cell r="F269">
            <v>26.04</v>
          </cell>
          <cell r="G269">
            <v>55.88</v>
          </cell>
        </row>
        <row r="269">
          <cell r="J269">
            <v>0.08592455256</v>
          </cell>
        </row>
        <row r="270">
          <cell r="A270">
            <v>570975</v>
          </cell>
          <cell r="B270" t="str">
            <v>1个装纸箱</v>
          </cell>
          <cell r="C270" t="str">
            <v>棒球</v>
          </cell>
          <cell r="D270">
            <v>1</v>
          </cell>
          <cell r="E270">
            <v>30.48</v>
          </cell>
          <cell r="F270">
            <v>11.795</v>
          </cell>
          <cell r="G270">
            <v>53.34</v>
          </cell>
        </row>
        <row r="270">
          <cell r="J270">
            <v>0.019176348744</v>
          </cell>
        </row>
        <row r="271">
          <cell r="A271">
            <v>25250</v>
          </cell>
          <cell r="B271" t="str">
            <v>6个装纸箱</v>
          </cell>
          <cell r="C271" t="str">
            <v>磁铁公仔</v>
          </cell>
          <cell r="D271">
            <v>6</v>
          </cell>
          <cell r="E271">
            <v>32.4</v>
          </cell>
          <cell r="F271">
            <v>21</v>
          </cell>
          <cell r="G271">
            <v>17.8</v>
          </cell>
        </row>
        <row r="271">
          <cell r="J271">
            <v>0.01211112</v>
          </cell>
        </row>
        <row r="272">
          <cell r="A272">
            <v>45188</v>
          </cell>
          <cell r="B272" t="str">
            <v>6个装纸箱</v>
          </cell>
        </row>
        <row r="272">
          <cell r="D272">
            <v>6</v>
          </cell>
          <cell r="E272">
            <v>32.4</v>
          </cell>
          <cell r="F272">
            <v>21</v>
          </cell>
          <cell r="G272">
            <v>17.8</v>
          </cell>
        </row>
        <row r="272">
          <cell r="J272">
            <v>0.01211112</v>
          </cell>
        </row>
        <row r="273">
          <cell r="A273">
            <v>11884</v>
          </cell>
        </row>
        <row r="273">
          <cell r="D273">
            <v>8</v>
          </cell>
          <cell r="E273">
            <v>25.72</v>
          </cell>
          <cell r="F273">
            <v>19.69</v>
          </cell>
          <cell r="G273">
            <v>28.26</v>
          </cell>
        </row>
        <row r="273">
          <cell r="J273">
            <v>0.014311621368</v>
          </cell>
        </row>
        <row r="274">
          <cell r="A274">
            <v>46097</v>
          </cell>
          <cell r="B274" t="str">
            <v>纸箱（10个装）</v>
          </cell>
          <cell r="C274" t="str">
            <v>小熊维尼历险记系列</v>
          </cell>
          <cell r="D274">
            <v>10</v>
          </cell>
          <cell r="E274">
            <v>40.01</v>
          </cell>
          <cell r="F274">
            <v>26.67</v>
          </cell>
          <cell r="G274">
            <v>20.96</v>
          </cell>
        </row>
        <row r="274">
          <cell r="J274">
            <v>0.022365718032</v>
          </cell>
        </row>
        <row r="275">
          <cell r="A275">
            <v>570989</v>
          </cell>
          <cell r="B275" t="str">
            <v>纸箱（27个装）</v>
          </cell>
          <cell r="C275" t="str">
            <v>盲盒系列</v>
          </cell>
          <cell r="D275">
            <v>27</v>
          </cell>
          <cell r="E275">
            <v>31.115</v>
          </cell>
          <cell r="F275">
            <v>22.59</v>
          </cell>
          <cell r="G275">
            <v>15.875</v>
          </cell>
        </row>
        <row r="275">
          <cell r="J275">
            <v>0.01115834461875</v>
          </cell>
        </row>
        <row r="276">
          <cell r="A276" t="str">
            <v>14225（6）</v>
          </cell>
          <cell r="B276" t="str">
            <v>纸箱（6个装）</v>
          </cell>
        </row>
        <row r="276">
          <cell r="D276">
            <v>6</v>
          </cell>
          <cell r="E276">
            <v>32.39</v>
          </cell>
          <cell r="F276">
            <v>20.32</v>
          </cell>
          <cell r="G276">
            <v>17.15</v>
          </cell>
        </row>
        <row r="276">
          <cell r="J276">
            <v>0.01128752632</v>
          </cell>
        </row>
        <row r="277">
          <cell r="A277" t="str">
            <v>33769（72）</v>
          </cell>
          <cell r="B277" t="str">
            <v>纸箱（24个装）</v>
          </cell>
          <cell r="C277" t="str">
            <v>搪胶小鸭</v>
          </cell>
          <cell r="D277">
            <v>72</v>
          </cell>
          <cell r="E277">
            <v>25.4</v>
          </cell>
          <cell r="F277">
            <v>24.765</v>
          </cell>
          <cell r="G277">
            <v>31.75</v>
          </cell>
        </row>
        <row r="277">
          <cell r="J277">
            <v>0.01997173425</v>
          </cell>
        </row>
        <row r="278">
          <cell r="A278">
            <v>28481</v>
          </cell>
          <cell r="B278" t="str">
            <v>骰子</v>
          </cell>
          <cell r="C278" t="str">
            <v>骰子</v>
          </cell>
          <cell r="D278">
            <v>4</v>
          </cell>
          <cell r="E278">
            <v>23.81</v>
          </cell>
          <cell r="F278">
            <v>17.78</v>
          </cell>
          <cell r="G278">
            <v>23.81</v>
          </cell>
        </row>
        <row r="278">
          <cell r="J278">
            <v>0.010079768258</v>
          </cell>
        </row>
        <row r="279">
          <cell r="A279">
            <v>28483</v>
          </cell>
          <cell r="B279" t="str">
            <v>振动球</v>
          </cell>
          <cell r="C279" t="str">
            <v>振动球</v>
          </cell>
          <cell r="D279">
            <v>1</v>
          </cell>
          <cell r="E279">
            <v>16.83</v>
          </cell>
          <cell r="F279">
            <v>17.15</v>
          </cell>
          <cell r="G279">
            <v>20</v>
          </cell>
        </row>
        <row r="279">
          <cell r="J279">
            <v>0.00577269</v>
          </cell>
        </row>
        <row r="280">
          <cell r="A280">
            <v>82165</v>
          </cell>
          <cell r="B280" t="str">
            <v>纸箱（8个装）</v>
          </cell>
        </row>
        <row r="280">
          <cell r="D280">
            <v>8</v>
          </cell>
          <cell r="E280">
            <v>25.72</v>
          </cell>
          <cell r="F280">
            <v>19.69</v>
          </cell>
          <cell r="G280">
            <v>28.26</v>
          </cell>
        </row>
        <row r="280">
          <cell r="J280">
            <v>0.014311621368</v>
          </cell>
        </row>
        <row r="281">
          <cell r="A281">
            <v>571299</v>
          </cell>
          <cell r="B281" t="str">
            <v>自卸车</v>
          </cell>
          <cell r="C281" t="str">
            <v>自卸车</v>
          </cell>
          <cell r="D281">
            <v>1</v>
          </cell>
          <cell r="E281">
            <v>42</v>
          </cell>
          <cell r="F281">
            <v>22</v>
          </cell>
          <cell r="G281">
            <v>29</v>
          </cell>
        </row>
        <row r="281">
          <cell r="J281">
            <v>0.026796</v>
          </cell>
        </row>
        <row r="282">
          <cell r="A282" t="str">
            <v>14878（8）</v>
          </cell>
          <cell r="B282" t="str">
            <v>8个装纸箱</v>
          </cell>
        </row>
        <row r="282">
          <cell r="D282">
            <v>8</v>
          </cell>
          <cell r="E282">
            <v>57.785</v>
          </cell>
          <cell r="F282">
            <v>57.15</v>
          </cell>
          <cell r="G282">
            <v>25.4</v>
          </cell>
        </row>
        <row r="282">
          <cell r="J282">
            <v>0.08388128385</v>
          </cell>
        </row>
        <row r="283">
          <cell r="A283">
            <v>21150</v>
          </cell>
          <cell r="B283" t="str">
            <v>纸箱（12个装）</v>
          </cell>
          <cell r="C283" t="str">
            <v>豆袋系列</v>
          </cell>
          <cell r="D283">
            <v>12</v>
          </cell>
          <cell r="E283">
            <v>41.91</v>
          </cell>
          <cell r="F283">
            <v>32.75</v>
          </cell>
          <cell r="G283">
            <v>12.065</v>
          </cell>
        </row>
        <row r="283">
          <cell r="J283">
            <v>0.0165598459125</v>
          </cell>
        </row>
        <row r="284">
          <cell r="A284" t="str">
            <v>33735（12）</v>
          </cell>
          <cell r="B284" t="str">
            <v>纸箱（12个装）</v>
          </cell>
          <cell r="C284" t="str">
            <v>搪胶小鸭</v>
          </cell>
          <cell r="D284">
            <v>12</v>
          </cell>
          <cell r="E284">
            <v>22.5</v>
          </cell>
          <cell r="F284">
            <v>19.5</v>
          </cell>
          <cell r="G284">
            <v>11.3</v>
          </cell>
        </row>
        <row r="284">
          <cell r="J284">
            <v>0.004957875</v>
          </cell>
        </row>
        <row r="285">
          <cell r="A285" t="str">
            <v>33735（18）</v>
          </cell>
          <cell r="B285" t="str">
            <v>纸箱（18个装）</v>
          </cell>
          <cell r="C285" t="str">
            <v>搪胶小鸭</v>
          </cell>
          <cell r="D285">
            <v>18</v>
          </cell>
          <cell r="E285">
            <v>32.5</v>
          </cell>
          <cell r="F285">
            <v>18.3</v>
          </cell>
          <cell r="G285">
            <v>10.7</v>
          </cell>
        </row>
        <row r="285">
          <cell r="J285">
            <v>0.006363825</v>
          </cell>
        </row>
        <row r="286">
          <cell r="A286" t="str">
            <v>33475（192）</v>
          </cell>
          <cell r="B286" t="str">
            <v>纸箱（192个装）</v>
          </cell>
          <cell r="C286" t="str">
            <v>搪胶小鸭</v>
          </cell>
          <cell r="D286">
            <v>192</v>
          </cell>
          <cell r="E286">
            <v>32.7</v>
          </cell>
          <cell r="F286">
            <v>27.8</v>
          </cell>
          <cell r="G286">
            <v>41.6</v>
          </cell>
        </row>
        <row r="286">
          <cell r="J286">
            <v>0.037816896</v>
          </cell>
        </row>
        <row r="287">
          <cell r="A287" t="str">
            <v>33735（36）</v>
          </cell>
          <cell r="B287" t="str">
            <v>纸箱（36个装）</v>
          </cell>
          <cell r="C287" t="str">
            <v>搪胶小鸭</v>
          </cell>
          <cell r="D287">
            <v>36</v>
          </cell>
          <cell r="E287">
            <v>39.3</v>
          </cell>
          <cell r="F287">
            <v>35</v>
          </cell>
          <cell r="G287">
            <v>14.1</v>
          </cell>
        </row>
        <row r="287">
          <cell r="J287">
            <v>0.01939455</v>
          </cell>
        </row>
        <row r="288">
          <cell r="A288">
            <v>46133</v>
          </cell>
        </row>
        <row r="288">
          <cell r="C288" t="str">
            <v>小美人鱼系列</v>
          </cell>
          <cell r="D288">
            <v>2</v>
          </cell>
          <cell r="E288">
            <v>40.01</v>
          </cell>
          <cell r="F288">
            <v>26.67</v>
          </cell>
          <cell r="G288">
            <v>20.96</v>
          </cell>
        </row>
        <row r="288">
          <cell r="J288">
            <v>0.022365718032</v>
          </cell>
        </row>
        <row r="289">
          <cell r="A289">
            <v>46099</v>
          </cell>
        </row>
        <row r="289">
          <cell r="C289" t="str">
            <v>米奇老鼠系列</v>
          </cell>
          <cell r="D289">
            <v>2</v>
          </cell>
          <cell r="E289">
            <v>40.01</v>
          </cell>
          <cell r="F289">
            <v>26.67</v>
          </cell>
          <cell r="G289">
            <v>20.96</v>
          </cell>
        </row>
        <row r="289">
          <cell r="J289">
            <v>0.022365718032</v>
          </cell>
        </row>
        <row r="290">
          <cell r="A290" t="str">
            <v>33475（48）</v>
          </cell>
          <cell r="B290" t="str">
            <v>48个装纸箱</v>
          </cell>
          <cell r="C290" t="str">
            <v>搪胶小鸭</v>
          </cell>
          <cell r="D290">
            <v>48</v>
          </cell>
          <cell r="E290">
            <v>34.925</v>
          </cell>
          <cell r="F290">
            <v>22.225</v>
          </cell>
          <cell r="G290">
            <v>19.05</v>
          </cell>
        </row>
        <row r="290">
          <cell r="J290">
            <v>0.01478676478125</v>
          </cell>
        </row>
        <row r="291">
          <cell r="A291" t="str">
            <v>33490（48）</v>
          </cell>
          <cell r="B291" t="str">
            <v>48个装纸箱</v>
          </cell>
          <cell r="C291" t="str">
            <v>搪胶小鸭</v>
          </cell>
          <cell r="D291">
            <v>48</v>
          </cell>
          <cell r="E291">
            <v>34.925</v>
          </cell>
          <cell r="F291">
            <v>22.225</v>
          </cell>
          <cell r="G291">
            <v>19.05</v>
          </cell>
        </row>
        <row r="291">
          <cell r="J291">
            <v>0.01478676478125</v>
          </cell>
        </row>
        <row r="292">
          <cell r="A292" t="str">
            <v>33658（8）</v>
          </cell>
          <cell r="B292" t="str">
            <v>8个装纸箱</v>
          </cell>
          <cell r="C292" t="str">
            <v>我爱纽约组合小鸭</v>
          </cell>
          <cell r="D292">
            <v>8</v>
          </cell>
          <cell r="E292">
            <v>33</v>
          </cell>
          <cell r="F292">
            <v>16.7</v>
          </cell>
          <cell r="G292">
            <v>14.3</v>
          </cell>
        </row>
        <row r="292">
          <cell r="J292">
            <v>0.00788073</v>
          </cell>
        </row>
        <row r="293">
          <cell r="A293" t="str">
            <v>33708（8）</v>
          </cell>
          <cell r="B293" t="str">
            <v>8个装纸箱</v>
          </cell>
          <cell r="C293" t="str">
            <v>搪胶小鸭</v>
          </cell>
          <cell r="D293">
            <v>8</v>
          </cell>
          <cell r="E293">
            <v>33</v>
          </cell>
          <cell r="F293">
            <v>16.7</v>
          </cell>
          <cell r="G293">
            <v>14.3</v>
          </cell>
        </row>
        <row r="293">
          <cell r="J293">
            <v>0.00788073</v>
          </cell>
        </row>
        <row r="294">
          <cell r="A294">
            <v>33429</v>
          </cell>
        </row>
        <row r="294">
          <cell r="C294" t="str">
            <v>搪胶小鸭</v>
          </cell>
        </row>
        <row r="295">
          <cell r="A295">
            <v>33477</v>
          </cell>
        </row>
        <row r="295">
          <cell r="C295" t="str">
            <v>搪小鸭外星史迪仔</v>
          </cell>
        </row>
        <row r="296">
          <cell r="A296">
            <v>33476</v>
          </cell>
        </row>
        <row r="296">
          <cell r="C296" t="str">
            <v>搪小鸭天使</v>
          </cell>
        </row>
        <row r="297">
          <cell r="A297">
            <v>46462</v>
          </cell>
          <cell r="B297" t="str">
            <v>纸箱（2个装）</v>
          </cell>
          <cell r="C297" t="str">
            <v>史迪仔系列</v>
          </cell>
          <cell r="D297">
            <v>2</v>
          </cell>
          <cell r="E297">
            <v>40.01</v>
          </cell>
          <cell r="F297">
            <v>26.67</v>
          </cell>
          <cell r="G297">
            <v>20.96</v>
          </cell>
        </row>
        <row r="297">
          <cell r="J297">
            <v>0.022365718032</v>
          </cell>
        </row>
        <row r="298">
          <cell r="A298">
            <v>46496</v>
          </cell>
          <cell r="B298" t="str">
            <v>纸箱（2个装）</v>
          </cell>
          <cell r="C298" t="str">
            <v>米妮系列</v>
          </cell>
          <cell r="D298">
            <v>2</v>
          </cell>
          <cell r="E298">
            <v>40.01</v>
          </cell>
          <cell r="F298">
            <v>26.67</v>
          </cell>
          <cell r="G298">
            <v>20.96</v>
          </cell>
        </row>
        <row r="298">
          <cell r="J298">
            <v>0.022365718032</v>
          </cell>
        </row>
        <row r="299">
          <cell r="A299">
            <v>571412</v>
          </cell>
        </row>
        <row r="299">
          <cell r="C299" t="str">
            <v>绿色金属车</v>
          </cell>
          <cell r="D299">
            <v>2</v>
          </cell>
          <cell r="E299">
            <v>41</v>
          </cell>
          <cell r="F299">
            <v>38</v>
          </cell>
          <cell r="G299">
            <v>24</v>
          </cell>
        </row>
        <row r="299">
          <cell r="J299">
            <v>0.037392</v>
          </cell>
        </row>
        <row r="300">
          <cell r="A300">
            <v>571388</v>
          </cell>
        </row>
        <row r="300">
          <cell r="C300" t="str">
            <v>翰迪尔娃娃（咖色头发）</v>
          </cell>
          <cell r="D300">
            <v>4</v>
          </cell>
          <cell r="E300">
            <v>27.94</v>
          </cell>
          <cell r="F300">
            <v>16.51</v>
          </cell>
          <cell r="G300">
            <v>33</v>
          </cell>
        </row>
        <row r="300">
          <cell r="J300">
            <v>0.0152225502</v>
          </cell>
        </row>
        <row r="301">
          <cell r="A301">
            <v>33610</v>
          </cell>
        </row>
        <row r="301">
          <cell r="C301" t="str">
            <v>搪果鸭</v>
          </cell>
          <cell r="D301">
            <v>12</v>
          </cell>
          <cell r="E301">
            <v>22.7</v>
          </cell>
          <cell r="F301">
            <v>18.2</v>
          </cell>
          <cell r="G301">
            <v>11.1</v>
          </cell>
        </row>
        <row r="301">
          <cell r="J301">
            <v>0.004585854</v>
          </cell>
        </row>
        <row r="302">
          <cell r="A302">
            <v>33813</v>
          </cell>
        </row>
        <row r="302">
          <cell r="C302" t="str">
            <v>搪胶小鸭</v>
          </cell>
          <cell r="D302">
            <v>84</v>
          </cell>
          <cell r="E302">
            <v>29.6</v>
          </cell>
          <cell r="F302">
            <v>21.1</v>
          </cell>
          <cell r="G302">
            <v>30.4</v>
          </cell>
        </row>
        <row r="302">
          <cell r="J302">
            <v>0.018986624</v>
          </cell>
        </row>
        <row r="303">
          <cell r="A303">
            <v>33812</v>
          </cell>
        </row>
        <row r="303">
          <cell r="C303" t="str">
            <v>搪胶小鸭</v>
          </cell>
          <cell r="D303">
            <v>60</v>
          </cell>
          <cell r="E303">
            <v>32.2</v>
          </cell>
          <cell r="F303">
            <v>26.4</v>
          </cell>
          <cell r="G303">
            <v>17.9</v>
          </cell>
        </row>
        <row r="303">
          <cell r="J303">
            <v>0.015216432</v>
          </cell>
        </row>
        <row r="304">
          <cell r="A304">
            <v>33807</v>
          </cell>
        </row>
        <row r="304">
          <cell r="C304" t="str">
            <v>搪胶小鸭</v>
          </cell>
          <cell r="D304">
            <v>96</v>
          </cell>
          <cell r="E304">
            <v>32.5</v>
          </cell>
          <cell r="F304">
            <v>20.7</v>
          </cell>
          <cell r="G304">
            <v>33</v>
          </cell>
        </row>
        <row r="304">
          <cell r="J304">
            <v>0.02220075</v>
          </cell>
        </row>
        <row r="305">
          <cell r="A305">
            <v>33808</v>
          </cell>
        </row>
        <row r="305">
          <cell r="C305" t="str">
            <v>搪胶小鸭</v>
          </cell>
          <cell r="D305">
            <v>96</v>
          </cell>
          <cell r="E305">
            <v>32.5</v>
          </cell>
          <cell r="F305">
            <v>20.7</v>
          </cell>
          <cell r="G305">
            <v>33</v>
          </cell>
        </row>
        <row r="305">
          <cell r="J305">
            <v>0.02220075</v>
          </cell>
        </row>
        <row r="306">
          <cell r="A306">
            <v>46462</v>
          </cell>
        </row>
        <row r="306">
          <cell r="C306" t="str">
            <v>史迪仔系列</v>
          </cell>
          <cell r="D306">
            <v>2</v>
          </cell>
          <cell r="E306">
            <v>40.01</v>
          </cell>
          <cell r="F306">
            <v>26.67</v>
          </cell>
          <cell r="G306">
            <v>20.96</v>
          </cell>
        </row>
        <row r="306">
          <cell r="J306">
            <v>0.022365718032</v>
          </cell>
        </row>
        <row r="307">
          <cell r="A307">
            <v>46911</v>
          </cell>
        </row>
        <row r="307">
          <cell r="C307" t="str">
            <v> 蜘蛛侠系列</v>
          </cell>
          <cell r="D307">
            <v>2</v>
          </cell>
          <cell r="E307">
            <v>40.01</v>
          </cell>
          <cell r="F307">
            <v>26.67</v>
          </cell>
          <cell r="G307">
            <v>20.96</v>
          </cell>
        </row>
        <row r="307">
          <cell r="J307">
            <v>0.022365718032</v>
          </cell>
        </row>
        <row r="308">
          <cell r="A308">
            <v>46857</v>
          </cell>
        </row>
        <row r="308">
          <cell r="C308" t="str">
            <v>33477外星史迪仔</v>
          </cell>
        </row>
        <row r="309">
          <cell r="A309">
            <v>46886</v>
          </cell>
        </row>
        <row r="309">
          <cell r="C309" t="str">
            <v>33477外星史迪仔</v>
          </cell>
        </row>
        <row r="310">
          <cell r="A310">
            <v>46897</v>
          </cell>
        </row>
        <row r="310">
          <cell r="C310" t="str">
            <v>33476天使</v>
          </cell>
        </row>
        <row r="311">
          <cell r="A311" t="str">
            <v>46913-1</v>
          </cell>
        </row>
        <row r="311">
          <cell r="C311" t="str">
            <v>33476天使</v>
          </cell>
        </row>
        <row r="312">
          <cell r="A312" t="str">
            <v>46913-2</v>
          </cell>
        </row>
        <row r="312">
          <cell r="C312" t="str">
            <v>33416史迪仔</v>
          </cell>
        </row>
        <row r="313">
          <cell r="A313">
            <v>46862</v>
          </cell>
        </row>
        <row r="313">
          <cell r="C313" t="str">
            <v>荧光杰克</v>
          </cell>
        </row>
        <row r="314">
          <cell r="A314">
            <v>46094</v>
          </cell>
        </row>
        <row r="314">
          <cell r="C314" t="str">
            <v>漫威系列</v>
          </cell>
          <cell r="D314">
            <v>2</v>
          </cell>
          <cell r="E314">
            <v>40.01</v>
          </cell>
          <cell r="F314">
            <v>26.67</v>
          </cell>
          <cell r="G314">
            <v>20.96</v>
          </cell>
        </row>
        <row r="314">
          <cell r="J314">
            <v>0.022365718032</v>
          </cell>
        </row>
        <row r="315">
          <cell r="A315">
            <v>33776</v>
          </cell>
        </row>
        <row r="315">
          <cell r="C315" t="str">
            <v>搪胶小鸭子系列</v>
          </cell>
          <cell r="D315">
            <v>96</v>
          </cell>
          <cell r="E315">
            <v>54.95</v>
          </cell>
          <cell r="F315">
            <v>34.95</v>
          </cell>
          <cell r="G315">
            <v>42.9</v>
          </cell>
        </row>
        <row r="315">
          <cell r="J315">
            <v>0.08238955725</v>
          </cell>
        </row>
        <row r="316">
          <cell r="A316">
            <v>671509</v>
          </cell>
        </row>
        <row r="316">
          <cell r="C316" t="str">
            <v>绿色铁皮勾车</v>
          </cell>
          <cell r="D316">
            <v>2</v>
          </cell>
          <cell r="E316">
            <v>40.32</v>
          </cell>
          <cell r="F316">
            <v>37.47</v>
          </cell>
          <cell r="G316">
            <v>23.81</v>
          </cell>
        </row>
        <row r="316">
          <cell r="J316">
            <v>0.035971919424</v>
          </cell>
        </row>
        <row r="317">
          <cell r="A317" t="str">
            <v>33465（48）</v>
          </cell>
        </row>
        <row r="317">
          <cell r="C317" t="str">
            <v>搪胶小鸭子系列</v>
          </cell>
          <cell r="D317">
            <v>48</v>
          </cell>
          <cell r="E317">
            <v>36.7</v>
          </cell>
          <cell r="F317">
            <v>28</v>
          </cell>
          <cell r="G317">
            <v>17.2</v>
          </cell>
        </row>
        <row r="317">
          <cell r="J317">
            <v>0.01767472</v>
          </cell>
        </row>
        <row r="318">
          <cell r="A318" t="str">
            <v>33782（48）</v>
          </cell>
          <cell r="B318" t="str">
            <v>纸箱（48个装）</v>
          </cell>
          <cell r="C318" t="str">
            <v>鸭子</v>
          </cell>
          <cell r="D318">
            <v>48</v>
          </cell>
          <cell r="E318">
            <v>37.15</v>
          </cell>
          <cell r="F318">
            <v>33</v>
          </cell>
          <cell r="G318">
            <v>33.34</v>
          </cell>
        </row>
        <row r="318">
          <cell r="J318">
            <v>0.040873173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#320398兔子家族系列"/>
      <sheetName val="#320399猫家族系列"/>
      <sheetName val="#320400熊家族系列"/>
      <sheetName val="#320401狗家族系列"/>
      <sheetName val="#570989 游乐场伙伴系列 盲袋"/>
      <sheetName val="#320402游乐场伙伴系列"/>
      <sheetName val="#320403各种角色公仔组合"/>
      <sheetName val="#320404城镇货车系列"/>
      <sheetName val="#320405客厅装饰系列"/>
      <sheetName val="#320406厨房装饰系列"/>
      <sheetName val="#320407浴室装饰系列"/>
      <sheetName val="#320408普通商店系列"/>
      <sheetName val="#320409向日葵家系列"/>
      <sheetName val="#320410巴斯比农舍系列"/>
      <sheetName val="#320626彩虹岭婴儿与配件系列"/>
      <sheetName val="#320627画画装扮系列"/>
      <sheetName val="#320628 生日派对"/>
      <sheetName val="#320629野营装扮"/>
      <sheetName val="#320630牛家族系列"/>
      <sheetName val="#320631 老鼠家族系列"/>
      <sheetName val="#320632学校队友系列"/>
      <sheetName val="#320634彩虹岭伙伴系列"/>
      <sheetName val="#320635校车系列"/>
      <sheetName val="#320637独角兽家族系列"/>
      <sheetName val="#320638露营派对装扮系列"/>
      <sheetName val="#320753 JJ座椅和托盘"/>
      <sheetName val="#320639紫色巴士系列"/>
      <sheetName val="#320640彩虹屋系列"/>
      <sheetName val="#320641冰淇淋屋系列"/>
      <sheetName val="#320649西瓜美人鱼系列"/>
      <sheetName val="#320650波巴美女系列系列"/>
      <sheetName val="#320651蒲公英愿望美人鱼系列"/>
      <sheetName val="#320652独角兽美女系列"/>
      <sheetName val="#D20814四款女孩混装系列"/>
      <sheetName val="#320785柠檬水摊"/>
      <sheetName val="#320839面条女孩系列"/>
      <sheetName val="#320840披萨女孩系列"/>
      <sheetName val="#320841蘑菇女孩系列"/>
      <sheetName val="#320913 卡车3寸牛妈妈公仔"/>
      <sheetName val="#320915盛装伙伴"/>
      <sheetName val="#320918猪家族系列"/>
      <sheetName val="#320920学校3寸狐狸公仔"/>
      <sheetName val="#320916蛋糕店系列"/>
      <sheetName val="#320923 花店"/>
      <sheetName val="#470111卷发女孩"/>
      <sheetName val="#470114 粉色兔子"/>
      <sheetName val="#470191农场减配版"/>
      <sheetName val="#470194 树屋系列"/>
      <sheetName val="#470195花园系列"/>
      <sheetName val="#470615 白猫"/>
      <sheetName val="#470616 直发仙女"/>
      <sheetName val="470534 搪胶公仔白种人"/>
      <sheetName val="470535 搪胶公仔亚洲人"/>
      <sheetName val="#320919 货车牛爸爸牛姐姐公仔"/>
      <sheetName val="#320752 蝙蝠侠座椅和托盘"/>
      <sheetName val="#320738跳伞车道座椅和托盘"/>
      <sheetName val="#470112 黄色狗"/>
      <sheetName val="#470113黄发女孩"/>
      <sheetName val="470536搪胶公仔西班牙人"/>
      <sheetName val="470537搪胶公仔非洲人"/>
      <sheetName val="470227&amp;228转面公仔系列"/>
      <sheetName val="470448 书本- 鹿"/>
      <sheetName val="470449 书本-圣诞老人"/>
      <sheetName val="470450 书本-雪人"/>
      <sheetName val="470451 书本-树"/>
      <sheetName val="470453 钟玲-鹿"/>
      <sheetName val="470454 钟玲-圣诞老人"/>
      <sheetName val="470455 钟玲-雪人"/>
      <sheetName val="470456 钟玲-树"/>
      <sheetName val="470457 硅胶-拐杖"/>
      <sheetName val="470458 硅胶-鹿"/>
      <sheetName val="470459 硅胶-雪人"/>
      <sheetName val="470460 硅胶-树"/>
      <sheetName val="470461 牙胶-拐杖"/>
      <sheetName val="470462 牙胶-雪人"/>
      <sheetName val="470463 牙胶-雪花"/>
      <sheetName val="470464 圣诞-树"/>
      <sheetName val="470631 圣代雪糕树 吊饰-硅胶"/>
      <sheetName val="470632草莓吊饰-硅胶"/>
      <sheetName val="470633 粉色爱心书本-硅胶"/>
      <sheetName val="470634 书本糖果-硅胶"/>
      <sheetName val="#470528 冰淇淋系列HSL版本 "/>
      <sheetName val="#470529  搅拌机系列HSL 版本"/>
      <sheetName val="#470688 生日蛋糕系列  HSL版本"/>
      <sheetName val="#470689  甜品系列 HSL版本"/>
      <sheetName val="#470690电磁炉系列 HSL版本"/>
      <sheetName val="#470691华夫饼系列  HSL版本"/>
      <sheetName val="#470692 酸奶水果系列 HSL版本"/>
      <sheetName val="#470745 冰淇淋系列 AA版本"/>
      <sheetName val="#470746 搅拌机系列 AA版本"/>
      <sheetName val="#470748 生日蛋糕系列 AA 版本"/>
      <sheetName val="#470749 甜品系列 AA版本"/>
      <sheetName val="#470751 华夫饼系列 AA版本"/>
      <sheetName val="#470752 酸奶水果系列  AA版本"/>
      <sheetName val="#470753 医生套装系列 AA版本"/>
      <sheetName val="#470724  火车"/>
      <sheetName val="#470725 新版独角兽家族"/>
      <sheetName val="#470750电磁炉系列 AA版本"/>
      <sheetName val="#470722 医生套装系列  HSL 版本"/>
      <sheetName val="470764 大型自卸车（老款黄色）"/>
      <sheetName val="570974 篮球架"/>
      <sheetName val="570975 棒球架"/>
      <sheetName val="571299  绿色金属自卸卡车（老款绿色）"/>
      <sheetName val="571412  金属超大货车（新款黄色）"/>
      <sheetName val="671509 金属超大货车（新款绿色）"/>
      <sheetName val="571388 约翰迪尔娃娃（啡色头发）"/>
      <sheetName val="470805 硅胶鹿勺"/>
      <sheetName val="#470813  新款金发直发女孩"/>
      <sheetName val="#470814  新款兔子"/>
      <sheetName val="470230&amp;231&amp;232转面公仔系 "/>
      <sheetName val="#320993 健身房"/>
      <sheetName val="#320643（D20964）复活节彩蛋"/>
      <sheetName val="装箱单"/>
      <sheetName val="计划"/>
      <sheetName val="实发车"/>
      <sheetName val="塑胶半成品"/>
      <sheetName val="4-25的搪胶鸭子欠数"/>
      <sheetName val="33410"/>
      <sheetName val="2025年底余数出货"/>
      <sheetName val="Sheet2"/>
      <sheetName val="120款搪胶货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>
        <row r="1">
          <cell r="A1" t="str">
            <v> WM Item#</v>
          </cell>
          <cell r="B1" t="str">
            <v>Description</v>
          </cell>
        </row>
        <row r="1">
          <cell r="D1" t="str">
            <v>Qty/Ctn</v>
          </cell>
          <cell r="E1" t="str">
            <v>Measurement/ctn 
(L/W/H ) (cm)</v>
          </cell>
        </row>
        <row r="1">
          <cell r="H1" t="str">
            <v>NW/CTN</v>
          </cell>
          <cell r="I1" t="str">
            <v>GW/CTN</v>
          </cell>
          <cell r="J1" t="str">
            <v>CBM/CTN</v>
          </cell>
        </row>
        <row r="2">
          <cell r="A2">
            <v>320398</v>
          </cell>
          <cell r="B2" t="str">
            <v>HONEY BEE ACRES BUNNY FAMILY 4-PACK</v>
          </cell>
          <cell r="C2" t="str">
            <v>兔子家族</v>
          </cell>
          <cell r="D2">
            <v>4</v>
          </cell>
          <cell r="E2">
            <v>24.5</v>
          </cell>
          <cell r="F2">
            <v>21</v>
          </cell>
          <cell r="G2">
            <v>20</v>
          </cell>
          <cell r="H2">
            <v>0.52</v>
          </cell>
          <cell r="I2">
            <v>0.71</v>
          </cell>
          <cell r="J2">
            <v>0.01029</v>
          </cell>
        </row>
        <row r="3">
          <cell r="A3" t="str">
            <v>320398-X</v>
          </cell>
          <cell r="B3" t="str">
            <v>HONEY BEE ACRES BUNNY FAMILY 4-PACK</v>
          </cell>
          <cell r="C3" t="str">
            <v>兔子家族</v>
          </cell>
          <cell r="D3">
            <v>4</v>
          </cell>
          <cell r="E3">
            <v>24.5</v>
          </cell>
          <cell r="F3">
            <v>21</v>
          </cell>
          <cell r="G3">
            <v>20</v>
          </cell>
          <cell r="H3">
            <v>0.52</v>
          </cell>
          <cell r="I3">
            <v>0.71</v>
          </cell>
          <cell r="J3">
            <v>0.01029</v>
          </cell>
        </row>
        <row r="4">
          <cell r="A4">
            <v>320399</v>
          </cell>
          <cell r="B4" t="str">
            <v>HONEY BEE ACRES CAT FAMILY 4-PACK</v>
          </cell>
          <cell r="C4" t="str">
            <v>猫家族</v>
          </cell>
          <cell r="D4">
            <v>4</v>
          </cell>
          <cell r="E4">
            <v>24.5</v>
          </cell>
          <cell r="F4">
            <v>21</v>
          </cell>
          <cell r="G4">
            <v>20</v>
          </cell>
          <cell r="H4">
            <v>0.5</v>
          </cell>
          <cell r="I4">
            <v>0.68</v>
          </cell>
          <cell r="J4">
            <v>0.01029</v>
          </cell>
        </row>
        <row r="5">
          <cell r="A5" t="str">
            <v>320399-X</v>
          </cell>
          <cell r="B5" t="str">
            <v>HONEY BEE ACRES CAT FAMILY 4-PACK</v>
          </cell>
          <cell r="C5" t="str">
            <v>猫家族</v>
          </cell>
          <cell r="D5">
            <v>4</v>
          </cell>
          <cell r="E5">
            <v>24.5</v>
          </cell>
          <cell r="F5">
            <v>21</v>
          </cell>
          <cell r="G5">
            <v>20</v>
          </cell>
          <cell r="H5">
            <v>0.5</v>
          </cell>
          <cell r="I5">
            <v>0.68</v>
          </cell>
          <cell r="J5">
            <v>0.01029</v>
          </cell>
        </row>
        <row r="6">
          <cell r="A6">
            <v>320400</v>
          </cell>
          <cell r="B6" t="str">
            <v>HONEY BEE ACRES BEAR FAMILY 4-PACK</v>
          </cell>
          <cell r="C6" t="str">
            <v>熊家族</v>
          </cell>
          <cell r="D6">
            <v>4</v>
          </cell>
          <cell r="E6">
            <v>24.5</v>
          </cell>
          <cell r="F6">
            <v>21</v>
          </cell>
          <cell r="G6">
            <v>20</v>
          </cell>
          <cell r="H6">
            <v>0.47</v>
          </cell>
          <cell r="I6">
            <v>0.68</v>
          </cell>
          <cell r="J6">
            <v>0.01029</v>
          </cell>
        </row>
        <row r="7">
          <cell r="A7" t="str">
            <v>320400-X</v>
          </cell>
          <cell r="B7" t="str">
            <v>HONEY BEE ACRES BEAR FAMILY 4-PACK</v>
          </cell>
          <cell r="C7" t="str">
            <v>熊家族</v>
          </cell>
          <cell r="D7">
            <v>4</v>
          </cell>
          <cell r="E7">
            <v>24.5</v>
          </cell>
          <cell r="F7">
            <v>21</v>
          </cell>
          <cell r="G7">
            <v>20</v>
          </cell>
          <cell r="H7">
            <v>0.47</v>
          </cell>
          <cell r="I7">
            <v>0.68</v>
          </cell>
          <cell r="J7">
            <v>0.01029</v>
          </cell>
        </row>
        <row r="8">
          <cell r="A8">
            <v>320401</v>
          </cell>
          <cell r="B8" t="str">
            <v>HONEY BEE ACRES DOG FAMILY 4-PACK</v>
          </cell>
          <cell r="C8" t="str">
            <v>狗家族</v>
          </cell>
          <cell r="D8">
            <v>4</v>
          </cell>
          <cell r="E8">
            <v>24.5</v>
          </cell>
          <cell r="F8">
            <v>21</v>
          </cell>
          <cell r="G8">
            <v>20</v>
          </cell>
          <cell r="H8">
            <v>0.51</v>
          </cell>
          <cell r="I8">
            <v>0.71</v>
          </cell>
          <cell r="J8">
            <v>0.01029</v>
          </cell>
        </row>
        <row r="9">
          <cell r="A9" t="str">
            <v>320401-X</v>
          </cell>
          <cell r="B9" t="str">
            <v>HONEY BEE ACRES DOG FAMILY 4-PACK</v>
          </cell>
          <cell r="C9" t="str">
            <v>狗家族</v>
          </cell>
          <cell r="D9">
            <v>4</v>
          </cell>
          <cell r="E9">
            <v>24.5</v>
          </cell>
          <cell r="F9">
            <v>21</v>
          </cell>
          <cell r="G9">
            <v>20</v>
          </cell>
          <cell r="H9">
            <v>0.51</v>
          </cell>
          <cell r="I9">
            <v>0.71</v>
          </cell>
          <cell r="J9">
            <v>0.01029</v>
          </cell>
        </row>
        <row r="10">
          <cell r="A10">
            <v>320918</v>
          </cell>
          <cell r="B10" t="str">
            <v>HONEY BEE ACRES DOG FAMILY 4-PACK</v>
          </cell>
          <cell r="C10" t="str">
            <v>狗家族</v>
          </cell>
          <cell r="D10">
            <v>4</v>
          </cell>
          <cell r="E10">
            <v>24.5</v>
          </cell>
          <cell r="F10">
            <v>21</v>
          </cell>
          <cell r="G10">
            <v>20</v>
          </cell>
          <cell r="H10">
            <v>0.51</v>
          </cell>
          <cell r="I10">
            <v>0.71</v>
          </cell>
          <cell r="J10">
            <v>0.01029</v>
          </cell>
        </row>
        <row r="11">
          <cell r="A11">
            <v>320735</v>
          </cell>
        </row>
        <row r="11">
          <cell r="C11" t="str">
            <v>混装</v>
          </cell>
          <cell r="D11">
            <v>4</v>
          </cell>
          <cell r="E11">
            <v>24.5</v>
          </cell>
          <cell r="F11">
            <v>21</v>
          </cell>
          <cell r="G11">
            <v>20</v>
          </cell>
          <cell r="H11">
            <v>0.51</v>
          </cell>
          <cell r="I11">
            <v>0.71</v>
          </cell>
          <cell r="J11">
            <v>0.01029</v>
          </cell>
        </row>
        <row r="12">
          <cell r="A12">
            <v>320403</v>
          </cell>
          <cell r="B12" t="str">
            <v>HONEY BEE ACRES ASSORTED CHARACTERS</v>
          </cell>
          <cell r="C12" t="str">
            <v>各种角色公仔组合</v>
          </cell>
          <cell r="D12">
            <v>16</v>
          </cell>
          <cell r="E12">
            <v>22</v>
          </cell>
          <cell r="F12">
            <v>17</v>
          </cell>
          <cell r="G12">
            <v>20.5</v>
          </cell>
          <cell r="H12">
            <v>0.75</v>
          </cell>
          <cell r="I12">
            <v>0.93</v>
          </cell>
          <cell r="J12">
            <v>0.007667</v>
          </cell>
        </row>
        <row r="13">
          <cell r="A13" t="str">
            <v>320403-X</v>
          </cell>
          <cell r="B13" t="str">
            <v>HONEY BEE ACRES ASSORTED CHARACTERS</v>
          </cell>
          <cell r="C13" t="str">
            <v>各种角色公仔组合</v>
          </cell>
          <cell r="D13">
            <v>16</v>
          </cell>
          <cell r="E13">
            <v>22</v>
          </cell>
          <cell r="F13">
            <v>17</v>
          </cell>
          <cell r="G13">
            <v>20.5</v>
          </cell>
          <cell r="H13">
            <v>0.75</v>
          </cell>
          <cell r="I13">
            <v>0.93</v>
          </cell>
          <cell r="J13">
            <v>0.007667</v>
          </cell>
        </row>
        <row r="14">
          <cell r="A14">
            <v>320402</v>
          </cell>
          <cell r="B14" t="str">
            <v>HONEY BEE ACRES PLAYGROUND PALS</v>
          </cell>
          <cell r="C14" t="str">
            <v>游乐场伙伴</v>
          </cell>
          <cell r="D14">
            <v>4</v>
          </cell>
          <cell r="E14">
            <v>31.5</v>
          </cell>
          <cell r="F14">
            <v>25</v>
          </cell>
          <cell r="G14">
            <v>20.5</v>
          </cell>
          <cell r="H14">
            <v>0.84</v>
          </cell>
          <cell r="I14">
            <v>1.11</v>
          </cell>
          <cell r="J14">
            <v>0.01614375</v>
          </cell>
        </row>
        <row r="15">
          <cell r="A15" t="str">
            <v>320402-X</v>
          </cell>
          <cell r="B15" t="str">
            <v>HONEY BEE ACRES PLAYGROUND PALS</v>
          </cell>
          <cell r="C15" t="str">
            <v>游乐场伙伴</v>
          </cell>
          <cell r="D15">
            <v>4</v>
          </cell>
          <cell r="E15">
            <v>31.5</v>
          </cell>
          <cell r="F15">
            <v>25</v>
          </cell>
          <cell r="G15">
            <v>20.5</v>
          </cell>
          <cell r="H15">
            <v>0.84</v>
          </cell>
          <cell r="I15">
            <v>1.11</v>
          </cell>
          <cell r="J15">
            <v>0.01614375</v>
          </cell>
        </row>
        <row r="16">
          <cell r="A16">
            <v>320404</v>
          </cell>
          <cell r="B16" t="str">
            <v>HONEY BEE ACRES AROUND TOWN VAN</v>
          </cell>
          <cell r="C16" t="str">
            <v>城镇货车</v>
          </cell>
          <cell r="D16">
            <v>2</v>
          </cell>
          <cell r="E16">
            <v>31</v>
          </cell>
          <cell r="F16">
            <v>29.5</v>
          </cell>
          <cell r="G16">
            <v>20</v>
          </cell>
          <cell r="H16">
            <v>1.11</v>
          </cell>
          <cell r="I16">
            <v>1.43</v>
          </cell>
          <cell r="J16">
            <v>0.01829</v>
          </cell>
        </row>
        <row r="17">
          <cell r="A17">
            <v>320405</v>
          </cell>
          <cell r="B17" t="str">
            <v>HONEY BEE ACRES LIVING ROOM DECOR ACCESSORIES
</v>
          </cell>
          <cell r="C17" t="str">
            <v>客厅装饰</v>
          </cell>
          <cell r="D17">
            <v>3</v>
          </cell>
          <cell r="E17">
            <v>31.5</v>
          </cell>
          <cell r="F17">
            <v>27</v>
          </cell>
          <cell r="G17">
            <v>20</v>
          </cell>
          <cell r="H17">
            <v>1.5</v>
          </cell>
          <cell r="I17">
            <v>1.83</v>
          </cell>
          <cell r="J17">
            <v>0.01701</v>
          </cell>
        </row>
        <row r="18">
          <cell r="A18" t="str">
            <v>320405-X</v>
          </cell>
          <cell r="B18" t="str">
            <v>HONEY BEE ACRES LIVING ROOM DECOR ACCESSORIES
</v>
          </cell>
          <cell r="C18" t="str">
            <v>客厅装饰</v>
          </cell>
          <cell r="D18">
            <v>3</v>
          </cell>
          <cell r="E18">
            <v>31.5</v>
          </cell>
          <cell r="F18">
            <v>27</v>
          </cell>
          <cell r="G18">
            <v>20</v>
          </cell>
          <cell r="H18">
            <v>1.5</v>
          </cell>
          <cell r="I18">
            <v>1.83</v>
          </cell>
          <cell r="J18">
            <v>0.01701</v>
          </cell>
        </row>
        <row r="19">
          <cell r="A19">
            <v>320406</v>
          </cell>
          <cell r="B19" t="str">
            <v>HONEY BEE ACRES KITCHEN DECOR ACCESSORIES </v>
          </cell>
          <cell r="C19" t="str">
            <v>厨房装饰</v>
          </cell>
          <cell r="D19">
            <v>3</v>
          </cell>
          <cell r="E19">
            <v>31</v>
          </cell>
          <cell r="F19">
            <v>26.5</v>
          </cell>
          <cell r="G19">
            <v>20.5</v>
          </cell>
          <cell r="H19">
            <v>0.79</v>
          </cell>
          <cell r="I19">
            <v>1.07</v>
          </cell>
          <cell r="J19">
            <v>0.01684075</v>
          </cell>
        </row>
        <row r="20">
          <cell r="A20" t="str">
            <v>320406-X</v>
          </cell>
          <cell r="B20" t="str">
            <v>HONEY BEE ACRES KITCHEN DECOR ACCESSORIES </v>
          </cell>
          <cell r="C20" t="str">
            <v>厨房装饰</v>
          </cell>
          <cell r="D20">
            <v>3</v>
          </cell>
          <cell r="E20">
            <v>31</v>
          </cell>
          <cell r="F20">
            <v>26.5</v>
          </cell>
          <cell r="G20">
            <v>20.5</v>
          </cell>
          <cell r="H20">
            <v>0.79</v>
          </cell>
          <cell r="I20">
            <v>1.07</v>
          </cell>
          <cell r="J20">
            <v>0.01684075</v>
          </cell>
        </row>
        <row r="21">
          <cell r="A21">
            <v>320407</v>
          </cell>
          <cell r="B21" t="str">
            <v>HONEY BEE ACRES BATHROOM DECOR ACCESSORIES </v>
          </cell>
          <cell r="C21" t="str">
            <v>浴室装饰</v>
          </cell>
          <cell r="D21">
            <v>3</v>
          </cell>
          <cell r="E21">
            <v>31</v>
          </cell>
          <cell r="F21">
            <v>27</v>
          </cell>
          <cell r="G21">
            <v>20</v>
          </cell>
          <cell r="H21">
            <v>0.93</v>
          </cell>
          <cell r="I21">
            <v>1.21</v>
          </cell>
          <cell r="J21">
            <v>0.01674</v>
          </cell>
        </row>
        <row r="22">
          <cell r="A22" t="str">
            <v>320407-X</v>
          </cell>
          <cell r="B22" t="str">
            <v>HONEY BEE ACRES BATHROOM DECOR ACCESSORIES </v>
          </cell>
          <cell r="C22" t="str">
            <v>浴室装饰</v>
          </cell>
          <cell r="D22">
            <v>3</v>
          </cell>
          <cell r="E22">
            <v>31</v>
          </cell>
          <cell r="F22">
            <v>27</v>
          </cell>
          <cell r="G22">
            <v>20</v>
          </cell>
          <cell r="H22">
            <v>0.93</v>
          </cell>
          <cell r="I22">
            <v>1.21</v>
          </cell>
          <cell r="J22">
            <v>0.01674</v>
          </cell>
        </row>
        <row r="23">
          <cell r="A23">
            <v>320408</v>
          </cell>
          <cell r="B23" t="str">
            <v>HONEY BEE ACRES GENERAL STORE with Adult Figure </v>
          </cell>
          <cell r="C23" t="str">
            <v>普通商店</v>
          </cell>
          <cell r="D23">
            <v>2</v>
          </cell>
          <cell r="E23">
            <v>41.91</v>
          </cell>
          <cell r="F23">
            <v>31.75</v>
          </cell>
          <cell r="G23">
            <v>21.59</v>
          </cell>
          <cell r="H23">
            <v>1.97</v>
          </cell>
          <cell r="I23">
            <v>2.43</v>
          </cell>
          <cell r="J23">
            <v>0.028728571575</v>
          </cell>
        </row>
        <row r="24">
          <cell r="A24" t="str">
            <v>320408-X</v>
          </cell>
          <cell r="B24" t="str">
            <v>HONEY BEE ACRES GENERAL STORE with Adult Figure </v>
          </cell>
          <cell r="C24" t="str">
            <v>普通商店</v>
          </cell>
          <cell r="D24">
            <v>2</v>
          </cell>
          <cell r="E24">
            <v>39.5</v>
          </cell>
          <cell r="F24">
            <v>30</v>
          </cell>
          <cell r="G24">
            <v>21.5</v>
          </cell>
          <cell r="H24">
            <v>1.97</v>
          </cell>
          <cell r="I24">
            <v>2.43</v>
          </cell>
          <cell r="J24">
            <v>0.0254775</v>
          </cell>
        </row>
        <row r="25">
          <cell r="A25">
            <v>320409</v>
          </cell>
          <cell r="B25" t="str">
            <v>HONEY BEE ACRES SUNFLOWER COUNTRY COTTAGE with Adult Figure </v>
          </cell>
          <cell r="C25" t="str">
            <v>向日葵家</v>
          </cell>
          <cell r="D25">
            <v>2</v>
          </cell>
          <cell r="E25">
            <v>43</v>
          </cell>
          <cell r="F25">
            <v>32.5</v>
          </cell>
          <cell r="G25">
            <v>30.5</v>
          </cell>
          <cell r="H25">
            <v>2.34</v>
          </cell>
          <cell r="I25">
            <v>3</v>
          </cell>
          <cell r="J25">
            <v>0.04262375</v>
          </cell>
        </row>
        <row r="26">
          <cell r="A26">
            <v>320410</v>
          </cell>
          <cell r="B26" t="str">
            <v>HONEY BEE ACRES BUZZBY FARM HOUSE  with 2 FIGURES (Adult &amp;Child)</v>
          </cell>
          <cell r="C26" t="str">
            <v>巴比斯农舍</v>
          </cell>
          <cell r="D26">
            <v>1</v>
          </cell>
          <cell r="E26">
            <v>62</v>
          </cell>
          <cell r="F26">
            <v>25</v>
          </cell>
          <cell r="G26">
            <v>40.5</v>
          </cell>
          <cell r="H26">
            <v>4.9</v>
          </cell>
          <cell r="I26">
            <v>5.56</v>
          </cell>
          <cell r="J26">
            <v>0.062775</v>
          </cell>
        </row>
        <row r="27">
          <cell r="A27">
            <v>470191</v>
          </cell>
          <cell r="B27" t="str">
            <v>HONEY BEE ACRES BUZZBY FARM HOUSE  with 2 FIGURES (Adult &amp;Child)</v>
          </cell>
          <cell r="C27" t="str">
            <v>巴比斯农舍</v>
          </cell>
          <cell r="D27">
            <v>1</v>
          </cell>
          <cell r="E27">
            <v>62</v>
          </cell>
          <cell r="F27">
            <v>25</v>
          </cell>
          <cell r="G27">
            <v>40.5</v>
          </cell>
          <cell r="H27">
            <v>4.9</v>
          </cell>
          <cell r="I27">
            <v>5.56</v>
          </cell>
          <cell r="J27">
            <v>0.062775</v>
          </cell>
        </row>
        <row r="28">
          <cell r="A28">
            <v>320626</v>
          </cell>
          <cell r="B28" t="str">
            <v>HONEY BEE ACRES RAINBOW RIDGE BABIES with ACCESSOR</v>
          </cell>
          <cell r="C28" t="str">
            <v>彩虹岭婴儿与配件系列</v>
          </cell>
          <cell r="D28">
            <v>16</v>
          </cell>
          <cell r="E28">
            <v>21</v>
          </cell>
          <cell r="F28">
            <v>17</v>
          </cell>
          <cell r="G28">
            <v>20</v>
          </cell>
          <cell r="H28">
            <v>0.74</v>
          </cell>
          <cell r="I28">
            <v>0.9</v>
          </cell>
          <cell r="J28">
            <v>0.00714</v>
          </cell>
        </row>
        <row r="29">
          <cell r="A29">
            <v>320627</v>
          </cell>
          <cell r="B29" t="str">
            <v>HONEY BEE ACRES PAINT and COLOR ART FUN</v>
          </cell>
          <cell r="C29" t="str">
            <v>画画装扮</v>
          </cell>
          <cell r="D29">
            <v>4</v>
          </cell>
          <cell r="E29">
            <v>25.5</v>
          </cell>
          <cell r="F29">
            <v>17.5</v>
          </cell>
          <cell r="G29">
            <v>20</v>
          </cell>
          <cell r="H29">
            <v>0.34</v>
          </cell>
          <cell r="I29">
            <v>0.52</v>
          </cell>
          <cell r="J29">
            <v>0.008925</v>
          </cell>
        </row>
        <row r="30">
          <cell r="A30">
            <v>320629</v>
          </cell>
          <cell r="B30" t="str">
            <v>HONEY BEE ACRES PAINT and COLOR ART FUN</v>
          </cell>
          <cell r="C30" t="str">
            <v>画画装扮</v>
          </cell>
          <cell r="D30">
            <v>4</v>
          </cell>
          <cell r="E30">
            <v>33</v>
          </cell>
          <cell r="F30">
            <v>20</v>
          </cell>
          <cell r="G30">
            <v>20</v>
          </cell>
          <cell r="H30">
            <v>0.34</v>
          </cell>
          <cell r="I30">
            <v>0.52</v>
          </cell>
          <cell r="J30">
            <v>0.0132</v>
          </cell>
        </row>
        <row r="31">
          <cell r="A31">
            <v>320785</v>
          </cell>
          <cell r="B31" t="str">
            <v>HONEY BEE ACRES PAINT and COLOR ART FUN</v>
          </cell>
          <cell r="C31" t="str">
            <v>画画装扮</v>
          </cell>
          <cell r="D31">
            <v>4</v>
          </cell>
          <cell r="E31">
            <v>25.5</v>
          </cell>
          <cell r="F31">
            <v>17.5</v>
          </cell>
          <cell r="G31">
            <v>20</v>
          </cell>
          <cell r="H31">
            <v>0.34</v>
          </cell>
          <cell r="I31">
            <v>0.52</v>
          </cell>
          <cell r="J31">
            <v>0.008925</v>
          </cell>
        </row>
        <row r="32">
          <cell r="A32">
            <v>320630</v>
          </cell>
          <cell r="B32" t="str">
            <v>HONEY BEE ACRES CLOVERBERRIES COW FAMILY</v>
          </cell>
          <cell r="C32" t="str">
            <v>牛家族</v>
          </cell>
          <cell r="D32">
            <v>4</v>
          </cell>
          <cell r="E32">
            <v>25</v>
          </cell>
          <cell r="F32">
            <v>20.5</v>
          </cell>
          <cell r="G32">
            <v>20</v>
          </cell>
          <cell r="H32">
            <v>0.46</v>
          </cell>
          <cell r="I32">
            <v>0.67</v>
          </cell>
          <cell r="J32">
            <v>0.01025</v>
          </cell>
        </row>
        <row r="33">
          <cell r="A33">
            <v>320631</v>
          </cell>
          <cell r="B33" t="str">
            <v>HONEY BEE ACRES CHEDDARS MOUSE FAMILY</v>
          </cell>
          <cell r="C33" t="str">
            <v>老鼠家族</v>
          </cell>
          <cell r="D33">
            <v>4</v>
          </cell>
          <cell r="E33">
            <v>25.5</v>
          </cell>
          <cell r="F33">
            <v>21</v>
          </cell>
          <cell r="G33">
            <v>20</v>
          </cell>
          <cell r="H33">
            <v>0.47</v>
          </cell>
          <cell r="I33">
            <v>0.7</v>
          </cell>
          <cell r="J33">
            <v>0.01071</v>
          </cell>
        </row>
        <row r="34">
          <cell r="A34">
            <v>320632</v>
          </cell>
          <cell r="B34" t="str">
            <v>HONEY BEE ACRES BACK to SCHOOL PALS - 8 
STYLES</v>
          </cell>
          <cell r="C34" t="str">
            <v>学校队友</v>
          </cell>
          <cell r="D34">
            <v>4</v>
          </cell>
          <cell r="E34">
            <v>31.5</v>
          </cell>
          <cell r="F34">
            <v>25</v>
          </cell>
          <cell r="G34">
            <v>20</v>
          </cell>
          <cell r="H34">
            <v>0.83</v>
          </cell>
          <cell r="I34">
            <v>1.09</v>
          </cell>
          <cell r="J34">
            <v>0.01575</v>
          </cell>
        </row>
        <row r="35">
          <cell r="A35">
            <v>320634</v>
          </cell>
          <cell r="B35" t="str">
            <v>HONEY BEE ACRES RAINBOW RIDGE - 9 STYLES</v>
          </cell>
          <cell r="C35" t="str">
            <v>彩虹岭伙伴</v>
          </cell>
          <cell r="D35">
            <v>4</v>
          </cell>
          <cell r="E35">
            <v>31.5</v>
          </cell>
          <cell r="F35">
            <v>25</v>
          </cell>
          <cell r="G35">
            <v>20</v>
          </cell>
          <cell r="H35">
            <v>0.82</v>
          </cell>
          <cell r="I35">
            <v>1.08</v>
          </cell>
          <cell r="J35">
            <v>0.01575</v>
          </cell>
        </row>
        <row r="36">
          <cell r="A36">
            <v>320637</v>
          </cell>
          <cell r="B36" t="str">
            <v>HONEY BEE ACRES DAYDREAMERS UNICORN FAMILY</v>
          </cell>
          <cell r="C36" t="str">
            <v>独角兽家族</v>
          </cell>
          <cell r="D36">
            <v>4</v>
          </cell>
          <cell r="E36">
            <v>25.5</v>
          </cell>
          <cell r="F36">
            <v>21</v>
          </cell>
          <cell r="G36">
            <v>20</v>
          </cell>
          <cell r="H36">
            <v>0.5</v>
          </cell>
          <cell r="I36">
            <v>0.7</v>
          </cell>
          <cell r="J36">
            <v>0.01071</v>
          </cell>
        </row>
        <row r="37">
          <cell r="A37">
            <v>320638</v>
          </cell>
          <cell r="B37" t="str">
            <v>HONEY BEE ACRES SWEET DREAMS PAJAMA 
PARTY</v>
          </cell>
          <cell r="C37" t="str">
            <v>露营派对装扮</v>
          </cell>
          <cell r="D37">
            <v>4</v>
          </cell>
          <cell r="E37">
            <v>25.5</v>
          </cell>
          <cell r="F37">
            <v>17.5</v>
          </cell>
          <cell r="G37">
            <v>20.5</v>
          </cell>
          <cell r="H37">
            <v>0.62</v>
          </cell>
          <cell r="I37">
            <v>0.8</v>
          </cell>
          <cell r="J37">
            <v>0.009148125</v>
          </cell>
        </row>
        <row r="38">
          <cell r="A38">
            <v>470195</v>
          </cell>
          <cell r="B38" t="str">
            <v>HONEY BEE ACRES SWEET DREAMS PAJAMA 
PARTY</v>
          </cell>
          <cell r="C38" t="str">
            <v>花园</v>
          </cell>
          <cell r="D38">
            <v>4</v>
          </cell>
          <cell r="E38">
            <v>19.05</v>
          </cell>
          <cell r="F38">
            <v>17.145</v>
          </cell>
          <cell r="G38">
            <v>19.05</v>
          </cell>
          <cell r="H38">
            <v>0.62</v>
          </cell>
          <cell r="I38">
            <v>0.8</v>
          </cell>
          <cell r="J38">
            <v>0.0062219633625</v>
          </cell>
        </row>
        <row r="39">
          <cell r="A39">
            <v>320639</v>
          </cell>
          <cell r="B39" t="str">
            <v>HONEY BEE ACRES FLOWER GROOVE VAN WITH CHARACTER</v>
          </cell>
          <cell r="C39" t="str">
            <v>新货车</v>
          </cell>
          <cell r="D39">
            <v>2</v>
          </cell>
          <cell r="E39">
            <v>29.4</v>
          </cell>
          <cell r="F39">
            <v>27.4</v>
          </cell>
          <cell r="G39">
            <v>20.3</v>
          </cell>
          <cell r="H39">
            <v>1.02</v>
          </cell>
          <cell r="I39">
            <v>1.29</v>
          </cell>
          <cell r="J39">
            <v>0.016352868</v>
          </cell>
        </row>
        <row r="40">
          <cell r="A40">
            <v>320640</v>
          </cell>
          <cell r="B40" t="str">
            <v>HONEY BEE ACRES SUNBURST ART STUDIO</v>
          </cell>
          <cell r="C40" t="str">
            <v>彩虹屋</v>
          </cell>
          <cell r="D40">
            <v>1</v>
          </cell>
          <cell r="E40">
            <v>53.5</v>
          </cell>
          <cell r="F40">
            <v>22.5</v>
          </cell>
          <cell r="G40">
            <v>32.5</v>
          </cell>
          <cell r="H40">
            <v>1.73</v>
          </cell>
          <cell r="I40">
            <v>2.2</v>
          </cell>
          <cell r="J40">
            <v>0.039121875</v>
          </cell>
        </row>
        <row r="41">
          <cell r="A41">
            <v>320641</v>
          </cell>
          <cell r="B41" t="str">
            <v> 
HONEY BEE ACRES CRYSTAL'S ICE CREAM SHOP PLAYSET</v>
          </cell>
          <cell r="C41" t="str">
            <v>冰淇淋屋</v>
          </cell>
          <cell r="D41">
            <v>2</v>
          </cell>
          <cell r="E41">
            <v>43</v>
          </cell>
          <cell r="F41">
            <v>32.5</v>
          </cell>
          <cell r="G41">
            <v>23</v>
          </cell>
          <cell r="H41">
            <v>1.68</v>
          </cell>
          <cell r="I41">
            <v>2.15</v>
          </cell>
          <cell r="J41">
            <v>0.0321425</v>
          </cell>
        </row>
        <row r="42">
          <cell r="A42">
            <v>320916</v>
          </cell>
          <cell r="B42" t="str">
            <v> 
HONEY BEE ACRES CRYSTAL'S ICE CREAM SHOP PLAYSET</v>
          </cell>
          <cell r="C42" t="str">
            <v>糕屋</v>
          </cell>
          <cell r="D42">
            <v>2</v>
          </cell>
          <cell r="E42">
            <v>38.1</v>
          </cell>
          <cell r="F42">
            <v>30.48</v>
          </cell>
          <cell r="G42">
            <v>22.225</v>
          </cell>
          <cell r="H42">
            <v>1.68</v>
          </cell>
          <cell r="I42">
            <v>2.15</v>
          </cell>
          <cell r="J42">
            <v>0.0258096258</v>
          </cell>
        </row>
        <row r="43">
          <cell r="A43">
            <v>320649</v>
          </cell>
          <cell r="B43" t="str">
            <v>FIDGIE FRIENDS WATERMELOW</v>
          </cell>
          <cell r="C43" t="str">
            <v>西瓜女孩</v>
          </cell>
          <cell r="D43">
            <v>2</v>
          </cell>
          <cell r="E43">
            <v>22.5</v>
          </cell>
          <cell r="F43">
            <v>22.5</v>
          </cell>
          <cell r="G43">
            <v>33</v>
          </cell>
          <cell r="H43">
            <v>0.822</v>
          </cell>
          <cell r="I43">
            <v>1.185</v>
          </cell>
          <cell r="J43">
            <v>0.01670625</v>
          </cell>
        </row>
        <row r="44">
          <cell r="A44">
            <v>320650</v>
          </cell>
          <cell r="B44" t="str">
            <v>FIDGIE FRIENDS BOBA BUBBLES</v>
          </cell>
          <cell r="C44" t="str">
            <v>波巴女孩</v>
          </cell>
          <cell r="D44">
            <v>2</v>
          </cell>
          <cell r="E44">
            <v>22.5</v>
          </cell>
          <cell r="F44">
            <v>22.5</v>
          </cell>
          <cell r="G44">
            <v>33</v>
          </cell>
          <cell r="H44">
            <v>0.957</v>
          </cell>
          <cell r="I44">
            <v>1.32</v>
          </cell>
          <cell r="J44">
            <v>0.01670625</v>
          </cell>
        </row>
        <row r="45">
          <cell r="A45">
            <v>320651</v>
          </cell>
          <cell r="B45" t="str">
            <v> 
FIDGIE FRIENDS DANDELION WISHES</v>
          </cell>
          <cell r="C45" t="str">
            <v>蒲公英女孩</v>
          </cell>
          <cell r="D45">
            <v>2</v>
          </cell>
          <cell r="E45">
            <v>22.5</v>
          </cell>
          <cell r="F45">
            <v>22.5</v>
          </cell>
          <cell r="G45">
            <v>33</v>
          </cell>
          <cell r="H45">
            <v>1.276</v>
          </cell>
          <cell r="I45">
            <v>1.645</v>
          </cell>
          <cell r="J45">
            <v>0.01670625</v>
          </cell>
        </row>
        <row r="46">
          <cell r="A46">
            <v>320652</v>
          </cell>
          <cell r="B46" t="str">
            <v>FIDGIE FRIENDS UNICORN SPRINKLES</v>
          </cell>
          <cell r="C46" t="str">
            <v>独角女孩</v>
          </cell>
          <cell r="D46">
            <v>2</v>
          </cell>
          <cell r="E46">
            <v>22.5</v>
          </cell>
          <cell r="F46">
            <v>22.5</v>
          </cell>
          <cell r="G46">
            <v>33</v>
          </cell>
          <cell r="H46">
            <v>0.894</v>
          </cell>
          <cell r="I46">
            <v>1.262</v>
          </cell>
          <cell r="J46">
            <v>0.01670625</v>
          </cell>
        </row>
        <row r="47">
          <cell r="A47">
            <v>320839</v>
          </cell>
        </row>
        <row r="47">
          <cell r="C47" t="str">
            <v>面条女孩</v>
          </cell>
          <cell r="D47">
            <v>2</v>
          </cell>
          <cell r="E47">
            <v>22.5</v>
          </cell>
          <cell r="F47">
            <v>22.5</v>
          </cell>
          <cell r="G47">
            <v>33</v>
          </cell>
          <cell r="H47">
            <v>0.894</v>
          </cell>
          <cell r="I47">
            <v>1.262</v>
          </cell>
          <cell r="J47">
            <v>0.01670625</v>
          </cell>
        </row>
        <row r="48">
          <cell r="A48">
            <v>320840</v>
          </cell>
        </row>
        <row r="48">
          <cell r="C48" t="str">
            <v>披萨女孩</v>
          </cell>
          <cell r="D48">
            <v>2</v>
          </cell>
          <cell r="E48">
            <v>22.5</v>
          </cell>
          <cell r="F48">
            <v>22.5</v>
          </cell>
          <cell r="G48">
            <v>33</v>
          </cell>
          <cell r="H48">
            <v>0.894</v>
          </cell>
          <cell r="I48">
            <v>1.262</v>
          </cell>
          <cell r="J48">
            <v>0.01670625</v>
          </cell>
        </row>
        <row r="49">
          <cell r="A49">
            <v>320841</v>
          </cell>
          <cell r="B49" t="str">
            <v>FIDGIE FRIENDS UNICORN SPRINKLES</v>
          </cell>
          <cell r="C49" t="str">
            <v>独角女孩</v>
          </cell>
          <cell r="D49">
            <v>2</v>
          </cell>
          <cell r="E49">
            <v>22.5</v>
          </cell>
          <cell r="F49">
            <v>22.5</v>
          </cell>
          <cell r="G49">
            <v>33</v>
          </cell>
          <cell r="H49">
            <v>0.894</v>
          </cell>
          <cell r="I49">
            <v>1.262</v>
          </cell>
          <cell r="J49">
            <v>0.01670625</v>
          </cell>
        </row>
        <row r="50">
          <cell r="A50">
            <v>320915</v>
          </cell>
          <cell r="B50" t="str">
            <v>HONEY BEE ACRES RAINBOW RIDGE - 9 STYLES</v>
          </cell>
          <cell r="C50" t="str">
            <v>圣装伙伴</v>
          </cell>
          <cell r="D50">
            <v>4</v>
          </cell>
          <cell r="E50">
            <v>31.5</v>
          </cell>
          <cell r="F50">
            <v>25</v>
          </cell>
          <cell r="G50">
            <v>20</v>
          </cell>
          <cell r="H50">
            <v>0.82</v>
          </cell>
          <cell r="I50">
            <v>1.08</v>
          </cell>
          <cell r="J50">
            <v>0.01575</v>
          </cell>
        </row>
        <row r="51">
          <cell r="A51">
            <v>320643</v>
          </cell>
        </row>
        <row r="51">
          <cell r="C51" t="str">
            <v>复活节彩蛋</v>
          </cell>
          <cell r="D51">
            <v>24</v>
          </cell>
          <cell r="E51">
            <v>62.3316</v>
          </cell>
          <cell r="F51">
            <v>37.465</v>
          </cell>
          <cell r="G51">
            <v>14.605</v>
          </cell>
        </row>
        <row r="51">
          <cell r="J51">
            <v>0.03410637581937</v>
          </cell>
        </row>
        <row r="52">
          <cell r="A52">
            <v>320993</v>
          </cell>
        </row>
        <row r="52">
          <cell r="C52" t="str">
            <v>健身房</v>
          </cell>
          <cell r="D52">
            <v>5</v>
          </cell>
          <cell r="E52">
            <v>59.69</v>
          </cell>
          <cell r="F52">
            <v>39.37</v>
          </cell>
          <cell r="G52">
            <v>44.45</v>
          </cell>
        </row>
        <row r="52">
          <cell r="J52">
            <v>0.104457291085</v>
          </cell>
        </row>
        <row r="53">
          <cell r="A53" t="str">
            <v>12369（1）</v>
          </cell>
        </row>
        <row r="53">
          <cell r="C53" t="str">
            <v>摇摆米奇</v>
          </cell>
          <cell r="D53">
            <v>1</v>
          </cell>
          <cell r="E53">
            <v>37.084</v>
          </cell>
          <cell r="F53">
            <v>16.51</v>
          </cell>
          <cell r="G53">
            <v>42.545</v>
          </cell>
        </row>
        <row r="53">
          <cell r="J53">
            <v>0.0260484672578</v>
          </cell>
        </row>
        <row r="54">
          <cell r="A54" t="str">
            <v>12369（2）</v>
          </cell>
        </row>
        <row r="54">
          <cell r="C54" t="str">
            <v>摇摆米奇</v>
          </cell>
          <cell r="D54">
            <v>2</v>
          </cell>
          <cell r="E54">
            <v>37.084</v>
          </cell>
          <cell r="F54">
            <v>31.75</v>
          </cell>
          <cell r="G54">
            <v>42.545</v>
          </cell>
        </row>
        <row r="54">
          <cell r="J54">
            <v>0.050093206265</v>
          </cell>
        </row>
        <row r="55">
          <cell r="A55" t="str">
            <v>12369（3）</v>
          </cell>
        </row>
        <row r="55">
          <cell r="C55" t="str">
            <v>摇摆米奇</v>
          </cell>
          <cell r="D55">
            <v>3</v>
          </cell>
          <cell r="E55">
            <v>48.26</v>
          </cell>
          <cell r="F55">
            <v>36.83</v>
          </cell>
          <cell r="G55">
            <v>42.545</v>
          </cell>
        </row>
        <row r="55">
          <cell r="J55">
            <v>0.075620155211</v>
          </cell>
        </row>
        <row r="56">
          <cell r="A56" t="str">
            <v>12369（4）</v>
          </cell>
          <cell r="B56" t="str">
            <v>纸箱（4个装）</v>
          </cell>
          <cell r="C56" t="str">
            <v>摇摆米奇</v>
          </cell>
          <cell r="D56">
            <v>4</v>
          </cell>
          <cell r="E56">
            <v>64.135</v>
          </cell>
          <cell r="F56">
            <v>36.83</v>
          </cell>
          <cell r="G56">
            <v>42.545</v>
          </cell>
        </row>
        <row r="56">
          <cell r="J56">
            <v>0.10049520626725</v>
          </cell>
        </row>
        <row r="57">
          <cell r="A57" t="str">
            <v>96112（1）</v>
          </cell>
          <cell r="B57" t="str">
            <v>纸箱（1个装有彩盒）</v>
          </cell>
          <cell r="C57" t="str">
            <v>JJ大头娃娃</v>
          </cell>
        </row>
        <row r="57">
          <cell r="E57">
            <v>30</v>
          </cell>
          <cell r="F57">
            <v>28</v>
          </cell>
          <cell r="G57">
            <v>18.5</v>
          </cell>
        </row>
        <row r="57">
          <cell r="J57">
            <v>0.01554</v>
          </cell>
        </row>
        <row r="58">
          <cell r="A58" t="str">
            <v>96112（9）</v>
          </cell>
          <cell r="B58" t="str">
            <v>纸箱（9个装无彩盒）</v>
          </cell>
          <cell r="C58" t="str">
            <v>JJ大头娃娃</v>
          </cell>
        </row>
        <row r="58">
          <cell r="E58">
            <v>53.34</v>
          </cell>
          <cell r="F58">
            <v>45.72</v>
          </cell>
          <cell r="G58">
            <v>27.94</v>
          </cell>
        </row>
        <row r="58">
          <cell r="J58">
            <v>0.068137412112</v>
          </cell>
        </row>
        <row r="59">
          <cell r="A59" t="str">
            <v>96112（4）</v>
          </cell>
          <cell r="B59" t="str">
            <v>纸箱（4个装有彩盒）</v>
          </cell>
          <cell r="C59" t="str">
            <v>JJ大头娃娃</v>
          </cell>
        </row>
        <row r="59">
          <cell r="E59">
            <v>54</v>
          </cell>
          <cell r="F59">
            <v>35</v>
          </cell>
          <cell r="G59">
            <v>31</v>
          </cell>
        </row>
        <row r="59">
          <cell r="J59">
            <v>0.05859</v>
          </cell>
        </row>
        <row r="60">
          <cell r="A60" t="str">
            <v>96112（6）</v>
          </cell>
          <cell r="B60" t="str">
            <v>纸箱（6个装有彩盒）</v>
          </cell>
          <cell r="C60" t="str">
            <v>JJ大头娃娃</v>
          </cell>
        </row>
        <row r="60">
          <cell r="E60">
            <v>52.705</v>
          </cell>
          <cell r="F60">
            <v>52.07</v>
          </cell>
          <cell r="G60">
            <v>29.845</v>
          </cell>
        </row>
        <row r="60">
          <cell r="J60">
            <v>0.08190510635075</v>
          </cell>
        </row>
        <row r="61">
          <cell r="A61">
            <v>96112</v>
          </cell>
          <cell r="B61" t="str">
            <v>邮包盒无彩盒</v>
          </cell>
          <cell r="C61" t="str">
            <v>JJ大头娃娃</v>
          </cell>
        </row>
        <row r="61">
          <cell r="E61">
            <v>26.67</v>
          </cell>
          <cell r="F61">
            <v>14.605</v>
          </cell>
          <cell r="G61">
            <v>27.94</v>
          </cell>
        </row>
        <row r="61">
          <cell r="J61">
            <v>0.010883058879</v>
          </cell>
        </row>
        <row r="62">
          <cell r="A62" t="str">
            <v>96112（邮包）</v>
          </cell>
          <cell r="B62" t="str">
            <v>6个邮包盒纸箱</v>
          </cell>
          <cell r="C62" t="str">
            <v>JJ大头娃娃</v>
          </cell>
        </row>
        <row r="62">
          <cell r="E62">
            <v>54.61</v>
          </cell>
          <cell r="F62">
            <v>45.72</v>
          </cell>
          <cell r="G62">
            <v>29.21</v>
          </cell>
        </row>
        <row r="62">
          <cell r="J62">
            <v>0.072930628332</v>
          </cell>
        </row>
        <row r="63">
          <cell r="A63" t="str">
            <v>96112（PDQ）</v>
          </cell>
          <cell r="B63" t="str">
            <v>纸箱（6个装BJ版PDQ）</v>
          </cell>
          <cell r="C63" t="str">
            <v>JJ大头娃娃</v>
          </cell>
        </row>
        <row r="63">
          <cell r="E63">
            <v>54.61</v>
          </cell>
          <cell r="F63">
            <v>52.705</v>
          </cell>
          <cell r="G63">
            <v>30.48</v>
          </cell>
        </row>
        <row r="63">
          <cell r="J63">
            <v>0.087728147124</v>
          </cell>
        </row>
        <row r="64">
          <cell r="A64" t="str">
            <v>96112（39）</v>
          </cell>
          <cell r="B64" t="str">
            <v>纸箱（39个装有彩盒）</v>
          </cell>
          <cell r="C64" t="str">
            <v>JJ大头娃娃</v>
          </cell>
        </row>
        <row r="64">
          <cell r="E64">
            <v>124</v>
          </cell>
          <cell r="F64">
            <v>54</v>
          </cell>
          <cell r="G64">
            <v>88</v>
          </cell>
        </row>
        <row r="64">
          <cell r="J64">
            <v>0.589248</v>
          </cell>
        </row>
        <row r="65">
          <cell r="A65" t="str">
            <v>88188（3）</v>
          </cell>
          <cell r="B65" t="str">
            <v>纸箱（3个装）</v>
          </cell>
          <cell r="C65" t="str">
            <v>背包狗</v>
          </cell>
        </row>
        <row r="65">
          <cell r="E65">
            <v>55.245</v>
          </cell>
          <cell r="F65">
            <v>24.765</v>
          </cell>
          <cell r="G65">
            <v>35.56</v>
          </cell>
        </row>
        <row r="65">
          <cell r="J65">
            <v>0.048651144633</v>
          </cell>
        </row>
        <row r="66">
          <cell r="A66" t="str">
            <v>88188（1）</v>
          </cell>
          <cell r="B66" t="str">
            <v>纸箱（1个装）</v>
          </cell>
          <cell r="C66" t="str">
            <v>背包狗</v>
          </cell>
        </row>
        <row r="66">
          <cell r="E66">
            <v>24.13</v>
          </cell>
          <cell r="F66">
            <v>19.05</v>
          </cell>
          <cell r="G66">
            <v>34.29</v>
          </cell>
        </row>
        <row r="66">
          <cell r="J66">
            <v>0.015762307185</v>
          </cell>
        </row>
        <row r="67">
          <cell r="A67">
            <v>95526</v>
          </cell>
          <cell r="B67" t="str">
            <v>纸箱（18个装）</v>
          </cell>
        </row>
        <row r="67">
          <cell r="E67">
            <v>24</v>
          </cell>
          <cell r="F67">
            <v>22</v>
          </cell>
          <cell r="G67">
            <v>39.5</v>
          </cell>
        </row>
        <row r="67">
          <cell r="J67">
            <v>0.020856</v>
          </cell>
        </row>
        <row r="68">
          <cell r="A68" t="str">
            <v>42062（2）</v>
          </cell>
          <cell r="B68" t="str">
            <v>纸箱（2个装）</v>
          </cell>
          <cell r="C68" t="str">
            <v>大狗</v>
          </cell>
        </row>
        <row r="68">
          <cell r="E68">
            <v>35</v>
          </cell>
          <cell r="F68">
            <v>32.5</v>
          </cell>
          <cell r="G68">
            <v>29.5</v>
          </cell>
        </row>
        <row r="68">
          <cell r="J68">
            <v>0.03355625</v>
          </cell>
        </row>
        <row r="69">
          <cell r="A69" t="str">
            <v>42064（2）</v>
          </cell>
          <cell r="B69" t="str">
            <v>纸箱（2个装）</v>
          </cell>
          <cell r="C69" t="str">
            <v>大马</v>
          </cell>
        </row>
        <row r="69">
          <cell r="E69">
            <v>35</v>
          </cell>
          <cell r="F69">
            <v>32.5</v>
          </cell>
          <cell r="G69">
            <v>29.5</v>
          </cell>
        </row>
        <row r="69">
          <cell r="J69">
            <v>0.03355625</v>
          </cell>
        </row>
        <row r="70">
          <cell r="A70" t="str">
            <v>42062（6）</v>
          </cell>
          <cell r="B70" t="str">
            <v>纸箱（6个装）</v>
          </cell>
          <cell r="C70" t="str">
            <v>大狗</v>
          </cell>
        </row>
        <row r="70">
          <cell r="E70">
            <v>57.15</v>
          </cell>
          <cell r="F70">
            <v>51.435</v>
          </cell>
          <cell r="G70">
            <v>31.75</v>
          </cell>
        </row>
        <row r="70">
          <cell r="J70">
            <v>0.0933294504375</v>
          </cell>
        </row>
        <row r="71">
          <cell r="A71" t="str">
            <v>42064（6）</v>
          </cell>
          <cell r="B71" t="str">
            <v>纸箱（6个装）</v>
          </cell>
          <cell r="C71" t="str">
            <v>大马</v>
          </cell>
        </row>
        <row r="71">
          <cell r="E71">
            <v>57.15</v>
          </cell>
          <cell r="F71">
            <v>51.435</v>
          </cell>
          <cell r="G71">
            <v>31.75</v>
          </cell>
        </row>
        <row r="71">
          <cell r="J71">
            <v>0.0933294504375</v>
          </cell>
        </row>
        <row r="72">
          <cell r="A72" t="str">
            <v>42069(6)</v>
          </cell>
          <cell r="B72" t="str">
            <v>纸箱（6个装）</v>
          </cell>
          <cell r="C72" t="str">
            <v>大狗</v>
          </cell>
        </row>
        <row r="72">
          <cell r="E72">
            <v>57.15</v>
          </cell>
          <cell r="F72">
            <v>51.435</v>
          </cell>
          <cell r="G72">
            <v>31.75</v>
          </cell>
        </row>
        <row r="72">
          <cell r="J72">
            <v>0.0933294504375</v>
          </cell>
        </row>
        <row r="73">
          <cell r="A73" t="str">
            <v>42068(6)</v>
          </cell>
          <cell r="B73" t="str">
            <v>纸箱（6个装）</v>
          </cell>
          <cell r="C73" t="str">
            <v>大马</v>
          </cell>
        </row>
        <row r="73">
          <cell r="E73">
            <v>57.15</v>
          </cell>
          <cell r="F73">
            <v>51.435</v>
          </cell>
          <cell r="G73">
            <v>31.75</v>
          </cell>
        </row>
        <row r="73">
          <cell r="J73">
            <v>0.0933294504375</v>
          </cell>
        </row>
        <row r="74">
          <cell r="A74" t="str">
            <v>42087(6)</v>
          </cell>
          <cell r="B74" t="str">
            <v>纸箱（6个装）</v>
          </cell>
          <cell r="C74" t="str">
            <v>大马</v>
          </cell>
        </row>
        <row r="74">
          <cell r="E74">
            <v>57.15</v>
          </cell>
          <cell r="F74">
            <v>51.435</v>
          </cell>
          <cell r="G74">
            <v>31.75</v>
          </cell>
        </row>
        <row r="74">
          <cell r="J74">
            <v>0.0933294504375</v>
          </cell>
        </row>
        <row r="75">
          <cell r="A75" t="str">
            <v>42069/87</v>
          </cell>
          <cell r="B75" t="str">
            <v>纸箱（6个装）</v>
          </cell>
          <cell r="C75" t="str">
            <v>大狗/大马混装</v>
          </cell>
        </row>
        <row r="75">
          <cell r="E75">
            <v>57.15</v>
          </cell>
          <cell r="F75">
            <v>51.435</v>
          </cell>
          <cell r="G75">
            <v>31.75</v>
          </cell>
        </row>
        <row r="75">
          <cell r="J75">
            <v>0.0933294504375</v>
          </cell>
        </row>
        <row r="76">
          <cell r="A76" t="str">
            <v>470111（4）</v>
          </cell>
          <cell r="B76" t="str">
            <v>纸箱（4个装）</v>
          </cell>
          <cell r="C76" t="str">
            <v>卷发女孩</v>
          </cell>
        </row>
        <row r="76">
          <cell r="E76">
            <v>27.94</v>
          </cell>
          <cell r="F76">
            <v>16.51</v>
          </cell>
          <cell r="G76">
            <v>33</v>
          </cell>
        </row>
        <row r="76">
          <cell r="J76">
            <v>0.0152225502</v>
          </cell>
        </row>
        <row r="77">
          <cell r="A77" t="str">
            <v>470112（4）</v>
          </cell>
          <cell r="B77" t="str">
            <v>纸箱（4个装）</v>
          </cell>
          <cell r="C77" t="str">
            <v>黄色狗</v>
          </cell>
        </row>
        <row r="77">
          <cell r="E77">
            <v>27.94</v>
          </cell>
          <cell r="F77">
            <v>16.51</v>
          </cell>
          <cell r="G77">
            <v>33</v>
          </cell>
        </row>
        <row r="77">
          <cell r="J77">
            <v>0.0152225502</v>
          </cell>
        </row>
        <row r="78">
          <cell r="A78" t="str">
            <v>470113（4）</v>
          </cell>
          <cell r="B78" t="str">
            <v>纸箱（4个装）</v>
          </cell>
          <cell r="C78" t="str">
            <v>直发女孩</v>
          </cell>
        </row>
        <row r="78">
          <cell r="E78">
            <v>27.94</v>
          </cell>
          <cell r="F78">
            <v>16.51</v>
          </cell>
          <cell r="G78">
            <v>33</v>
          </cell>
        </row>
        <row r="78">
          <cell r="J78">
            <v>0.0152225502</v>
          </cell>
        </row>
        <row r="79">
          <cell r="A79" t="str">
            <v>470114（4）</v>
          </cell>
          <cell r="B79" t="str">
            <v>纸箱（4个装）</v>
          </cell>
          <cell r="C79" t="str">
            <v>粉色兔子</v>
          </cell>
        </row>
        <row r="79">
          <cell r="E79">
            <v>27.94</v>
          </cell>
          <cell r="F79">
            <v>16.51</v>
          </cell>
          <cell r="G79">
            <v>33</v>
          </cell>
        </row>
        <row r="79">
          <cell r="J79">
            <v>0.0152225502</v>
          </cell>
        </row>
        <row r="80">
          <cell r="A80" t="str">
            <v>470111（18）</v>
          </cell>
          <cell r="B80" t="str">
            <v>纸箱（18个装）</v>
          </cell>
          <cell r="C80" t="str">
            <v>卷发女孩</v>
          </cell>
        </row>
        <row r="80">
          <cell r="E80">
            <v>48.26</v>
          </cell>
          <cell r="F80">
            <v>40.64</v>
          </cell>
          <cell r="G80">
            <v>31.75</v>
          </cell>
        </row>
        <row r="80">
          <cell r="J80">
            <v>0.0622708432</v>
          </cell>
        </row>
        <row r="81">
          <cell r="A81" t="str">
            <v>470112（18）</v>
          </cell>
          <cell r="B81" t="str">
            <v>纸箱（18个装）</v>
          </cell>
          <cell r="C81" t="str">
            <v>黄色狗</v>
          </cell>
        </row>
        <row r="81">
          <cell r="E81">
            <v>48.26</v>
          </cell>
          <cell r="F81">
            <v>40.64</v>
          </cell>
          <cell r="G81">
            <v>31.75</v>
          </cell>
        </row>
        <row r="81">
          <cell r="J81">
            <v>0.0622708432</v>
          </cell>
        </row>
        <row r="82">
          <cell r="A82" t="str">
            <v>470113（18）</v>
          </cell>
          <cell r="B82" t="str">
            <v>纸箱（18个装）</v>
          </cell>
          <cell r="C82" t="str">
            <v>直发女孩</v>
          </cell>
        </row>
        <row r="82">
          <cell r="E82">
            <v>48.26</v>
          </cell>
          <cell r="F82">
            <v>40.64</v>
          </cell>
          <cell r="G82">
            <v>31.75</v>
          </cell>
        </row>
        <row r="82">
          <cell r="J82">
            <v>0.0622708432</v>
          </cell>
        </row>
        <row r="83">
          <cell r="A83" t="str">
            <v>470114（18）</v>
          </cell>
          <cell r="B83" t="str">
            <v>纸箱（18个装）</v>
          </cell>
          <cell r="C83" t="str">
            <v>粉色兔子</v>
          </cell>
        </row>
        <row r="83">
          <cell r="E83">
            <v>48.26</v>
          </cell>
          <cell r="F83">
            <v>40.64</v>
          </cell>
          <cell r="G83">
            <v>31.75</v>
          </cell>
        </row>
        <row r="83">
          <cell r="J83">
            <v>0.0622708432</v>
          </cell>
        </row>
        <row r="84">
          <cell r="A84" t="str">
            <v>470616（4）</v>
          </cell>
          <cell r="B84" t="str">
            <v>纸箱（4个装）</v>
          </cell>
          <cell r="C84" t="str">
            <v>直发仙女</v>
          </cell>
        </row>
        <row r="84">
          <cell r="E84">
            <v>33</v>
          </cell>
          <cell r="F84">
            <v>17.2</v>
          </cell>
          <cell r="G84">
            <v>28</v>
          </cell>
        </row>
        <row r="84">
          <cell r="J84">
            <v>0.0158928</v>
          </cell>
        </row>
        <row r="85">
          <cell r="A85" t="str">
            <v>12136（1）</v>
          </cell>
          <cell r="B85" t="str">
            <v>1个装纸箱</v>
          </cell>
          <cell r="C85" t="str">
            <v>爬爬米奇</v>
          </cell>
        </row>
        <row r="85">
          <cell r="E85">
            <v>30.48</v>
          </cell>
          <cell r="F85">
            <v>14.605</v>
          </cell>
          <cell r="G85">
            <v>24.13</v>
          </cell>
        </row>
        <row r="85">
          <cell r="J85">
            <v>0.010741720452</v>
          </cell>
        </row>
        <row r="86">
          <cell r="A86" t="str">
            <v>12136（2）</v>
          </cell>
          <cell r="B86" t="str">
            <v>2个装纸箱</v>
          </cell>
          <cell r="C86" t="str">
            <v>爬爬米奇</v>
          </cell>
        </row>
        <row r="86">
          <cell r="E86">
            <v>30.48</v>
          </cell>
          <cell r="F86">
            <v>27.94</v>
          </cell>
          <cell r="G86">
            <v>24.13</v>
          </cell>
        </row>
        <row r="86">
          <cell r="J86">
            <v>0.020549378256</v>
          </cell>
        </row>
        <row r="87">
          <cell r="A87" t="str">
            <v>12136（4）</v>
          </cell>
          <cell r="B87" t="str">
            <v>4个装纸箱</v>
          </cell>
          <cell r="C87" t="str">
            <v>爬爬米奇</v>
          </cell>
        </row>
        <row r="87">
          <cell r="E87">
            <v>57.785</v>
          </cell>
          <cell r="F87">
            <v>27.94</v>
          </cell>
          <cell r="G87">
            <v>24.13</v>
          </cell>
        </row>
        <row r="87">
          <cell r="J87">
            <v>0.038958196277</v>
          </cell>
        </row>
        <row r="88">
          <cell r="A88" t="str">
            <v>12136（8）</v>
          </cell>
          <cell r="B88" t="str">
            <v>8个装纸箱</v>
          </cell>
          <cell r="C88" t="str">
            <v>爬爬米奇</v>
          </cell>
        </row>
        <row r="88">
          <cell r="E88">
            <v>57.785</v>
          </cell>
          <cell r="F88">
            <v>57.15</v>
          </cell>
          <cell r="G88">
            <v>25.4</v>
          </cell>
        </row>
        <row r="88">
          <cell r="J88">
            <v>0.08388128385</v>
          </cell>
        </row>
        <row r="89">
          <cell r="A89" t="str">
            <v>12137（1）</v>
          </cell>
          <cell r="B89" t="str">
            <v>1个装纸箱</v>
          </cell>
          <cell r="C89" t="str">
            <v>爬爬米妮</v>
          </cell>
        </row>
        <row r="89">
          <cell r="E89">
            <v>30.48</v>
          </cell>
          <cell r="F89">
            <v>14.605</v>
          </cell>
          <cell r="G89">
            <v>24.13</v>
          </cell>
        </row>
        <row r="89">
          <cell r="J89">
            <v>0.010741720452</v>
          </cell>
        </row>
        <row r="90">
          <cell r="A90" t="str">
            <v>12137（2）</v>
          </cell>
          <cell r="B90" t="str">
            <v>2个装纸箱</v>
          </cell>
          <cell r="C90" t="str">
            <v>爬爬米妮</v>
          </cell>
        </row>
        <row r="90">
          <cell r="E90">
            <v>30.48</v>
          </cell>
          <cell r="F90">
            <v>27.94</v>
          </cell>
          <cell r="G90">
            <v>24.13</v>
          </cell>
        </row>
        <row r="90">
          <cell r="J90">
            <v>0.020549378256</v>
          </cell>
        </row>
        <row r="91">
          <cell r="A91" t="str">
            <v>12137（4）</v>
          </cell>
          <cell r="B91" t="str">
            <v>4个装纸箱</v>
          </cell>
          <cell r="C91" t="str">
            <v>爬爬米妮</v>
          </cell>
        </row>
        <row r="91">
          <cell r="E91">
            <v>57.785</v>
          </cell>
          <cell r="F91">
            <v>27.94</v>
          </cell>
          <cell r="G91">
            <v>24.13</v>
          </cell>
        </row>
        <row r="91">
          <cell r="J91">
            <v>0.038958196277</v>
          </cell>
        </row>
        <row r="92">
          <cell r="A92" t="str">
            <v>12137（8）</v>
          </cell>
          <cell r="B92" t="str">
            <v>8个装纸箱</v>
          </cell>
          <cell r="C92" t="str">
            <v>爬爬米妮</v>
          </cell>
        </row>
        <row r="92">
          <cell r="E92">
            <v>57.785</v>
          </cell>
          <cell r="F92">
            <v>57.15</v>
          </cell>
          <cell r="G92">
            <v>25.4</v>
          </cell>
        </row>
        <row r="92">
          <cell r="J92">
            <v>0.08388128385</v>
          </cell>
        </row>
        <row r="93">
          <cell r="A93" t="str">
            <v>12125（4）</v>
          </cell>
          <cell r="B93" t="str">
            <v>4个装纸箱</v>
          </cell>
          <cell r="C93" t="str">
            <v>爬爬系列</v>
          </cell>
        </row>
        <row r="93">
          <cell r="E93">
            <v>57.785</v>
          </cell>
          <cell r="F93">
            <v>27.94</v>
          </cell>
          <cell r="G93">
            <v>24.13</v>
          </cell>
        </row>
        <row r="93">
          <cell r="J93">
            <v>0.038958196277</v>
          </cell>
        </row>
        <row r="94">
          <cell r="A94" t="str">
            <v>320398（14）</v>
          </cell>
          <cell r="B94" t="str">
            <v>14个装纸箱</v>
          </cell>
          <cell r="C94" t="str">
            <v>兔子家族</v>
          </cell>
        </row>
        <row r="94">
          <cell r="E94">
            <v>42</v>
          </cell>
          <cell r="F94">
            <v>36</v>
          </cell>
          <cell r="G94">
            <v>22.5</v>
          </cell>
        </row>
        <row r="94">
          <cell r="J94">
            <v>0.03402</v>
          </cell>
        </row>
        <row r="95">
          <cell r="A95">
            <v>320635</v>
          </cell>
          <cell r="B95" t="str">
            <v>2个装纸箱</v>
          </cell>
          <cell r="C95" t="str">
            <v>校车</v>
          </cell>
        </row>
        <row r="95">
          <cell r="E95">
            <v>35.18</v>
          </cell>
          <cell r="F95">
            <v>27.18</v>
          </cell>
          <cell r="G95">
            <v>16.51</v>
          </cell>
        </row>
        <row r="95">
          <cell r="J95">
            <v>0.015786736524</v>
          </cell>
        </row>
        <row r="96">
          <cell r="A96">
            <v>470230</v>
          </cell>
          <cell r="B96" t="str">
            <v>2个装纸箱</v>
          </cell>
          <cell r="C96" t="str">
            <v>转面公仔</v>
          </cell>
        </row>
        <row r="96">
          <cell r="E96">
            <v>35.56</v>
          </cell>
          <cell r="F96">
            <v>22.86</v>
          </cell>
          <cell r="G96">
            <v>30</v>
          </cell>
        </row>
        <row r="96">
          <cell r="J96">
            <v>0.024387048</v>
          </cell>
        </row>
        <row r="97">
          <cell r="A97">
            <v>470231</v>
          </cell>
          <cell r="B97" t="str">
            <v>2个装纸箱</v>
          </cell>
          <cell r="C97" t="str">
            <v>转面公仔</v>
          </cell>
        </row>
        <row r="97">
          <cell r="E97">
            <v>35.56</v>
          </cell>
          <cell r="F97">
            <v>22.86</v>
          </cell>
          <cell r="G97">
            <v>31.75</v>
          </cell>
        </row>
        <row r="97">
          <cell r="J97">
            <v>0.0258096258</v>
          </cell>
        </row>
        <row r="98">
          <cell r="A98" t="str">
            <v>470232-KH</v>
          </cell>
          <cell r="B98" t="str">
            <v>2个装纸箱</v>
          </cell>
          <cell r="C98" t="str">
            <v>转面公仔</v>
          </cell>
        </row>
        <row r="98">
          <cell r="E98">
            <v>35.56</v>
          </cell>
          <cell r="F98">
            <v>22.86</v>
          </cell>
          <cell r="G98">
            <v>31.75</v>
          </cell>
        </row>
        <row r="98">
          <cell r="J98">
            <v>0.0258096258</v>
          </cell>
        </row>
        <row r="99">
          <cell r="A99">
            <v>470232</v>
          </cell>
          <cell r="B99" t="str">
            <v>2个装纸箱</v>
          </cell>
          <cell r="C99" t="str">
            <v>转面公仔</v>
          </cell>
        </row>
        <row r="99">
          <cell r="E99">
            <v>35.56</v>
          </cell>
          <cell r="F99">
            <v>22.86</v>
          </cell>
          <cell r="G99">
            <v>31.75</v>
          </cell>
        </row>
        <row r="99">
          <cell r="J99">
            <v>0.0258096258</v>
          </cell>
        </row>
        <row r="100">
          <cell r="A100">
            <v>470227</v>
          </cell>
          <cell r="B100" t="str">
            <v>2个装纸箱</v>
          </cell>
          <cell r="C100" t="str">
            <v>转面公仔</v>
          </cell>
        </row>
        <row r="100">
          <cell r="E100">
            <v>35.56</v>
          </cell>
          <cell r="F100">
            <v>22.86</v>
          </cell>
          <cell r="G100">
            <v>31.75</v>
          </cell>
        </row>
        <row r="100">
          <cell r="J100">
            <v>0.0258096258</v>
          </cell>
        </row>
        <row r="101">
          <cell r="A101">
            <v>470228</v>
          </cell>
          <cell r="B101" t="str">
            <v>2个装纸箱</v>
          </cell>
          <cell r="C101" t="str">
            <v>转面公仔</v>
          </cell>
        </row>
        <row r="101">
          <cell r="E101">
            <v>35.56</v>
          </cell>
          <cell r="F101">
            <v>22.86</v>
          </cell>
          <cell r="G101">
            <v>31.75</v>
          </cell>
        </row>
        <row r="101">
          <cell r="J101">
            <v>0.0258096258</v>
          </cell>
        </row>
        <row r="102">
          <cell r="A102">
            <v>86330</v>
          </cell>
          <cell r="B102" t="str">
            <v>2个装纸箱</v>
          </cell>
          <cell r="C102" t="str">
            <v>搪胶小鸭</v>
          </cell>
        </row>
        <row r="102">
          <cell r="E102">
            <v>25</v>
          </cell>
          <cell r="F102">
            <v>36</v>
          </cell>
          <cell r="G102">
            <v>39</v>
          </cell>
        </row>
        <row r="102">
          <cell r="J102">
            <v>0.0351</v>
          </cell>
        </row>
        <row r="103">
          <cell r="A103" t="str">
            <v>58725(48)</v>
          </cell>
          <cell r="B103" t="str">
            <v>48个装纸箱</v>
          </cell>
          <cell r="C103" t="str">
            <v>搪胶小鸭</v>
          </cell>
        </row>
        <row r="103">
          <cell r="E103">
            <v>34.925</v>
          </cell>
          <cell r="F103">
            <v>22.225</v>
          </cell>
          <cell r="G103">
            <v>19.05</v>
          </cell>
        </row>
        <row r="103">
          <cell r="J103">
            <v>0.01478676478125</v>
          </cell>
        </row>
        <row r="104">
          <cell r="A104">
            <v>26850</v>
          </cell>
          <cell r="B104" t="str">
            <v>48个装纸箱</v>
          </cell>
          <cell r="C104" t="str">
            <v>搪胶小鸭</v>
          </cell>
        </row>
        <row r="104">
          <cell r="E104">
            <v>34.925</v>
          </cell>
          <cell r="F104">
            <v>22.225</v>
          </cell>
          <cell r="G104">
            <v>19.05</v>
          </cell>
        </row>
        <row r="104">
          <cell r="J104">
            <v>0.01478676478125</v>
          </cell>
        </row>
        <row r="105">
          <cell r="A105" t="str">
            <v>33415（48）</v>
          </cell>
          <cell r="B105" t="str">
            <v>48个装纸箱</v>
          </cell>
          <cell r="C105" t="str">
            <v>搪胶小鸭</v>
          </cell>
          <cell r="D105">
            <v>48</v>
          </cell>
          <cell r="E105">
            <v>34.925</v>
          </cell>
          <cell r="F105">
            <v>22.225</v>
          </cell>
          <cell r="G105">
            <v>19.05</v>
          </cell>
        </row>
        <row r="105">
          <cell r="J105">
            <v>0.01478676478125</v>
          </cell>
        </row>
        <row r="106">
          <cell r="A106" t="str">
            <v>33415（24）</v>
          </cell>
          <cell r="B106" t="str">
            <v>24个装纸箱</v>
          </cell>
          <cell r="C106" t="str">
            <v>搪胶小鸭</v>
          </cell>
          <cell r="D106">
            <v>24</v>
          </cell>
          <cell r="E106">
            <v>28.575</v>
          </cell>
          <cell r="F106">
            <v>19.05</v>
          </cell>
          <cell r="G106">
            <v>16.51</v>
          </cell>
        </row>
        <row r="106">
          <cell r="J106">
            <v>0.0089872804125</v>
          </cell>
        </row>
        <row r="107">
          <cell r="A107" t="str">
            <v>33415（18）</v>
          </cell>
          <cell r="B107" t="str">
            <v>18个装纸箱</v>
          </cell>
          <cell r="C107" t="str">
            <v>搪胶小鸭</v>
          </cell>
          <cell r="D107">
            <v>18</v>
          </cell>
          <cell r="E107">
            <v>32.385</v>
          </cell>
          <cell r="F107">
            <v>17.78</v>
          </cell>
          <cell r="G107">
            <v>10.16</v>
          </cell>
        </row>
        <row r="107">
          <cell r="J107">
            <v>0.005850181848</v>
          </cell>
        </row>
        <row r="108">
          <cell r="A108" t="str">
            <v>33415（36）</v>
          </cell>
          <cell r="B108" t="str">
            <v>36个装纸箱</v>
          </cell>
          <cell r="C108" t="str">
            <v>搪胶小鸭</v>
          </cell>
          <cell r="D108">
            <v>36</v>
          </cell>
          <cell r="E108">
            <v>31.75</v>
          </cell>
          <cell r="F108">
            <v>17.145</v>
          </cell>
          <cell r="G108">
            <v>19.05</v>
          </cell>
        </row>
        <row r="108">
          <cell r="J108">
            <v>0.0103699389375</v>
          </cell>
        </row>
        <row r="109">
          <cell r="A109" t="str">
            <v>33465（24）</v>
          </cell>
          <cell r="B109" t="str">
            <v>24个装纸箱</v>
          </cell>
          <cell r="C109" t="str">
            <v>搪胶小鸭</v>
          </cell>
        </row>
        <row r="109">
          <cell r="E109">
            <v>31</v>
          </cell>
          <cell r="F109">
            <v>22</v>
          </cell>
          <cell r="G109">
            <v>19.5</v>
          </cell>
        </row>
        <row r="109">
          <cell r="J109">
            <v>0.013299</v>
          </cell>
        </row>
        <row r="110">
          <cell r="A110">
            <v>33440</v>
          </cell>
          <cell r="B110" t="str">
            <v>36个装纸箱</v>
          </cell>
          <cell r="C110" t="str">
            <v>搪胶小鸭</v>
          </cell>
        </row>
        <row r="110">
          <cell r="E110">
            <v>37</v>
          </cell>
          <cell r="F110">
            <v>30</v>
          </cell>
          <cell r="G110">
            <v>13.5</v>
          </cell>
        </row>
        <row r="110">
          <cell r="J110">
            <v>0.014985</v>
          </cell>
        </row>
        <row r="111">
          <cell r="A111">
            <v>92058</v>
          </cell>
          <cell r="B111" t="str">
            <v>2个装纸箱</v>
          </cell>
        </row>
        <row r="111">
          <cell r="E111">
            <v>47.625</v>
          </cell>
          <cell r="F111">
            <v>34.925</v>
          </cell>
          <cell r="G111">
            <v>38.1</v>
          </cell>
        </row>
        <row r="111">
          <cell r="J111">
            <v>0.0633718490625</v>
          </cell>
        </row>
        <row r="112">
          <cell r="A112">
            <v>42803</v>
          </cell>
          <cell r="B112" t="str">
            <v>4个装纸箱</v>
          </cell>
        </row>
        <row r="112">
          <cell r="E112">
            <v>32.385</v>
          </cell>
          <cell r="F112">
            <v>11.43</v>
          </cell>
          <cell r="G112">
            <v>16.51</v>
          </cell>
        </row>
        <row r="112">
          <cell r="J112">
            <v>0.0061113506805</v>
          </cell>
        </row>
        <row r="113">
          <cell r="A113">
            <v>470194</v>
          </cell>
          <cell r="B113" t="str">
            <v>2个装纸箱</v>
          </cell>
          <cell r="C113" t="str">
            <v>树屋</v>
          </cell>
        </row>
        <row r="113">
          <cell r="E113">
            <v>41.91</v>
          </cell>
          <cell r="F113">
            <v>31.75</v>
          </cell>
          <cell r="G113">
            <v>30.48</v>
          </cell>
        </row>
        <row r="113">
          <cell r="J113">
            <v>0.0405579834</v>
          </cell>
        </row>
        <row r="114">
          <cell r="A114" t="str">
            <v>14746(3)</v>
          </cell>
          <cell r="B114" t="str">
            <v>3个装纸箱</v>
          </cell>
          <cell r="C114" t="str">
            <v>坐姿米奇</v>
          </cell>
        </row>
        <row r="114">
          <cell r="E114">
            <v>51.435</v>
          </cell>
          <cell r="F114">
            <v>22.225</v>
          </cell>
          <cell r="G114">
            <v>34.925</v>
          </cell>
        </row>
        <row r="114">
          <cell r="J114">
            <v>0.039924264909375</v>
          </cell>
        </row>
        <row r="115">
          <cell r="A115" t="str">
            <v>14747(3)</v>
          </cell>
          <cell r="B115" t="str">
            <v>3个装纸箱</v>
          </cell>
          <cell r="C115" t="str">
            <v>坐姿米妮</v>
          </cell>
        </row>
        <row r="115">
          <cell r="E115">
            <v>51.435</v>
          </cell>
          <cell r="F115">
            <v>22.225</v>
          </cell>
          <cell r="G115">
            <v>34.925</v>
          </cell>
        </row>
        <row r="115">
          <cell r="J115">
            <v>0.039924264909375</v>
          </cell>
        </row>
        <row r="116">
          <cell r="A116" t="str">
            <v>14745(3)</v>
          </cell>
          <cell r="B116" t="str">
            <v>3个装纸箱</v>
          </cell>
          <cell r="C116" t="str">
            <v>坐姿米奇&amp;米妮</v>
          </cell>
        </row>
        <row r="116">
          <cell r="E116">
            <v>51.435</v>
          </cell>
          <cell r="F116">
            <v>22.225</v>
          </cell>
          <cell r="G116">
            <v>34.925</v>
          </cell>
        </row>
        <row r="116">
          <cell r="J116">
            <v>0.039924264909375</v>
          </cell>
        </row>
        <row r="117">
          <cell r="A117">
            <v>320738</v>
          </cell>
          <cell r="B117" t="str">
            <v>HOPSCOTCH LANE BOOSTER SEAT with TRAY</v>
          </cell>
          <cell r="C117" t="str">
            <v>跳伞车道座椅和托盘系列</v>
          </cell>
          <cell r="D117">
            <v>1</v>
          </cell>
          <cell r="E117">
            <v>35.56</v>
          </cell>
          <cell r="F117">
            <v>22</v>
          </cell>
          <cell r="G117">
            <v>40</v>
          </cell>
          <cell r="H117">
            <v>1.92</v>
          </cell>
          <cell r="I117">
            <v>2.22</v>
          </cell>
          <cell r="J117">
            <v>0.0312928</v>
          </cell>
        </row>
        <row r="118">
          <cell r="A118">
            <v>470448</v>
          </cell>
          <cell r="B118" t="str">
            <v>16装纸箱</v>
          </cell>
        </row>
        <row r="118">
          <cell r="E118">
            <v>33.02</v>
          </cell>
          <cell r="F118">
            <v>25.4</v>
          </cell>
          <cell r="G118">
            <v>14.605</v>
          </cell>
        </row>
        <row r="118">
          <cell r="J118">
            <v>0.01224933034</v>
          </cell>
        </row>
        <row r="119">
          <cell r="A119">
            <v>470449</v>
          </cell>
          <cell r="B119" t="str">
            <v>16装纸箱</v>
          </cell>
        </row>
        <row r="119">
          <cell r="E119">
            <v>33.02</v>
          </cell>
          <cell r="F119">
            <v>25.4</v>
          </cell>
          <cell r="G119">
            <v>14.605</v>
          </cell>
        </row>
        <row r="119">
          <cell r="J119">
            <v>0.01224933034</v>
          </cell>
        </row>
        <row r="120">
          <cell r="A120">
            <v>470450</v>
          </cell>
          <cell r="B120" t="str">
            <v>16装纸箱</v>
          </cell>
        </row>
        <row r="120">
          <cell r="E120">
            <v>33.02</v>
          </cell>
          <cell r="F120">
            <v>25.4</v>
          </cell>
          <cell r="G120">
            <v>14.605</v>
          </cell>
        </row>
        <row r="120">
          <cell r="J120">
            <v>0.01224933034</v>
          </cell>
        </row>
        <row r="121">
          <cell r="A121">
            <v>470451</v>
          </cell>
          <cell r="B121" t="str">
            <v>16装纸箱</v>
          </cell>
        </row>
        <row r="121">
          <cell r="E121">
            <v>33.02</v>
          </cell>
          <cell r="F121">
            <v>25.4</v>
          </cell>
          <cell r="G121">
            <v>14.605</v>
          </cell>
        </row>
        <row r="121">
          <cell r="J121">
            <v>0.01224933034</v>
          </cell>
        </row>
        <row r="122">
          <cell r="A122">
            <v>470453</v>
          </cell>
          <cell r="B122" t="str">
            <v>16装纸箱</v>
          </cell>
        </row>
        <row r="122">
          <cell r="E122">
            <v>39.37</v>
          </cell>
          <cell r="F122">
            <v>24.765</v>
          </cell>
          <cell r="G122">
            <v>17.145</v>
          </cell>
        </row>
        <row r="122">
          <cell r="J122">
            <v>0.01671634156725</v>
          </cell>
        </row>
        <row r="123">
          <cell r="A123">
            <v>470454</v>
          </cell>
          <cell r="B123" t="str">
            <v>16装纸箱</v>
          </cell>
        </row>
        <row r="123">
          <cell r="E123">
            <v>39.37</v>
          </cell>
          <cell r="F123">
            <v>24.765</v>
          </cell>
          <cell r="G123">
            <v>17.145</v>
          </cell>
        </row>
        <row r="123">
          <cell r="J123">
            <v>0.01671634156725</v>
          </cell>
        </row>
        <row r="124">
          <cell r="A124">
            <v>470455</v>
          </cell>
          <cell r="B124" t="str">
            <v>16装纸箱</v>
          </cell>
        </row>
        <row r="124">
          <cell r="E124">
            <v>39.37</v>
          </cell>
          <cell r="F124">
            <v>25.4</v>
          </cell>
          <cell r="G124">
            <v>25.4</v>
          </cell>
        </row>
        <row r="124">
          <cell r="J124">
            <v>0.0253999492</v>
          </cell>
        </row>
        <row r="125">
          <cell r="A125">
            <v>470456</v>
          </cell>
          <cell r="B125" t="str">
            <v>16装纸箱</v>
          </cell>
        </row>
        <row r="125">
          <cell r="E125">
            <v>39.37</v>
          </cell>
          <cell r="F125">
            <v>24.765</v>
          </cell>
          <cell r="G125">
            <v>17.145</v>
          </cell>
        </row>
        <row r="125">
          <cell r="J125">
            <v>0.01671634156725</v>
          </cell>
        </row>
        <row r="126">
          <cell r="A126">
            <v>470457</v>
          </cell>
          <cell r="B126" t="str">
            <v>16装纸箱</v>
          </cell>
        </row>
        <row r="126">
          <cell r="E126">
            <v>26.67</v>
          </cell>
          <cell r="F126">
            <v>17.78</v>
          </cell>
          <cell r="G126">
            <v>14.605</v>
          </cell>
        </row>
        <row r="126">
          <cell r="J126">
            <v>0.006925582923</v>
          </cell>
        </row>
        <row r="127">
          <cell r="A127">
            <v>470458</v>
          </cell>
          <cell r="B127" t="str">
            <v>16装纸箱</v>
          </cell>
        </row>
        <row r="127">
          <cell r="E127">
            <v>26.67</v>
          </cell>
          <cell r="F127">
            <v>17.78</v>
          </cell>
          <cell r="G127">
            <v>12.7</v>
          </cell>
        </row>
        <row r="127">
          <cell r="J127">
            <v>0.00602224602</v>
          </cell>
        </row>
        <row r="128">
          <cell r="A128">
            <v>470459</v>
          </cell>
          <cell r="B128" t="str">
            <v>16装纸箱</v>
          </cell>
        </row>
        <row r="128">
          <cell r="E128">
            <v>26.67</v>
          </cell>
          <cell r="F128">
            <v>17.78</v>
          </cell>
          <cell r="G128">
            <v>14.605</v>
          </cell>
        </row>
        <row r="128">
          <cell r="J128">
            <v>0.006925582923</v>
          </cell>
        </row>
        <row r="129">
          <cell r="A129">
            <v>470460</v>
          </cell>
          <cell r="B129" t="str">
            <v>16装纸箱</v>
          </cell>
        </row>
        <row r="129">
          <cell r="E129">
            <v>26.67</v>
          </cell>
          <cell r="F129">
            <v>17.78</v>
          </cell>
          <cell r="G129">
            <v>11.43</v>
          </cell>
        </row>
        <row r="129">
          <cell r="J129">
            <v>0.005420021418</v>
          </cell>
        </row>
        <row r="130">
          <cell r="A130">
            <v>470461</v>
          </cell>
          <cell r="B130" t="str">
            <v>16装纸箱</v>
          </cell>
        </row>
        <row r="130">
          <cell r="E130">
            <v>21.59</v>
          </cell>
          <cell r="F130">
            <v>16.51</v>
          </cell>
          <cell r="G130">
            <v>19.05</v>
          </cell>
        </row>
        <row r="130">
          <cell r="J130">
            <v>0.006790389645</v>
          </cell>
        </row>
        <row r="131">
          <cell r="A131">
            <v>470462</v>
          </cell>
          <cell r="B131" t="str">
            <v>16装纸箱</v>
          </cell>
        </row>
        <row r="131">
          <cell r="E131">
            <v>21.59</v>
          </cell>
          <cell r="F131">
            <v>16.51</v>
          </cell>
          <cell r="G131">
            <v>13.97</v>
          </cell>
        </row>
        <row r="131">
          <cell r="J131">
            <v>0.004979619073</v>
          </cell>
        </row>
        <row r="132">
          <cell r="A132">
            <v>470463</v>
          </cell>
          <cell r="B132" t="str">
            <v>16装纸箱</v>
          </cell>
        </row>
        <row r="132">
          <cell r="E132">
            <v>21.59</v>
          </cell>
          <cell r="F132">
            <v>16.51</v>
          </cell>
          <cell r="G132">
            <v>13.97</v>
          </cell>
        </row>
        <row r="132">
          <cell r="J132">
            <v>0.004979619073</v>
          </cell>
        </row>
        <row r="133">
          <cell r="A133">
            <v>470464</v>
          </cell>
          <cell r="B133" t="str">
            <v>16装纸箱</v>
          </cell>
        </row>
        <row r="133">
          <cell r="E133">
            <v>21.59</v>
          </cell>
          <cell r="F133">
            <v>16.51</v>
          </cell>
          <cell r="G133">
            <v>20.32</v>
          </cell>
        </row>
        <row r="133">
          <cell r="J133">
            <v>0.007243082288</v>
          </cell>
        </row>
        <row r="134">
          <cell r="A134">
            <v>11356</v>
          </cell>
          <cell r="B134" t="str">
            <v>6装纸箱</v>
          </cell>
          <cell r="C134" t="str">
            <v>米奇</v>
          </cell>
        </row>
        <row r="134">
          <cell r="E134">
            <v>36.83</v>
          </cell>
          <cell r="F134">
            <v>29.21</v>
          </cell>
          <cell r="G134">
            <v>17.78</v>
          </cell>
        </row>
        <row r="134">
          <cell r="J134">
            <v>0.019127800454</v>
          </cell>
        </row>
        <row r="135">
          <cell r="A135" t="str">
            <v>12136(4)</v>
          </cell>
          <cell r="B135" t="str">
            <v>4个装纸箱</v>
          </cell>
        </row>
        <row r="135">
          <cell r="E135">
            <v>57.785</v>
          </cell>
          <cell r="F135">
            <v>27.94</v>
          </cell>
          <cell r="G135">
            <v>24.13</v>
          </cell>
        </row>
        <row r="135">
          <cell r="J135">
            <v>0.038958196277</v>
          </cell>
        </row>
        <row r="136">
          <cell r="A136" t="str">
            <v>12137(4)</v>
          </cell>
          <cell r="B136" t="str">
            <v>4个装纸箱</v>
          </cell>
        </row>
        <row r="136">
          <cell r="E136">
            <v>57.785</v>
          </cell>
          <cell r="F136">
            <v>27.94</v>
          </cell>
          <cell r="G136">
            <v>24.13</v>
          </cell>
        </row>
        <row r="136">
          <cell r="J136">
            <v>0.038958196277</v>
          </cell>
        </row>
        <row r="137">
          <cell r="A137" t="str">
            <v>14878(4)</v>
          </cell>
          <cell r="B137" t="str">
            <v>4个装纸箱</v>
          </cell>
        </row>
        <row r="137">
          <cell r="E137">
            <v>57.785</v>
          </cell>
          <cell r="F137">
            <v>27.94</v>
          </cell>
          <cell r="G137">
            <v>24.13</v>
          </cell>
        </row>
        <row r="137">
          <cell r="J137">
            <v>0.038958196277</v>
          </cell>
        </row>
        <row r="138">
          <cell r="A138">
            <v>11356</v>
          </cell>
          <cell r="B138" t="str">
            <v>6装纸箱</v>
          </cell>
          <cell r="C138" t="str">
            <v>米奇</v>
          </cell>
        </row>
        <row r="138">
          <cell r="E138">
            <v>36.83</v>
          </cell>
          <cell r="F138">
            <v>29.21</v>
          </cell>
          <cell r="G138">
            <v>17.78</v>
          </cell>
        </row>
        <row r="138">
          <cell r="J138">
            <v>0.019127800454</v>
          </cell>
        </row>
        <row r="139">
          <cell r="A139">
            <v>11357</v>
          </cell>
          <cell r="B139" t="str">
            <v>6装纸箱</v>
          </cell>
          <cell r="C139" t="str">
            <v>米妮</v>
          </cell>
        </row>
        <row r="139">
          <cell r="E139">
            <v>36.83</v>
          </cell>
          <cell r="F139">
            <v>29.21</v>
          </cell>
          <cell r="G139">
            <v>17.78</v>
          </cell>
        </row>
        <row r="139">
          <cell r="J139">
            <v>0.019127800454</v>
          </cell>
        </row>
        <row r="140">
          <cell r="A140">
            <v>11358</v>
          </cell>
          <cell r="B140" t="str">
            <v>6装纸箱</v>
          </cell>
          <cell r="C140" t="str">
            <v>史迪仔</v>
          </cell>
        </row>
        <row r="140">
          <cell r="E140">
            <v>36.83</v>
          </cell>
          <cell r="F140">
            <v>29.21</v>
          </cell>
          <cell r="G140">
            <v>17.78</v>
          </cell>
        </row>
        <row r="140">
          <cell r="J140">
            <v>0.019127800454</v>
          </cell>
        </row>
        <row r="141">
          <cell r="A141">
            <v>11359</v>
          </cell>
          <cell r="B141" t="str">
            <v>6装纸箱</v>
          </cell>
          <cell r="C141" t="str">
            <v>辛巴</v>
          </cell>
        </row>
        <row r="141">
          <cell r="E141">
            <v>36.83</v>
          </cell>
          <cell r="F141">
            <v>29.21</v>
          </cell>
          <cell r="G141">
            <v>17.78</v>
          </cell>
        </row>
        <row r="141">
          <cell r="J141">
            <v>0.019127800454</v>
          </cell>
        </row>
        <row r="142">
          <cell r="A142">
            <v>11361</v>
          </cell>
          <cell r="B142" t="str">
            <v>6装纸箱</v>
          </cell>
          <cell r="C142" t="str">
            <v>冥王狗</v>
          </cell>
        </row>
        <row r="142">
          <cell r="E142">
            <v>36.83</v>
          </cell>
          <cell r="F142">
            <v>29.21</v>
          </cell>
          <cell r="G142">
            <v>17.78</v>
          </cell>
        </row>
        <row r="142">
          <cell r="J142">
            <v>0.019127800454</v>
          </cell>
        </row>
        <row r="143">
          <cell r="A143">
            <v>11362</v>
          </cell>
          <cell r="B143" t="str">
            <v>6装纸箱</v>
          </cell>
          <cell r="C143" t="str">
            <v>小飞象</v>
          </cell>
        </row>
        <row r="143">
          <cell r="E143">
            <v>36.83</v>
          </cell>
          <cell r="F143">
            <v>29.21</v>
          </cell>
          <cell r="G143">
            <v>17.78</v>
          </cell>
        </row>
        <row r="143">
          <cell r="J143">
            <v>0.019127800454</v>
          </cell>
        </row>
        <row r="144">
          <cell r="A144">
            <v>11363</v>
          </cell>
          <cell r="B144" t="str">
            <v>6装纸箱</v>
          </cell>
          <cell r="C144" t="str">
            <v>维尼熊</v>
          </cell>
        </row>
        <row r="144">
          <cell r="E144">
            <v>36.83</v>
          </cell>
          <cell r="F144">
            <v>29.21</v>
          </cell>
          <cell r="G144">
            <v>17.78</v>
          </cell>
        </row>
        <row r="144">
          <cell r="J144">
            <v>0.019127800454</v>
          </cell>
        </row>
        <row r="145">
          <cell r="A145">
            <v>11364</v>
          </cell>
          <cell r="B145" t="str">
            <v>6装纸箱</v>
          </cell>
          <cell r="C145" t="str">
            <v>玛丽猫</v>
          </cell>
        </row>
        <row r="145">
          <cell r="E145">
            <v>36.83</v>
          </cell>
          <cell r="F145">
            <v>29.21</v>
          </cell>
          <cell r="G145">
            <v>17.78</v>
          </cell>
        </row>
        <row r="145">
          <cell r="J145">
            <v>0.019127800454</v>
          </cell>
        </row>
        <row r="146">
          <cell r="A146">
            <v>26870</v>
          </cell>
          <cell r="B146" t="str">
            <v>48个装纸箱</v>
          </cell>
          <cell r="C146" t="str">
            <v>搪胶小鸭</v>
          </cell>
        </row>
        <row r="146">
          <cell r="E146">
            <v>34.925</v>
          </cell>
          <cell r="F146">
            <v>22.225</v>
          </cell>
          <cell r="G146">
            <v>19.05</v>
          </cell>
        </row>
        <row r="146">
          <cell r="J146">
            <v>0.01478676478125</v>
          </cell>
        </row>
        <row r="147">
          <cell r="A147">
            <v>320752</v>
          </cell>
          <cell r="B147" t="str">
            <v>BATMAN BOOSTER SEAT WITH TABLE</v>
          </cell>
          <cell r="C147" t="str">
            <v>蝙蝠侠座椅和托盘系列</v>
          </cell>
          <cell r="D147">
            <v>1</v>
          </cell>
          <cell r="E147">
            <v>35.56</v>
          </cell>
          <cell r="F147">
            <v>22</v>
          </cell>
          <cell r="G147">
            <v>40</v>
          </cell>
        </row>
        <row r="147">
          <cell r="J147">
            <v>0.0312928</v>
          </cell>
        </row>
        <row r="148">
          <cell r="A148">
            <v>320753</v>
          </cell>
          <cell r="B148" t="str">
            <v>COCOMELON BOOSTER SEAT with TRAY</v>
          </cell>
          <cell r="C148" t="str">
            <v>JJ座椅和托盘系列</v>
          </cell>
          <cell r="D148">
            <v>1</v>
          </cell>
          <cell r="E148">
            <v>35.56</v>
          </cell>
          <cell r="F148">
            <v>22</v>
          </cell>
          <cell r="G148">
            <v>40</v>
          </cell>
        </row>
        <row r="148">
          <cell r="J148">
            <v>0.0312928</v>
          </cell>
        </row>
        <row r="149">
          <cell r="A149">
            <v>470631</v>
          </cell>
        </row>
        <row r="149">
          <cell r="C149" t="str">
            <v>圣代雪糕树</v>
          </cell>
          <cell r="D149">
            <v>8</v>
          </cell>
          <cell r="E149">
            <v>30.7</v>
          </cell>
          <cell r="F149">
            <v>26.3</v>
          </cell>
          <cell r="G149">
            <v>18.8</v>
          </cell>
        </row>
        <row r="149">
          <cell r="J149">
            <v>0.015179308</v>
          </cell>
        </row>
        <row r="150">
          <cell r="A150">
            <v>470632</v>
          </cell>
        </row>
        <row r="150">
          <cell r="C150" t="str">
            <v>草莓吊饰</v>
          </cell>
          <cell r="D150">
            <v>8</v>
          </cell>
          <cell r="E150">
            <v>30.7</v>
          </cell>
          <cell r="F150">
            <v>26.3</v>
          </cell>
          <cell r="G150">
            <v>18.8</v>
          </cell>
        </row>
        <row r="150">
          <cell r="J150">
            <v>0.015179308</v>
          </cell>
        </row>
        <row r="151">
          <cell r="A151">
            <v>470633</v>
          </cell>
        </row>
        <row r="151">
          <cell r="C151" t="str">
            <v>粉色爱心书本</v>
          </cell>
          <cell r="D151">
            <v>8</v>
          </cell>
          <cell r="E151">
            <v>25.7</v>
          </cell>
          <cell r="F151">
            <v>21.2</v>
          </cell>
          <cell r="G151">
            <v>19.8</v>
          </cell>
        </row>
        <row r="151">
          <cell r="J151">
            <v>0.010787832</v>
          </cell>
        </row>
        <row r="152">
          <cell r="A152">
            <v>470634</v>
          </cell>
        </row>
        <row r="152">
          <cell r="C152" t="str">
            <v>书本糖果盒</v>
          </cell>
          <cell r="D152">
            <v>8</v>
          </cell>
          <cell r="E152">
            <v>25.7</v>
          </cell>
          <cell r="F152">
            <v>21.2</v>
          </cell>
          <cell r="G152">
            <v>19.8</v>
          </cell>
        </row>
        <row r="152">
          <cell r="J152">
            <v>0.010787832</v>
          </cell>
        </row>
        <row r="153">
          <cell r="A153" t="str">
            <v>16390（12）</v>
          </cell>
          <cell r="B153" t="str">
            <v>12个装纸箱</v>
          </cell>
          <cell r="C153" t="str">
            <v>情人节系列</v>
          </cell>
          <cell r="D153">
            <v>12</v>
          </cell>
          <cell r="E153">
            <v>20.955</v>
          </cell>
          <cell r="F153">
            <v>17.51</v>
          </cell>
          <cell r="G153">
            <v>8.255</v>
          </cell>
        </row>
        <row r="153">
          <cell r="J153">
            <v>0.00302894152275</v>
          </cell>
        </row>
        <row r="154">
          <cell r="A154" t="str">
            <v>16390（54）</v>
          </cell>
          <cell r="B154" t="str">
            <v>54个装纸箱</v>
          </cell>
          <cell r="C154" t="str">
            <v>情人节系列</v>
          </cell>
          <cell r="D154">
            <v>54</v>
          </cell>
          <cell r="E154">
            <v>35.29</v>
          </cell>
          <cell r="F154">
            <v>20.685</v>
          </cell>
          <cell r="G154">
            <v>34.29</v>
          </cell>
        </row>
        <row r="154">
          <cell r="J154">
            <v>0.0250307964585</v>
          </cell>
        </row>
        <row r="155">
          <cell r="A155" t="str">
            <v>16390（18）</v>
          </cell>
          <cell r="B155" t="str">
            <v>18个装纸箱</v>
          </cell>
          <cell r="C155" t="str">
            <v>情人节系列</v>
          </cell>
          <cell r="D155">
            <v>18</v>
          </cell>
          <cell r="E155">
            <v>32.385</v>
          </cell>
          <cell r="F155">
            <v>18.78</v>
          </cell>
          <cell r="G155">
            <v>9.525</v>
          </cell>
        </row>
        <row r="155">
          <cell r="J155">
            <v>0.0057930126075</v>
          </cell>
        </row>
        <row r="156">
          <cell r="A156" t="str">
            <v>33465（24）</v>
          </cell>
          <cell r="B156" t="str">
            <v>24个装纸箱</v>
          </cell>
          <cell r="C156" t="str">
            <v>WM小搪胶鸭子系列</v>
          </cell>
          <cell r="D156">
            <v>24</v>
          </cell>
          <cell r="E156">
            <v>28.575</v>
          </cell>
          <cell r="F156">
            <v>19.05</v>
          </cell>
          <cell r="G156">
            <v>16.51</v>
          </cell>
        </row>
        <row r="156">
          <cell r="J156">
            <v>0.0089872804125</v>
          </cell>
        </row>
        <row r="157">
          <cell r="A157" t="str">
            <v>36015（12）</v>
          </cell>
          <cell r="B157" t="str">
            <v>12个装纸箱</v>
          </cell>
          <cell r="C157" t="str">
            <v>复活节小鸭</v>
          </cell>
          <cell r="D157">
            <v>12</v>
          </cell>
          <cell r="E157">
            <v>22.7</v>
          </cell>
          <cell r="F157">
            <v>18.6</v>
          </cell>
          <cell r="G157">
            <v>9.8</v>
          </cell>
        </row>
        <row r="157">
          <cell r="J157">
            <v>0.004137756</v>
          </cell>
        </row>
        <row r="158">
          <cell r="A158" t="str">
            <v>36015（18）</v>
          </cell>
          <cell r="B158" t="str">
            <v>18个装纸箱</v>
          </cell>
          <cell r="C158" t="str">
            <v>复活节小鸭</v>
          </cell>
          <cell r="D158">
            <v>18</v>
          </cell>
          <cell r="E158">
            <v>32.385</v>
          </cell>
          <cell r="F158">
            <v>18.78</v>
          </cell>
          <cell r="G158">
            <v>9.525</v>
          </cell>
        </row>
        <row r="158">
          <cell r="J158">
            <v>0.0057930126075</v>
          </cell>
        </row>
        <row r="159">
          <cell r="A159" t="str">
            <v>36015（36）</v>
          </cell>
          <cell r="B159" t="str">
            <v>36个装纸箱</v>
          </cell>
          <cell r="C159" t="str">
            <v>复活节小鸭</v>
          </cell>
          <cell r="D159">
            <v>36</v>
          </cell>
          <cell r="E159">
            <v>22.225</v>
          </cell>
          <cell r="F159">
            <v>18.78</v>
          </cell>
          <cell r="G159">
            <v>26.035</v>
          </cell>
        </row>
        <row r="159">
          <cell r="J159">
            <v>0.0108666314925</v>
          </cell>
        </row>
        <row r="160">
          <cell r="A160" t="str">
            <v>36015（54）</v>
          </cell>
          <cell r="B160" t="str">
            <v>54个装纸箱</v>
          </cell>
          <cell r="C160" t="str">
            <v>复活节小鸭</v>
          </cell>
          <cell r="D160">
            <v>54</v>
          </cell>
          <cell r="E160">
            <v>34.29</v>
          </cell>
          <cell r="F160">
            <v>20.685</v>
          </cell>
          <cell r="G160">
            <v>34.29</v>
          </cell>
        </row>
        <row r="160">
          <cell r="J160">
            <v>0.0243215078085</v>
          </cell>
        </row>
        <row r="161">
          <cell r="A161" t="str">
            <v>470662（14）</v>
          </cell>
          <cell r="B161" t="str">
            <v>17个装纸箱</v>
          </cell>
        </row>
        <row r="161">
          <cell r="D161">
            <v>14</v>
          </cell>
          <cell r="E161">
            <v>46.99</v>
          </cell>
          <cell r="F161">
            <v>33.385</v>
          </cell>
          <cell r="G161">
            <v>31.75</v>
          </cell>
        </row>
        <row r="161">
          <cell r="J161">
            <v>0.0498081665125</v>
          </cell>
        </row>
        <row r="162">
          <cell r="A162">
            <v>320770</v>
          </cell>
          <cell r="B162" t="str">
            <v>3个装纸箱</v>
          </cell>
          <cell r="C162" t="str">
            <v>320405、406、407混装</v>
          </cell>
          <cell r="D162">
            <v>3</v>
          </cell>
          <cell r="E162">
            <v>31.5</v>
          </cell>
          <cell r="F162">
            <v>27</v>
          </cell>
          <cell r="G162">
            <v>20</v>
          </cell>
          <cell r="H162">
            <v>1.5</v>
          </cell>
          <cell r="I162">
            <v>1.83</v>
          </cell>
          <cell r="J162">
            <v>0.01701</v>
          </cell>
        </row>
        <row r="163">
          <cell r="A163" t="str">
            <v>470615（4）</v>
          </cell>
          <cell r="B163" t="str">
            <v>纸箱（4个装）</v>
          </cell>
        </row>
        <row r="163">
          <cell r="E163">
            <v>33</v>
          </cell>
          <cell r="F163">
            <v>17.2</v>
          </cell>
          <cell r="G163">
            <v>28</v>
          </cell>
        </row>
        <row r="163">
          <cell r="J163">
            <v>0.0158928</v>
          </cell>
        </row>
        <row r="164">
          <cell r="A164">
            <v>320913</v>
          </cell>
        </row>
        <row r="164">
          <cell r="C164" t="str">
            <v>卡车</v>
          </cell>
        </row>
        <row r="165">
          <cell r="A165">
            <v>320920</v>
          </cell>
        </row>
        <row r="165">
          <cell r="C165" t="str">
            <v>学校</v>
          </cell>
        </row>
        <row r="166">
          <cell r="A166" t="str">
            <v>17185(36)</v>
          </cell>
          <cell r="B166" t="str">
            <v>36个装纸箱</v>
          </cell>
          <cell r="C166" t="str">
            <v>复活节小鸭</v>
          </cell>
          <cell r="D166">
            <v>36</v>
          </cell>
          <cell r="E166">
            <v>22.225</v>
          </cell>
          <cell r="F166">
            <v>18.78</v>
          </cell>
          <cell r="G166">
            <v>26.035</v>
          </cell>
        </row>
        <row r="166">
          <cell r="J166">
            <v>0.0108666314925</v>
          </cell>
        </row>
        <row r="167">
          <cell r="A167" t="str">
            <v>320409-X</v>
          </cell>
          <cell r="B167" t="str">
            <v>HONEY BEE ACRES SUNFLOWER COUNTRY COTTAGE with Adult Figure </v>
          </cell>
          <cell r="C167" t="str">
            <v>向日葵家</v>
          </cell>
          <cell r="D167">
            <v>2</v>
          </cell>
          <cell r="E167">
            <v>40.259</v>
          </cell>
          <cell r="F167">
            <v>26.543</v>
          </cell>
          <cell r="G167">
            <v>26.035</v>
          </cell>
          <cell r="H167">
            <v>2.34</v>
          </cell>
          <cell r="I167">
            <v>3</v>
          </cell>
          <cell r="J167">
            <v>0.027820861374295</v>
          </cell>
        </row>
        <row r="168">
          <cell r="A168" t="str">
            <v>46113(1)</v>
          </cell>
          <cell r="B168" t="str">
            <v>1个装纸箱</v>
          </cell>
        </row>
        <row r="168">
          <cell r="D168">
            <v>1</v>
          </cell>
          <cell r="E168">
            <v>36</v>
          </cell>
          <cell r="F168">
            <v>24.3</v>
          </cell>
          <cell r="G168">
            <v>44</v>
          </cell>
        </row>
        <row r="168">
          <cell r="J168">
            <v>0.0384912</v>
          </cell>
        </row>
        <row r="169">
          <cell r="A169">
            <v>92568</v>
          </cell>
        </row>
        <row r="169">
          <cell r="D169">
            <v>60</v>
          </cell>
          <cell r="E169">
            <v>70.485</v>
          </cell>
          <cell r="F169">
            <v>47.355</v>
          </cell>
          <cell r="G169">
            <v>42.545</v>
          </cell>
        </row>
        <row r="169">
          <cell r="J169">
            <v>0.142007431710375</v>
          </cell>
        </row>
        <row r="170">
          <cell r="A170">
            <v>92569</v>
          </cell>
        </row>
        <row r="170">
          <cell r="D170">
            <v>60</v>
          </cell>
          <cell r="E170">
            <v>70.485</v>
          </cell>
          <cell r="F170">
            <v>47.355</v>
          </cell>
          <cell r="G170">
            <v>42.545</v>
          </cell>
        </row>
        <row r="170">
          <cell r="J170">
            <v>0.142007431710375</v>
          </cell>
        </row>
        <row r="171">
          <cell r="A171" t="str">
            <v>26850（18）</v>
          </cell>
          <cell r="B171" t="str">
            <v>18个装纸箱</v>
          </cell>
          <cell r="C171" t="str">
            <v>假日小鸭</v>
          </cell>
          <cell r="D171">
            <v>18</v>
          </cell>
          <cell r="E171">
            <v>32.385</v>
          </cell>
          <cell r="F171">
            <v>18.78</v>
          </cell>
          <cell r="G171">
            <v>9.525</v>
          </cell>
        </row>
        <row r="171">
          <cell r="J171">
            <v>0.0057930126075</v>
          </cell>
        </row>
        <row r="172">
          <cell r="A172" t="str">
            <v>26870（48）</v>
          </cell>
          <cell r="B172" t="str">
            <v>48个装纸箱</v>
          </cell>
          <cell r="C172" t="str">
            <v>恐怖小鸭</v>
          </cell>
          <cell r="D172">
            <v>48</v>
          </cell>
          <cell r="E172">
            <v>34.925</v>
          </cell>
          <cell r="F172">
            <v>22.225</v>
          </cell>
          <cell r="G172">
            <v>19.05</v>
          </cell>
        </row>
        <row r="172">
          <cell r="J172">
            <v>0.01478676478125</v>
          </cell>
        </row>
        <row r="173">
          <cell r="A173" t="str">
            <v>26850（48）</v>
          </cell>
          <cell r="B173" t="str">
            <v>48个装纸箱</v>
          </cell>
          <cell r="C173" t="str">
            <v>假日小鸭</v>
          </cell>
          <cell r="D173">
            <v>48</v>
          </cell>
          <cell r="E173">
            <v>34.925</v>
          </cell>
          <cell r="F173">
            <v>22.225</v>
          </cell>
          <cell r="G173">
            <v>19.05</v>
          </cell>
        </row>
        <row r="173">
          <cell r="J173">
            <v>0.01478676478125</v>
          </cell>
        </row>
        <row r="174">
          <cell r="A174" t="str">
            <v>46113(2)</v>
          </cell>
          <cell r="B174" t="str">
            <v>1个装纸箱</v>
          </cell>
          <cell r="C174" t="str">
            <v>史迪仔</v>
          </cell>
          <cell r="D174">
            <v>2</v>
          </cell>
          <cell r="E174">
            <v>45.72</v>
          </cell>
          <cell r="F174">
            <v>36.56</v>
          </cell>
          <cell r="G174">
            <v>41.91</v>
          </cell>
        </row>
        <row r="174">
          <cell r="J174">
            <v>0.070053537312</v>
          </cell>
        </row>
        <row r="175">
          <cell r="A175">
            <v>470805</v>
          </cell>
          <cell r="B175" t="str">
            <v>12个装纸箱</v>
          </cell>
          <cell r="C175" t="str">
            <v>硅胶鹿</v>
          </cell>
          <cell r="D175">
            <v>12</v>
          </cell>
          <cell r="E175">
            <v>20.32</v>
          </cell>
          <cell r="F175">
            <v>13.7</v>
          </cell>
          <cell r="G175">
            <v>11.684</v>
          </cell>
        </row>
        <row r="175">
          <cell r="J175">
            <v>0.003252638656</v>
          </cell>
        </row>
        <row r="176">
          <cell r="A176" t="str">
            <v>33438（72）</v>
          </cell>
          <cell r="B176" t="str">
            <v>74个装纸箱</v>
          </cell>
          <cell r="C176" t="str">
            <v>眼镜鸭子</v>
          </cell>
          <cell r="D176">
            <v>72</v>
          </cell>
          <cell r="E176">
            <v>24.765</v>
          </cell>
          <cell r="F176">
            <v>25.765</v>
          </cell>
          <cell r="G176">
            <v>30.48</v>
          </cell>
        </row>
        <row r="176">
          <cell r="J176">
            <v>0.019448380458</v>
          </cell>
        </row>
        <row r="177">
          <cell r="A177" t="str">
            <v>11839（8）</v>
          </cell>
          <cell r="B177" t="str">
            <v>8个装纸箱</v>
          </cell>
          <cell r="C177" t="str">
            <v>磁铁肩膀史迪仔</v>
          </cell>
          <cell r="D177">
            <v>8</v>
          </cell>
          <cell r="E177">
            <v>30.48</v>
          </cell>
          <cell r="F177">
            <v>27.67</v>
          </cell>
          <cell r="G177">
            <v>15.24</v>
          </cell>
        </row>
        <row r="177">
          <cell r="J177">
            <v>0.012853135584</v>
          </cell>
        </row>
        <row r="178">
          <cell r="A178" t="str">
            <v>26870（36）</v>
          </cell>
          <cell r="B178" t="str">
            <v>36个装纸箱</v>
          </cell>
          <cell r="C178" t="str">
            <v>假日小鸭</v>
          </cell>
          <cell r="D178">
            <v>36</v>
          </cell>
          <cell r="E178">
            <v>22.225</v>
          </cell>
          <cell r="F178">
            <v>18.78</v>
          </cell>
          <cell r="G178">
            <v>26.035</v>
          </cell>
        </row>
        <row r="178">
          <cell r="J178">
            <v>0.0108666314925</v>
          </cell>
        </row>
        <row r="179">
          <cell r="A179">
            <v>470764</v>
          </cell>
          <cell r="B179" t="str">
            <v>1个装纸箱</v>
          </cell>
          <cell r="C179" t="str">
            <v>大型自卸车</v>
          </cell>
          <cell r="D179">
            <v>1</v>
          </cell>
          <cell r="E179">
            <v>42</v>
          </cell>
          <cell r="F179">
            <v>22</v>
          </cell>
          <cell r="G179">
            <v>29</v>
          </cell>
        </row>
        <row r="179">
          <cell r="J179">
            <v>0.026796</v>
          </cell>
        </row>
        <row r="180">
          <cell r="A180">
            <v>470813</v>
          </cell>
          <cell r="B180" t="str">
            <v>纸箱（4个装）</v>
          </cell>
        </row>
        <row r="180">
          <cell r="E180">
            <v>33</v>
          </cell>
          <cell r="F180">
            <v>17.2</v>
          </cell>
          <cell r="G180">
            <v>28</v>
          </cell>
        </row>
        <row r="180">
          <cell r="J180">
            <v>0.0158928</v>
          </cell>
        </row>
        <row r="181">
          <cell r="A181">
            <v>470814</v>
          </cell>
          <cell r="B181" t="str">
            <v>纸箱（4个装）</v>
          </cell>
        </row>
        <row r="181">
          <cell r="E181">
            <v>33</v>
          </cell>
          <cell r="F181">
            <v>17.2</v>
          </cell>
          <cell r="G181">
            <v>28</v>
          </cell>
        </row>
        <row r="181">
          <cell r="J181">
            <v>0.0158928</v>
          </cell>
        </row>
        <row r="182">
          <cell r="A182">
            <v>470725</v>
          </cell>
          <cell r="B182" t="str">
            <v>独角兽家族</v>
          </cell>
          <cell r="C182" t="str">
            <v>独角兽家族</v>
          </cell>
          <cell r="D182">
            <v>4</v>
          </cell>
          <cell r="E182">
            <v>25.5</v>
          </cell>
          <cell r="F182">
            <v>21</v>
          </cell>
          <cell r="G182">
            <v>20</v>
          </cell>
          <cell r="H182">
            <v>0.5</v>
          </cell>
          <cell r="I182">
            <v>0.7</v>
          </cell>
          <cell r="J182">
            <v>0.01071</v>
          </cell>
        </row>
        <row r="183">
          <cell r="A183" t="str">
            <v>33475（18）</v>
          </cell>
          <cell r="B183" t="str">
            <v>纸箱（18个装）</v>
          </cell>
          <cell r="C183" t="str">
            <v>鸭子</v>
          </cell>
          <cell r="D183">
            <v>18</v>
          </cell>
          <cell r="E183">
            <v>32.385</v>
          </cell>
          <cell r="F183">
            <v>18.78</v>
          </cell>
          <cell r="G183">
            <v>9.525</v>
          </cell>
        </row>
        <row r="183">
          <cell r="J183">
            <v>0.0057930126075</v>
          </cell>
        </row>
        <row r="184">
          <cell r="A184" t="str">
            <v>33395（36）</v>
          </cell>
          <cell r="B184" t="str">
            <v>纸箱（36个装）</v>
          </cell>
          <cell r="C184" t="str">
            <v>鸭子</v>
          </cell>
          <cell r="D184">
            <v>36</v>
          </cell>
          <cell r="E184">
            <v>22.225</v>
          </cell>
          <cell r="F184">
            <v>18.78</v>
          </cell>
          <cell r="G184">
            <v>26.035</v>
          </cell>
        </row>
        <row r="184">
          <cell r="J184">
            <v>0.0108666314925</v>
          </cell>
        </row>
        <row r="185">
          <cell r="A185" t="str">
            <v>26870（18）</v>
          </cell>
          <cell r="B185" t="str">
            <v>纸箱（18个装）</v>
          </cell>
          <cell r="C185" t="str">
            <v>鸭子</v>
          </cell>
          <cell r="D185">
            <v>18</v>
          </cell>
          <cell r="E185">
            <v>32.385</v>
          </cell>
          <cell r="F185">
            <v>18.78</v>
          </cell>
          <cell r="G185">
            <v>9.525</v>
          </cell>
        </row>
        <row r="185">
          <cell r="J185">
            <v>0.0057930126075</v>
          </cell>
        </row>
        <row r="186">
          <cell r="A186">
            <v>470534</v>
          </cell>
          <cell r="B186" t="str">
            <v>纸箱（3个装）</v>
          </cell>
          <cell r="C186" t="str">
            <v>搪胶公仔白种人</v>
          </cell>
          <cell r="D186">
            <v>3</v>
          </cell>
          <cell r="E186">
            <v>40.64</v>
          </cell>
          <cell r="F186">
            <v>21.701</v>
          </cell>
          <cell r="G186">
            <v>33.401</v>
          </cell>
        </row>
        <row r="186">
          <cell r="J186">
            <v>0.02945729850464</v>
          </cell>
        </row>
        <row r="187">
          <cell r="A187">
            <v>470535</v>
          </cell>
          <cell r="B187" t="str">
            <v>纸箱（3个装）</v>
          </cell>
          <cell r="C187" t="str">
            <v>搪胶公仔亚洲人</v>
          </cell>
          <cell r="D187">
            <v>3</v>
          </cell>
          <cell r="E187">
            <v>40.64</v>
          </cell>
          <cell r="F187">
            <v>21.701</v>
          </cell>
          <cell r="G187">
            <v>33.401</v>
          </cell>
        </row>
        <row r="187">
          <cell r="J187">
            <v>0.02945729850464</v>
          </cell>
        </row>
        <row r="188">
          <cell r="A188">
            <v>470536</v>
          </cell>
          <cell r="B188" t="str">
            <v>纸箱（3个装）</v>
          </cell>
          <cell r="C188" t="str">
            <v>搪胶公仔西班牙人</v>
          </cell>
          <cell r="D188">
            <v>3</v>
          </cell>
          <cell r="E188">
            <v>40.64</v>
          </cell>
          <cell r="F188">
            <v>21.701</v>
          </cell>
          <cell r="G188">
            <v>33.401</v>
          </cell>
        </row>
        <row r="188">
          <cell r="J188">
            <v>0.02945729850464</v>
          </cell>
        </row>
        <row r="189">
          <cell r="A189">
            <v>470537</v>
          </cell>
          <cell r="B189" t="str">
            <v>纸箱（3个装）</v>
          </cell>
          <cell r="C189" t="str">
            <v>搪胶公仔非洲人</v>
          </cell>
          <cell r="D189">
            <v>3</v>
          </cell>
          <cell r="E189">
            <v>40.64</v>
          </cell>
          <cell r="F189">
            <v>21.701</v>
          </cell>
          <cell r="G189">
            <v>33.401</v>
          </cell>
        </row>
        <row r="189">
          <cell r="J189">
            <v>0.02945729850464</v>
          </cell>
        </row>
        <row r="190">
          <cell r="A190" t="str">
            <v>33490（18）</v>
          </cell>
          <cell r="B190" t="str">
            <v>纸箱（18个装）</v>
          </cell>
          <cell r="C190" t="str">
            <v>鸭子</v>
          </cell>
          <cell r="D190">
            <v>18</v>
          </cell>
          <cell r="E190">
            <v>32.385</v>
          </cell>
          <cell r="F190">
            <v>18.78</v>
          </cell>
          <cell r="G190">
            <v>9.525</v>
          </cell>
        </row>
        <row r="190">
          <cell r="J190">
            <v>0.0057930126075</v>
          </cell>
        </row>
        <row r="191">
          <cell r="A191" t="str">
            <v>33465（12）</v>
          </cell>
          <cell r="B191" t="str">
            <v>纸箱（12个装）</v>
          </cell>
          <cell r="C191" t="str">
            <v>鸭子</v>
          </cell>
          <cell r="D191">
            <v>12</v>
          </cell>
          <cell r="E191">
            <v>20.955</v>
          </cell>
          <cell r="F191">
            <v>17.51</v>
          </cell>
          <cell r="G191">
            <v>8.255</v>
          </cell>
        </row>
        <row r="191">
          <cell r="J191">
            <v>0.00302894152275</v>
          </cell>
        </row>
        <row r="192">
          <cell r="A192">
            <v>470528</v>
          </cell>
          <cell r="B192" t="str">
            <v>纸箱（3个装）</v>
          </cell>
          <cell r="C192" t="str">
            <v>冰淇淋系列</v>
          </cell>
          <cell r="D192">
            <v>3</v>
          </cell>
          <cell r="E192">
            <v>32.7</v>
          </cell>
          <cell r="F192">
            <v>31.75</v>
          </cell>
          <cell r="G192">
            <v>33.35</v>
          </cell>
        </row>
        <row r="192">
          <cell r="J192">
            <v>0.03462480375</v>
          </cell>
        </row>
        <row r="193">
          <cell r="A193">
            <v>470688</v>
          </cell>
          <cell r="B193" t="str">
            <v>纸箱（3个装）</v>
          </cell>
          <cell r="C193" t="str">
            <v>生日蛋糕系列</v>
          </cell>
          <cell r="D193">
            <v>3</v>
          </cell>
          <cell r="E193">
            <v>31.43</v>
          </cell>
          <cell r="F193">
            <v>29.85</v>
          </cell>
          <cell r="G193">
            <v>33.35</v>
          </cell>
        </row>
        <row r="193">
          <cell r="J193">
            <v>0.031288486425</v>
          </cell>
        </row>
        <row r="194">
          <cell r="A194">
            <v>470689</v>
          </cell>
          <cell r="B194" t="str">
            <v>纸箱（3个装）</v>
          </cell>
          <cell r="C194" t="str">
            <v>甜品糕系列</v>
          </cell>
          <cell r="D194">
            <v>3</v>
          </cell>
          <cell r="E194">
            <v>31.43</v>
          </cell>
          <cell r="F194">
            <v>29.85</v>
          </cell>
          <cell r="G194">
            <v>33.35</v>
          </cell>
        </row>
        <row r="194">
          <cell r="J194">
            <v>0.031288486425</v>
          </cell>
        </row>
        <row r="195">
          <cell r="A195" t="str">
            <v>11369（1）</v>
          </cell>
          <cell r="B195" t="str">
            <v>纸箱（1个装）</v>
          </cell>
          <cell r="C195" t="str">
            <v>投影米奇</v>
          </cell>
          <cell r="D195">
            <v>1</v>
          </cell>
          <cell r="E195">
            <v>26.67</v>
          </cell>
          <cell r="F195">
            <v>18.78</v>
          </cell>
          <cell r="G195">
            <v>32.385</v>
          </cell>
        </row>
        <row r="195">
          <cell r="J195">
            <v>0.016220435301</v>
          </cell>
        </row>
        <row r="196">
          <cell r="A196" t="str">
            <v>33454(48)</v>
          </cell>
          <cell r="B196" t="str">
            <v>纸箱（48个装）</v>
          </cell>
          <cell r="C196" t="str">
            <v>鸭子</v>
          </cell>
          <cell r="D196">
            <v>48</v>
          </cell>
          <cell r="E196">
            <v>37.15</v>
          </cell>
          <cell r="F196">
            <v>33</v>
          </cell>
          <cell r="G196">
            <v>33.34</v>
          </cell>
        </row>
        <row r="196">
          <cell r="J196">
            <v>0.040873173</v>
          </cell>
        </row>
        <row r="197">
          <cell r="A197">
            <v>470529</v>
          </cell>
          <cell r="B197" t="str">
            <v>纸箱（3个装）</v>
          </cell>
          <cell r="C197" t="str">
            <v>搅拌机系列</v>
          </cell>
          <cell r="D197">
            <v>3</v>
          </cell>
          <cell r="E197">
            <v>41.59</v>
          </cell>
          <cell r="F197">
            <v>33</v>
          </cell>
          <cell r="G197">
            <v>33.35</v>
          </cell>
        </row>
        <row r="197">
          <cell r="J197">
            <v>0.0457718745</v>
          </cell>
        </row>
        <row r="198">
          <cell r="A198">
            <v>470690</v>
          </cell>
          <cell r="B198" t="str">
            <v>纸箱（3个装）</v>
          </cell>
          <cell r="C198" t="str">
            <v>电磁炉系列</v>
          </cell>
          <cell r="D198">
            <v>3</v>
          </cell>
          <cell r="E198">
            <v>41.59</v>
          </cell>
          <cell r="F198">
            <v>28.5</v>
          </cell>
          <cell r="G198">
            <v>33.35</v>
          </cell>
        </row>
        <row r="198">
          <cell r="J198">
            <v>0.03953025525</v>
          </cell>
        </row>
        <row r="199">
          <cell r="A199">
            <v>470691</v>
          </cell>
          <cell r="B199" t="str">
            <v>纸箱（3个装）</v>
          </cell>
          <cell r="C199" t="str">
            <v>华夫饼系列</v>
          </cell>
          <cell r="D199">
            <v>3</v>
          </cell>
          <cell r="E199">
            <v>41.59</v>
          </cell>
          <cell r="F199">
            <v>24.77</v>
          </cell>
          <cell r="G199">
            <v>33.35</v>
          </cell>
        </row>
        <row r="199">
          <cell r="J199">
            <v>0.034356646405</v>
          </cell>
        </row>
        <row r="200">
          <cell r="A200">
            <v>470692</v>
          </cell>
          <cell r="B200" t="str">
            <v>纸箱（3个装）</v>
          </cell>
          <cell r="C200" t="str">
            <v>酸奶系列</v>
          </cell>
          <cell r="D200">
            <v>3</v>
          </cell>
          <cell r="E200">
            <v>31.43</v>
          </cell>
          <cell r="F200">
            <v>26.9</v>
          </cell>
          <cell r="G200">
            <v>33.35</v>
          </cell>
        </row>
        <row r="200">
          <cell r="J200">
            <v>0.02819632445</v>
          </cell>
        </row>
        <row r="201">
          <cell r="A201" t="str">
            <v>33487（96）</v>
          </cell>
          <cell r="B201" t="str">
            <v>纸箱（96个装）</v>
          </cell>
          <cell r="C201" t="str">
            <v>盲盒小鸭</v>
          </cell>
          <cell r="D201">
            <v>96</v>
          </cell>
          <cell r="E201">
            <v>54.95</v>
          </cell>
          <cell r="F201">
            <v>34.95</v>
          </cell>
          <cell r="G201">
            <v>42.9</v>
          </cell>
        </row>
        <row r="201">
          <cell r="J201">
            <v>0.08238955725</v>
          </cell>
        </row>
        <row r="202">
          <cell r="A202" t="str">
            <v>棉</v>
          </cell>
        </row>
        <row r="202">
          <cell r="E202">
            <v>120</v>
          </cell>
          <cell r="F202">
            <v>110</v>
          </cell>
          <cell r="G202">
            <v>75</v>
          </cell>
        </row>
        <row r="202">
          <cell r="J202">
            <v>0.99</v>
          </cell>
        </row>
        <row r="203">
          <cell r="A203" t="str">
            <v>33369(96）</v>
          </cell>
          <cell r="B203" t="str">
            <v>纸箱（96个装）</v>
          </cell>
          <cell r="C203" t="str">
            <v>迷你搪胶小鸭</v>
          </cell>
          <cell r="D203">
            <v>96</v>
          </cell>
          <cell r="E203">
            <v>39.7</v>
          </cell>
          <cell r="F203">
            <v>22.9</v>
          </cell>
          <cell r="G203">
            <v>30.8</v>
          </cell>
        </row>
        <row r="203">
          <cell r="J203">
            <v>0.028001204</v>
          </cell>
        </row>
        <row r="204">
          <cell r="A204">
            <v>46092</v>
          </cell>
          <cell r="B204" t="str">
            <v>纸箱（10个装）</v>
          </cell>
          <cell r="C204" t="str">
            <v>玩具总动员系列</v>
          </cell>
          <cell r="D204">
            <v>10</v>
          </cell>
          <cell r="E204">
            <v>40.01</v>
          </cell>
          <cell r="F204">
            <v>26.67</v>
          </cell>
          <cell r="G204">
            <v>20.96</v>
          </cell>
        </row>
        <row r="204">
          <cell r="J204">
            <v>0.022365718032</v>
          </cell>
        </row>
        <row r="205">
          <cell r="A205">
            <v>46134</v>
          </cell>
          <cell r="B205" t="str">
            <v>纸箱（10个装）</v>
          </cell>
          <cell r="C205" t="str">
            <v>海洋奇缘系列</v>
          </cell>
          <cell r="D205">
            <v>10</v>
          </cell>
          <cell r="E205">
            <v>40.01</v>
          </cell>
          <cell r="F205">
            <v>26.67</v>
          </cell>
          <cell r="G205">
            <v>20.96</v>
          </cell>
        </row>
        <row r="205">
          <cell r="J205">
            <v>0.022365718032</v>
          </cell>
        </row>
        <row r="206">
          <cell r="A206">
            <v>46132</v>
          </cell>
          <cell r="B206" t="str">
            <v>纸箱（10个装）</v>
          </cell>
          <cell r="C206" t="str">
            <v>赛车总动员系列</v>
          </cell>
          <cell r="D206">
            <v>10</v>
          </cell>
          <cell r="E206">
            <v>40.01</v>
          </cell>
          <cell r="F206">
            <v>26.67</v>
          </cell>
          <cell r="G206">
            <v>20.96</v>
          </cell>
        </row>
        <row r="206">
          <cell r="J206">
            <v>0.022365718032</v>
          </cell>
        </row>
        <row r="207">
          <cell r="A207">
            <v>470745</v>
          </cell>
        </row>
        <row r="207">
          <cell r="D207">
            <v>3</v>
          </cell>
          <cell r="E207">
            <v>32.7</v>
          </cell>
          <cell r="F207">
            <v>31.75</v>
          </cell>
          <cell r="G207">
            <v>33.35</v>
          </cell>
        </row>
        <row r="207">
          <cell r="J207">
            <v>0.03462480375</v>
          </cell>
        </row>
        <row r="208">
          <cell r="A208">
            <v>470746</v>
          </cell>
        </row>
        <row r="208">
          <cell r="D208">
            <v>3</v>
          </cell>
          <cell r="E208">
            <v>41.59</v>
          </cell>
          <cell r="F208">
            <v>33</v>
          </cell>
          <cell r="G208">
            <v>33.35</v>
          </cell>
        </row>
        <row r="208">
          <cell r="J208">
            <v>0.0457718745</v>
          </cell>
        </row>
        <row r="209">
          <cell r="A209">
            <v>470748</v>
          </cell>
        </row>
        <row r="209">
          <cell r="D209">
            <v>3</v>
          </cell>
          <cell r="E209">
            <v>31.43</v>
          </cell>
          <cell r="F209">
            <v>29.85</v>
          </cell>
          <cell r="G209">
            <v>33.35</v>
          </cell>
        </row>
        <row r="209">
          <cell r="J209">
            <v>0.031288486425</v>
          </cell>
        </row>
        <row r="210">
          <cell r="A210">
            <v>470749</v>
          </cell>
        </row>
        <row r="210">
          <cell r="D210">
            <v>3</v>
          </cell>
          <cell r="E210">
            <v>31.43</v>
          </cell>
          <cell r="F210">
            <v>29.85</v>
          </cell>
          <cell r="G210">
            <v>33.35</v>
          </cell>
        </row>
        <row r="210">
          <cell r="J210">
            <v>0.031288486425</v>
          </cell>
        </row>
        <row r="211">
          <cell r="A211">
            <v>470751</v>
          </cell>
        </row>
        <row r="211">
          <cell r="D211">
            <v>3</v>
          </cell>
          <cell r="E211">
            <v>41.59</v>
          </cell>
          <cell r="F211">
            <v>24.77</v>
          </cell>
          <cell r="G211">
            <v>33.35</v>
          </cell>
        </row>
        <row r="211">
          <cell r="J211">
            <v>0.034356646405</v>
          </cell>
        </row>
        <row r="212">
          <cell r="A212">
            <v>470752</v>
          </cell>
        </row>
        <row r="212">
          <cell r="D212">
            <v>3</v>
          </cell>
          <cell r="E212">
            <v>31.43</v>
          </cell>
          <cell r="F212">
            <v>26.9</v>
          </cell>
          <cell r="G212">
            <v>33.35</v>
          </cell>
        </row>
        <row r="212">
          <cell r="J212">
            <v>0.02819632445</v>
          </cell>
        </row>
        <row r="213">
          <cell r="A213">
            <v>470753</v>
          </cell>
        </row>
        <row r="213">
          <cell r="D213">
            <v>3</v>
          </cell>
          <cell r="E213">
            <v>31.43</v>
          </cell>
          <cell r="F213">
            <v>22.86</v>
          </cell>
          <cell r="G213">
            <v>33.34</v>
          </cell>
        </row>
        <row r="213">
          <cell r="J213">
            <v>0.023954449932</v>
          </cell>
        </row>
        <row r="214">
          <cell r="A214">
            <v>470724</v>
          </cell>
        </row>
        <row r="214">
          <cell r="D214">
            <v>2</v>
          </cell>
          <cell r="E214">
            <v>62.55</v>
          </cell>
          <cell r="F214">
            <v>21.59</v>
          </cell>
          <cell r="G214">
            <v>41.59</v>
          </cell>
        </row>
        <row r="214">
          <cell r="J214">
            <v>0.056165402655</v>
          </cell>
        </row>
        <row r="215">
          <cell r="A215">
            <v>320628</v>
          </cell>
        </row>
        <row r="215">
          <cell r="C215" t="str">
            <v>生日趴对</v>
          </cell>
          <cell r="D215">
            <v>4</v>
          </cell>
          <cell r="E215">
            <v>25.75</v>
          </cell>
          <cell r="F215">
            <v>17.78</v>
          </cell>
          <cell r="G215">
            <v>20.64</v>
          </cell>
        </row>
        <row r="215">
          <cell r="J215">
            <v>0.0094497144</v>
          </cell>
        </row>
        <row r="216">
          <cell r="A216" t="str">
            <v>33475（36）</v>
          </cell>
        </row>
        <row r="216">
          <cell r="C216" t="str">
            <v>搪胶小鸭</v>
          </cell>
          <cell r="D216">
            <v>36</v>
          </cell>
          <cell r="E216">
            <v>31.75</v>
          </cell>
          <cell r="F216">
            <v>18.41</v>
          </cell>
          <cell r="G216">
            <v>20.32</v>
          </cell>
        </row>
        <row r="216">
          <cell r="J216">
            <v>0.0118773956</v>
          </cell>
        </row>
        <row r="217">
          <cell r="A217" t="str">
            <v>11369（4）</v>
          </cell>
          <cell r="B217" t="str">
            <v>纸箱（4个装）</v>
          </cell>
          <cell r="C217" t="str">
            <v>投影米奇</v>
          </cell>
          <cell r="D217">
            <v>4</v>
          </cell>
          <cell r="E217">
            <v>64.135</v>
          </cell>
          <cell r="F217">
            <v>36.83</v>
          </cell>
          <cell r="G217">
            <v>42.545</v>
          </cell>
        </row>
        <row r="217">
          <cell r="J217">
            <v>0.10049520626725</v>
          </cell>
        </row>
        <row r="218">
          <cell r="A218" t="str">
            <v>58725(12)</v>
          </cell>
        </row>
        <row r="218">
          <cell r="D218">
            <v>12</v>
          </cell>
          <cell r="E218">
            <v>22.54</v>
          </cell>
          <cell r="F218">
            <v>18.42</v>
          </cell>
          <cell r="G218">
            <v>11.11</v>
          </cell>
        </row>
        <row r="218">
          <cell r="J218">
            <v>0.004612725348</v>
          </cell>
        </row>
        <row r="219">
          <cell r="A219" t="str">
            <v>88188（2）</v>
          </cell>
        </row>
        <row r="219">
          <cell r="C219" t="str">
            <v>背包狗</v>
          </cell>
          <cell r="D219">
            <v>2</v>
          </cell>
          <cell r="E219">
            <v>37.15</v>
          </cell>
          <cell r="F219">
            <v>27.77</v>
          </cell>
          <cell r="G219">
            <v>35.88</v>
          </cell>
        </row>
        <row r="219">
          <cell r="J219">
            <v>0.03701579934</v>
          </cell>
        </row>
        <row r="220">
          <cell r="A220" t="str">
            <v>58725(36)</v>
          </cell>
        </row>
        <row r="220">
          <cell r="D220">
            <v>36</v>
          </cell>
          <cell r="E220">
            <v>31.75</v>
          </cell>
          <cell r="F220">
            <v>18.41</v>
          </cell>
          <cell r="G220">
            <v>20.32</v>
          </cell>
        </row>
        <row r="220">
          <cell r="J220">
            <v>0.0118773956</v>
          </cell>
        </row>
        <row r="221">
          <cell r="A221">
            <v>33580</v>
          </cell>
        </row>
        <row r="221">
          <cell r="C221" t="str">
            <v>搪胶小鸭</v>
          </cell>
          <cell r="D221">
            <v>48</v>
          </cell>
          <cell r="E221">
            <v>35.6</v>
          </cell>
          <cell r="F221">
            <v>23.4</v>
          </cell>
          <cell r="G221">
            <v>19.5</v>
          </cell>
        </row>
        <row r="221">
          <cell r="J221">
            <v>0.01624428</v>
          </cell>
        </row>
        <row r="222">
          <cell r="A222">
            <v>571067</v>
          </cell>
          <cell r="B222" t="str">
            <v>571067-2L（320915/320632/320402）</v>
          </cell>
          <cell r="C222" t="str">
            <v>（320915/632/402）混装</v>
          </cell>
          <cell r="D222">
            <v>4</v>
          </cell>
          <cell r="E222">
            <v>31.5</v>
          </cell>
          <cell r="F222">
            <v>25</v>
          </cell>
          <cell r="G222">
            <v>20</v>
          </cell>
        </row>
        <row r="222">
          <cell r="J222">
            <v>0.01575</v>
          </cell>
        </row>
        <row r="223">
          <cell r="A223">
            <v>470026</v>
          </cell>
          <cell r="B223" t="str">
            <v>470026-2L（470725/320630/320631/320918）</v>
          </cell>
        </row>
        <row r="223">
          <cell r="D223">
            <v>4</v>
          </cell>
          <cell r="E223">
            <v>25</v>
          </cell>
          <cell r="F223">
            <v>20.5</v>
          </cell>
          <cell r="G223">
            <v>20</v>
          </cell>
        </row>
        <row r="223">
          <cell r="J223">
            <v>0.01025</v>
          </cell>
        </row>
        <row r="224">
          <cell r="A224">
            <v>570929</v>
          </cell>
          <cell r="B224" t="str">
            <v>570929（470195/320785/320629/320627）</v>
          </cell>
          <cell r="C224" t="str">
            <v>（195/785/629/627）混装</v>
          </cell>
          <cell r="D224">
            <v>4</v>
          </cell>
          <cell r="E224">
            <v>28.89</v>
          </cell>
          <cell r="F224">
            <v>17.78</v>
          </cell>
          <cell r="G224">
            <v>20</v>
          </cell>
        </row>
        <row r="224">
          <cell r="J224">
            <v>0.010273284</v>
          </cell>
        </row>
        <row r="225">
          <cell r="A225">
            <v>320770</v>
          </cell>
          <cell r="B225" t="str">
            <v>3个装纸箱</v>
          </cell>
          <cell r="C225" t="str">
            <v>320405、406、407混装</v>
          </cell>
          <cell r="D225">
            <v>3</v>
          </cell>
          <cell r="E225">
            <v>31.5</v>
          </cell>
          <cell r="F225">
            <v>27</v>
          </cell>
          <cell r="G225">
            <v>20</v>
          </cell>
        </row>
        <row r="225">
          <cell r="J225">
            <v>0.01701</v>
          </cell>
        </row>
        <row r="226">
          <cell r="A226">
            <v>75280</v>
          </cell>
          <cell r="B226" t="str">
            <v>4个装纸箱</v>
          </cell>
        </row>
        <row r="226">
          <cell r="D226">
            <v>4</v>
          </cell>
          <cell r="E226">
            <v>33.97</v>
          </cell>
          <cell r="F226">
            <v>20.96</v>
          </cell>
          <cell r="G226">
            <v>34.61</v>
          </cell>
        </row>
        <row r="226">
          <cell r="J226">
            <v>0.024642707632</v>
          </cell>
        </row>
        <row r="227">
          <cell r="A227">
            <v>33550</v>
          </cell>
          <cell r="B227" t="str">
            <v>巨鸭</v>
          </cell>
          <cell r="C227" t="str">
            <v>巨鸭</v>
          </cell>
          <cell r="D227">
            <v>6</v>
          </cell>
          <cell r="E227">
            <v>60.5</v>
          </cell>
          <cell r="F227">
            <v>38.7</v>
          </cell>
          <cell r="G227">
            <v>25.7</v>
          </cell>
        </row>
        <row r="227">
          <cell r="J227">
            <v>0.060172695</v>
          </cell>
        </row>
        <row r="228">
          <cell r="A228">
            <v>28458</v>
          </cell>
          <cell r="B228" t="str">
            <v>五款硅胶手感球</v>
          </cell>
          <cell r="C228" t="str">
            <v>五款硅胶手感球</v>
          </cell>
          <cell r="D228">
            <v>15</v>
          </cell>
          <cell r="E228">
            <v>26.99</v>
          </cell>
          <cell r="F228">
            <v>27.31</v>
          </cell>
          <cell r="G228">
            <v>28.26</v>
          </cell>
        </row>
        <row r="228">
          <cell r="J228">
            <v>0.020830358394</v>
          </cell>
        </row>
        <row r="229">
          <cell r="A229">
            <v>28468</v>
          </cell>
          <cell r="B229" t="str">
            <v>大象</v>
          </cell>
          <cell r="C229" t="str">
            <v>大象</v>
          </cell>
          <cell r="D229">
            <v>1</v>
          </cell>
          <cell r="E229">
            <v>30</v>
          </cell>
          <cell r="F229">
            <v>20</v>
          </cell>
          <cell r="G229">
            <v>28</v>
          </cell>
        </row>
        <row r="229">
          <cell r="J229">
            <v>0.0168</v>
          </cell>
        </row>
        <row r="230">
          <cell r="A230">
            <v>28467</v>
          </cell>
          <cell r="B230" t="str">
            <v>青蛙</v>
          </cell>
          <cell r="C230" t="str">
            <v>青蛙</v>
          </cell>
          <cell r="D230">
            <v>1</v>
          </cell>
          <cell r="E230">
            <v>30</v>
          </cell>
          <cell r="F230">
            <v>20</v>
          </cell>
          <cell r="G230">
            <v>28</v>
          </cell>
        </row>
        <row r="230">
          <cell r="J230">
            <v>0.0168</v>
          </cell>
        </row>
        <row r="231">
          <cell r="A231">
            <v>28466</v>
          </cell>
          <cell r="B231" t="str">
            <v>长颈鹿</v>
          </cell>
          <cell r="C231" t="str">
            <v>长颈鹿</v>
          </cell>
          <cell r="D231">
            <v>1</v>
          </cell>
          <cell r="E231">
            <v>30</v>
          </cell>
          <cell r="F231">
            <v>20</v>
          </cell>
          <cell r="G231">
            <v>28</v>
          </cell>
        </row>
        <row r="231">
          <cell r="J231">
            <v>0.0168</v>
          </cell>
        </row>
        <row r="232">
          <cell r="A232">
            <v>28472</v>
          </cell>
          <cell r="B232" t="str">
            <v>狮子</v>
          </cell>
          <cell r="C232" t="str">
            <v>狮子</v>
          </cell>
          <cell r="D232">
            <v>1</v>
          </cell>
          <cell r="E232">
            <v>30</v>
          </cell>
          <cell r="F232">
            <v>17</v>
          </cell>
          <cell r="G232">
            <v>36</v>
          </cell>
        </row>
        <row r="232">
          <cell r="J232">
            <v>0.01836</v>
          </cell>
        </row>
        <row r="233">
          <cell r="A233">
            <v>320923</v>
          </cell>
          <cell r="B233" t="str">
            <v>花店</v>
          </cell>
          <cell r="C233" t="str">
            <v>花店</v>
          </cell>
          <cell r="D233">
            <v>1</v>
          </cell>
          <cell r="E233">
            <v>39.94</v>
          </cell>
          <cell r="F233">
            <v>30.1</v>
          </cell>
          <cell r="G233">
            <v>21.91</v>
          </cell>
        </row>
        <row r="233">
          <cell r="J233">
            <v>0.02634007054</v>
          </cell>
        </row>
        <row r="234">
          <cell r="A234">
            <v>28465</v>
          </cell>
          <cell r="B234" t="str">
            <v>14寸动物</v>
          </cell>
          <cell r="C234" t="str">
            <v>大象&amp;青蛙&amp;长颈鹿</v>
          </cell>
          <cell r="D234">
            <v>6</v>
          </cell>
          <cell r="E234">
            <v>63</v>
          </cell>
          <cell r="F234">
            <v>43</v>
          </cell>
          <cell r="G234">
            <v>30</v>
          </cell>
        </row>
        <row r="234">
          <cell r="J234">
            <v>0.08127</v>
          </cell>
        </row>
        <row r="235">
          <cell r="A235">
            <v>11441</v>
          </cell>
          <cell r="B235" t="str">
            <v>搪胶小鸭</v>
          </cell>
          <cell r="C235" t="str">
            <v>搪胶小鸭</v>
          </cell>
          <cell r="D235">
            <v>45</v>
          </cell>
          <cell r="E235">
            <v>27</v>
          </cell>
          <cell r="F235">
            <v>16.6</v>
          </cell>
          <cell r="G235">
            <v>26.5</v>
          </cell>
        </row>
        <row r="235">
          <cell r="J235">
            <v>0.0118773</v>
          </cell>
        </row>
        <row r="236">
          <cell r="A236">
            <v>14245</v>
          </cell>
          <cell r="B236" t="str">
            <v>磁铁肩膀公仔</v>
          </cell>
          <cell r="C236" t="str">
            <v>磁铁肩膀史迪仔</v>
          </cell>
          <cell r="D236">
            <v>4</v>
          </cell>
          <cell r="E236">
            <v>21.91</v>
          </cell>
          <cell r="F236">
            <v>22.23</v>
          </cell>
          <cell r="G236">
            <v>18.1</v>
          </cell>
        </row>
        <row r="236">
          <cell r="J236">
            <v>0.00881577333</v>
          </cell>
        </row>
        <row r="237">
          <cell r="A237" t="str">
            <v>D70850/470724</v>
          </cell>
          <cell r="B237" t="str">
            <v>火车</v>
          </cell>
        </row>
        <row r="237">
          <cell r="D237">
            <v>12</v>
          </cell>
          <cell r="E237">
            <v>119</v>
          </cell>
          <cell r="F237">
            <v>49</v>
          </cell>
          <cell r="G237">
            <v>111</v>
          </cell>
        </row>
        <row r="237">
          <cell r="J237">
            <v>0.647241</v>
          </cell>
        </row>
        <row r="238">
          <cell r="A238">
            <v>470875</v>
          </cell>
          <cell r="B238" t="str">
            <v>3个装纸箱</v>
          </cell>
          <cell r="C238" t="str">
            <v>320405、406、407混装</v>
          </cell>
          <cell r="D238">
            <v>3</v>
          </cell>
          <cell r="E238">
            <v>31.5</v>
          </cell>
          <cell r="F238">
            <v>27</v>
          </cell>
          <cell r="G238">
            <v>20</v>
          </cell>
          <cell r="H238">
            <v>1.5</v>
          </cell>
          <cell r="I238">
            <v>1.83</v>
          </cell>
          <cell r="J238">
            <v>0.01701</v>
          </cell>
        </row>
        <row r="239">
          <cell r="A239" t="str">
            <v>470689（12）</v>
          </cell>
          <cell r="B239" t="str">
            <v>12个装纸箱</v>
          </cell>
        </row>
        <row r="239">
          <cell r="D239">
            <v>12</v>
          </cell>
          <cell r="E239">
            <v>57.5</v>
          </cell>
          <cell r="F239">
            <v>30.8</v>
          </cell>
          <cell r="G239">
            <v>62</v>
          </cell>
        </row>
        <row r="239">
          <cell r="J239">
            <v>0.109802</v>
          </cell>
        </row>
        <row r="240">
          <cell r="A240" t="str">
            <v>470688（12）</v>
          </cell>
          <cell r="B240" t="str">
            <v>12个装纸箱</v>
          </cell>
        </row>
        <row r="240">
          <cell r="D240">
            <v>12</v>
          </cell>
          <cell r="E240">
            <v>57.5</v>
          </cell>
          <cell r="F240">
            <v>30.8</v>
          </cell>
          <cell r="G240">
            <v>62</v>
          </cell>
        </row>
        <row r="240">
          <cell r="J240">
            <v>0.109802</v>
          </cell>
        </row>
        <row r="241">
          <cell r="A241" t="str">
            <v>胶筐</v>
          </cell>
          <cell r="B241" t="str">
            <v>胶筐</v>
          </cell>
        </row>
        <row r="241">
          <cell r="D241">
            <v>1</v>
          </cell>
          <cell r="E241">
            <v>68</v>
          </cell>
          <cell r="F241">
            <v>48</v>
          </cell>
          <cell r="G241">
            <v>40</v>
          </cell>
        </row>
        <row r="241">
          <cell r="J241">
            <v>0.13056</v>
          </cell>
        </row>
        <row r="242">
          <cell r="A242" t="str">
            <v>33630（36）</v>
          </cell>
          <cell r="B242" t="str">
            <v>搪胶小鸭</v>
          </cell>
          <cell r="C242" t="str">
            <v>搪胶小鸭</v>
          </cell>
          <cell r="D242">
            <v>36</v>
          </cell>
          <cell r="E242">
            <v>31.75</v>
          </cell>
          <cell r="F242">
            <v>18.41</v>
          </cell>
          <cell r="G242">
            <v>20.32</v>
          </cell>
        </row>
        <row r="242">
          <cell r="J242">
            <v>0.0118773956</v>
          </cell>
        </row>
        <row r="243">
          <cell r="A243" t="str">
            <v>27694（2）</v>
          </cell>
          <cell r="B243" t="str">
            <v>侏罗纪棘龙</v>
          </cell>
        </row>
        <row r="243">
          <cell r="D243">
            <v>2</v>
          </cell>
          <cell r="E243">
            <v>41</v>
          </cell>
          <cell r="F243">
            <v>41</v>
          </cell>
          <cell r="G243">
            <v>35</v>
          </cell>
        </row>
        <row r="243">
          <cell r="J243">
            <v>0.058835</v>
          </cell>
        </row>
        <row r="244">
          <cell r="A244" t="str">
            <v>27694（3）</v>
          </cell>
          <cell r="B244" t="str">
            <v>侏罗纪棘龙</v>
          </cell>
        </row>
        <row r="244">
          <cell r="D244">
            <v>3</v>
          </cell>
          <cell r="E244">
            <v>60</v>
          </cell>
          <cell r="F244">
            <v>44</v>
          </cell>
          <cell r="G244">
            <v>35</v>
          </cell>
        </row>
        <row r="244">
          <cell r="J244">
            <v>0.0924</v>
          </cell>
        </row>
        <row r="245">
          <cell r="A245" t="str">
            <v>33490（36）</v>
          </cell>
          <cell r="B245" t="str">
            <v>搪胶小鸭</v>
          </cell>
          <cell r="C245" t="str">
            <v>搪胶小鸭</v>
          </cell>
          <cell r="D245">
            <v>36</v>
          </cell>
          <cell r="E245">
            <v>33.02</v>
          </cell>
          <cell r="F245">
            <v>18.41</v>
          </cell>
          <cell r="G245">
            <v>20.3</v>
          </cell>
        </row>
        <row r="245">
          <cell r="J245">
            <v>0.01234033346</v>
          </cell>
        </row>
        <row r="246">
          <cell r="A246" t="str">
            <v>58725(18)</v>
          </cell>
          <cell r="B246" t="str">
            <v>搪胶小鸭</v>
          </cell>
        </row>
        <row r="246">
          <cell r="D246">
            <v>18</v>
          </cell>
          <cell r="E246">
            <v>49.53</v>
          </cell>
          <cell r="F246">
            <v>15.25</v>
          </cell>
          <cell r="G246">
            <v>11.45</v>
          </cell>
        </row>
        <row r="246">
          <cell r="J246">
            <v>0.008648557125</v>
          </cell>
        </row>
        <row r="247">
          <cell r="A247" t="str">
            <v>D70950/470764</v>
          </cell>
          <cell r="B247" t="str">
            <v>15个装</v>
          </cell>
        </row>
        <row r="247">
          <cell r="D247">
            <v>15</v>
          </cell>
          <cell r="E247">
            <v>120.5</v>
          </cell>
          <cell r="F247">
            <v>48.5</v>
          </cell>
          <cell r="G247">
            <v>92</v>
          </cell>
        </row>
        <row r="247">
          <cell r="J247">
            <v>0.537671</v>
          </cell>
        </row>
        <row r="248">
          <cell r="A248">
            <v>14225</v>
          </cell>
          <cell r="B248" t="str">
            <v>8个装纸箱</v>
          </cell>
          <cell r="C248" t="str">
            <v>磁铁肩膀史迪仔</v>
          </cell>
          <cell r="D248">
            <v>8</v>
          </cell>
          <cell r="E248">
            <v>30.48</v>
          </cell>
          <cell r="F248">
            <v>27.67</v>
          </cell>
          <cell r="G248">
            <v>15.24</v>
          </cell>
        </row>
        <row r="248">
          <cell r="J248">
            <v>0.012853135584</v>
          </cell>
        </row>
        <row r="249">
          <cell r="A249" t="str">
            <v>14225（21）</v>
          </cell>
          <cell r="B249" t="str">
            <v>21个装纸箱</v>
          </cell>
        </row>
        <row r="249">
          <cell r="D249">
            <v>21</v>
          </cell>
          <cell r="E249">
            <v>125</v>
          </cell>
          <cell r="F249">
            <v>35</v>
          </cell>
          <cell r="G249">
            <v>16</v>
          </cell>
        </row>
        <row r="249">
          <cell r="J249">
            <v>0.07</v>
          </cell>
        </row>
        <row r="250">
          <cell r="A250">
            <v>46489</v>
          </cell>
          <cell r="B250" t="str">
            <v>史迪仔</v>
          </cell>
        </row>
        <row r="250">
          <cell r="D250">
            <v>12</v>
          </cell>
          <cell r="E250">
            <v>121.5</v>
          </cell>
          <cell r="F250">
            <v>53.5</v>
          </cell>
          <cell r="G250">
            <v>115</v>
          </cell>
        </row>
        <row r="250">
          <cell r="J250">
            <v>0.74752875</v>
          </cell>
        </row>
        <row r="251">
          <cell r="A251" t="str">
            <v>D70950(470764)</v>
          </cell>
        </row>
        <row r="251">
          <cell r="D251">
            <v>15</v>
          </cell>
          <cell r="E251">
            <v>120.5</v>
          </cell>
          <cell r="F251">
            <v>48.5</v>
          </cell>
          <cell r="G251">
            <v>92</v>
          </cell>
        </row>
        <row r="251">
          <cell r="J251">
            <v>0.537671</v>
          </cell>
        </row>
        <row r="252">
          <cell r="A252" t="str">
            <v>D70850(470724)</v>
          </cell>
        </row>
        <row r="252">
          <cell r="D252">
            <v>12</v>
          </cell>
          <cell r="E252">
            <v>119</v>
          </cell>
          <cell r="F252">
            <v>49</v>
          </cell>
          <cell r="G252">
            <v>111</v>
          </cell>
        </row>
        <row r="252">
          <cell r="J252">
            <v>0.647241</v>
          </cell>
        </row>
        <row r="253">
          <cell r="A253">
            <v>33410</v>
          </cell>
        </row>
        <row r="253">
          <cell r="C253" t="str">
            <v>搪胶小鸭</v>
          </cell>
          <cell r="D253">
            <v>400</v>
          </cell>
          <cell r="E253">
            <v>52.83</v>
          </cell>
          <cell r="F253">
            <v>52.32</v>
          </cell>
          <cell r="G253">
            <v>113</v>
          </cell>
        </row>
        <row r="253">
          <cell r="J253">
            <v>0.3123394128</v>
          </cell>
        </row>
        <row r="254">
          <cell r="A254" t="str">
            <v>14265（18）</v>
          </cell>
          <cell r="B254" t="str">
            <v>钥匙扣系列</v>
          </cell>
          <cell r="C254" t="str">
            <v>钥匙扣系列</v>
          </cell>
          <cell r="D254">
            <v>18</v>
          </cell>
          <cell r="E254">
            <v>42.48</v>
          </cell>
          <cell r="F254">
            <v>22.8</v>
          </cell>
          <cell r="G254">
            <v>15.5</v>
          </cell>
        </row>
        <row r="254">
          <cell r="J254">
            <v>0.015012432</v>
          </cell>
        </row>
        <row r="255">
          <cell r="A255" t="str">
            <v>卡板</v>
          </cell>
        </row>
        <row r="255">
          <cell r="E255">
            <v>107</v>
          </cell>
          <cell r="F255">
            <v>48</v>
          </cell>
          <cell r="G255">
            <v>12</v>
          </cell>
        </row>
        <row r="255">
          <cell r="J255">
            <v>0.061632</v>
          </cell>
        </row>
        <row r="256">
          <cell r="A256">
            <v>14746</v>
          </cell>
        </row>
        <row r="256">
          <cell r="C256" t="str">
            <v>坐姿米奇</v>
          </cell>
          <cell r="D256">
            <v>12</v>
          </cell>
          <cell r="E256">
            <v>61.5</v>
          </cell>
          <cell r="F256">
            <v>51</v>
          </cell>
          <cell r="G256">
            <v>34.5</v>
          </cell>
        </row>
        <row r="256">
          <cell r="J256">
            <v>0.10820925</v>
          </cell>
        </row>
        <row r="257">
          <cell r="A257">
            <v>33611</v>
          </cell>
          <cell r="B257" t="str">
            <v>18个装纸箱</v>
          </cell>
          <cell r="C257" t="str">
            <v>搪胶小鸭</v>
          </cell>
          <cell r="D257">
            <v>18</v>
          </cell>
          <cell r="E257">
            <v>32.39</v>
          </cell>
          <cell r="F257">
            <v>17.78</v>
          </cell>
          <cell r="G257">
            <v>9.53</v>
          </cell>
        </row>
        <row r="257">
          <cell r="J257">
            <v>0.005488271726</v>
          </cell>
        </row>
        <row r="258">
          <cell r="A258">
            <v>33612</v>
          </cell>
          <cell r="B258" t="str">
            <v>18个装纸箱</v>
          </cell>
          <cell r="C258" t="str">
            <v>搪胶小鸭</v>
          </cell>
          <cell r="D258">
            <v>18</v>
          </cell>
          <cell r="E258">
            <v>32.39</v>
          </cell>
          <cell r="F258">
            <v>17.78</v>
          </cell>
          <cell r="G258">
            <v>9.53</v>
          </cell>
        </row>
        <row r="258">
          <cell r="J258">
            <v>0.005488271726</v>
          </cell>
        </row>
        <row r="259">
          <cell r="A259">
            <v>33613</v>
          </cell>
          <cell r="B259" t="str">
            <v>18个装纸箱</v>
          </cell>
          <cell r="C259" t="str">
            <v>搪胶小鸭</v>
          </cell>
          <cell r="D259">
            <v>18</v>
          </cell>
          <cell r="E259">
            <v>32.39</v>
          </cell>
          <cell r="F259">
            <v>17.78</v>
          </cell>
          <cell r="G259">
            <v>9.53</v>
          </cell>
        </row>
        <row r="259">
          <cell r="J259">
            <v>0.005488271726</v>
          </cell>
        </row>
        <row r="260">
          <cell r="A260">
            <v>33614</v>
          </cell>
          <cell r="B260" t="str">
            <v>18个装纸箱</v>
          </cell>
          <cell r="C260" t="str">
            <v>搪胶小鸭</v>
          </cell>
          <cell r="D260">
            <v>18</v>
          </cell>
          <cell r="E260">
            <v>32.39</v>
          </cell>
          <cell r="F260">
            <v>17.78</v>
          </cell>
          <cell r="G260">
            <v>9.53</v>
          </cell>
        </row>
        <row r="260">
          <cell r="J260">
            <v>0.005488271726</v>
          </cell>
        </row>
        <row r="261">
          <cell r="A261">
            <v>41502</v>
          </cell>
          <cell r="B261" t="str">
            <v>4个装纸箱</v>
          </cell>
          <cell r="C261" t="str">
            <v>梅根头</v>
          </cell>
          <cell r="D261">
            <v>18</v>
          </cell>
          <cell r="E261">
            <v>43.18</v>
          </cell>
          <cell r="F261">
            <v>35.56</v>
          </cell>
          <cell r="G261">
            <v>36.2</v>
          </cell>
        </row>
        <row r="261">
          <cell r="J261">
            <v>0.05558440496</v>
          </cell>
        </row>
        <row r="262">
          <cell r="A262" t="str">
            <v>14747(12)</v>
          </cell>
          <cell r="B262" t="str">
            <v>12个装纸箱</v>
          </cell>
        </row>
        <row r="262">
          <cell r="D262">
            <v>12</v>
          </cell>
          <cell r="E262">
            <v>60.96</v>
          </cell>
          <cell r="F262">
            <v>51.8</v>
          </cell>
          <cell r="G262">
            <v>33.02</v>
          </cell>
        </row>
        <row r="262">
          <cell r="J262">
            <v>0.10426817856</v>
          </cell>
        </row>
        <row r="263">
          <cell r="A263" t="str">
            <v>14746(12)</v>
          </cell>
          <cell r="B263" t="str">
            <v>12个装纸箱</v>
          </cell>
        </row>
        <row r="263">
          <cell r="D263">
            <v>12</v>
          </cell>
          <cell r="E263">
            <v>60.96</v>
          </cell>
          <cell r="F263">
            <v>51.8</v>
          </cell>
          <cell r="G263">
            <v>33.02</v>
          </cell>
        </row>
        <row r="263">
          <cell r="J263">
            <v>0.10426817856</v>
          </cell>
        </row>
        <row r="264">
          <cell r="A264">
            <v>58770</v>
          </cell>
          <cell r="B264" t="str">
            <v>12个装纸箱</v>
          </cell>
          <cell r="C264" t="str">
            <v>搪胶小鸭</v>
          </cell>
          <cell r="D264">
            <v>12</v>
          </cell>
          <cell r="E264">
            <v>22.54</v>
          </cell>
          <cell r="F264">
            <v>18.42</v>
          </cell>
          <cell r="G264">
            <v>11.11</v>
          </cell>
        </row>
        <row r="264">
          <cell r="J264">
            <v>0.004612725348</v>
          </cell>
        </row>
        <row r="265">
          <cell r="A265">
            <v>11783</v>
          </cell>
          <cell r="B265" t="str">
            <v>24个装纸箱</v>
          </cell>
          <cell r="C265" t="str">
            <v>搪胶小鸭</v>
          </cell>
          <cell r="D265">
            <v>24</v>
          </cell>
          <cell r="E265">
            <v>25.72</v>
          </cell>
          <cell r="F265">
            <v>19.69</v>
          </cell>
          <cell r="G265">
            <v>28.26</v>
          </cell>
        </row>
        <row r="265">
          <cell r="J265">
            <v>0.014311621368</v>
          </cell>
        </row>
        <row r="266">
          <cell r="A266">
            <v>11781</v>
          </cell>
          <cell r="B266" t="str">
            <v>24个装纸箱</v>
          </cell>
          <cell r="C266" t="str">
            <v>搪胶小鸭</v>
          </cell>
          <cell r="D266">
            <v>24</v>
          </cell>
          <cell r="E266">
            <v>25.72</v>
          </cell>
          <cell r="F266">
            <v>19.69</v>
          </cell>
          <cell r="G266">
            <v>28.26</v>
          </cell>
        </row>
        <row r="266">
          <cell r="J266">
            <v>0.014311621368</v>
          </cell>
        </row>
        <row r="267">
          <cell r="A267">
            <v>11782</v>
          </cell>
          <cell r="B267" t="str">
            <v>24个装纸箱</v>
          </cell>
          <cell r="C267" t="str">
            <v>搪胶小鸭</v>
          </cell>
          <cell r="D267">
            <v>24</v>
          </cell>
          <cell r="E267">
            <v>25.72</v>
          </cell>
          <cell r="F267">
            <v>19.69</v>
          </cell>
          <cell r="G267">
            <v>28.26</v>
          </cell>
        </row>
        <row r="267">
          <cell r="J267">
            <v>0.014311621368</v>
          </cell>
        </row>
        <row r="268">
          <cell r="A268">
            <v>45586</v>
          </cell>
          <cell r="B268" t="str">
            <v>24个装纸箱</v>
          </cell>
        </row>
        <row r="268">
          <cell r="D268">
            <v>24</v>
          </cell>
          <cell r="E268">
            <v>25.72</v>
          </cell>
          <cell r="F268">
            <v>19.69</v>
          </cell>
          <cell r="G268">
            <v>28.26</v>
          </cell>
        </row>
        <row r="268">
          <cell r="J268">
            <v>0.014311621368</v>
          </cell>
        </row>
        <row r="269">
          <cell r="A269">
            <v>570974</v>
          </cell>
          <cell r="B269" t="str">
            <v>1个装纸箱</v>
          </cell>
          <cell r="C269" t="str">
            <v>蓝球</v>
          </cell>
          <cell r="D269">
            <v>1</v>
          </cell>
          <cell r="E269">
            <v>59.05</v>
          </cell>
          <cell r="F269">
            <v>26.04</v>
          </cell>
          <cell r="G269">
            <v>55.88</v>
          </cell>
        </row>
        <row r="269">
          <cell r="J269">
            <v>0.08592455256</v>
          </cell>
        </row>
        <row r="270">
          <cell r="A270">
            <v>570975</v>
          </cell>
          <cell r="B270" t="str">
            <v>1个装纸箱</v>
          </cell>
          <cell r="C270" t="str">
            <v>棒球</v>
          </cell>
          <cell r="D270">
            <v>1</v>
          </cell>
          <cell r="E270">
            <v>30.48</v>
          </cell>
          <cell r="F270">
            <v>11.795</v>
          </cell>
          <cell r="G270">
            <v>53.34</v>
          </cell>
        </row>
        <row r="270">
          <cell r="J270">
            <v>0.019176348744</v>
          </cell>
        </row>
        <row r="271">
          <cell r="A271">
            <v>25250</v>
          </cell>
          <cell r="B271" t="str">
            <v>6个装纸箱</v>
          </cell>
          <cell r="C271" t="str">
            <v>磁铁公仔</v>
          </cell>
          <cell r="D271">
            <v>6</v>
          </cell>
          <cell r="E271">
            <v>32.4</v>
          </cell>
          <cell r="F271">
            <v>21</v>
          </cell>
          <cell r="G271">
            <v>17.8</v>
          </cell>
        </row>
        <row r="271">
          <cell r="J271">
            <v>0.01211112</v>
          </cell>
        </row>
        <row r="272">
          <cell r="A272">
            <v>45188</v>
          </cell>
          <cell r="B272" t="str">
            <v>6个装纸箱</v>
          </cell>
        </row>
        <row r="272">
          <cell r="D272">
            <v>6</v>
          </cell>
          <cell r="E272">
            <v>32.4</v>
          </cell>
          <cell r="F272">
            <v>21</v>
          </cell>
          <cell r="G272">
            <v>17.8</v>
          </cell>
        </row>
        <row r="272">
          <cell r="J272">
            <v>0.01211112</v>
          </cell>
        </row>
        <row r="273">
          <cell r="A273">
            <v>11884</v>
          </cell>
        </row>
        <row r="273">
          <cell r="D273">
            <v>8</v>
          </cell>
          <cell r="E273">
            <v>25.72</v>
          </cell>
          <cell r="F273">
            <v>19.69</v>
          </cell>
          <cell r="G273">
            <v>28.26</v>
          </cell>
        </row>
        <row r="273">
          <cell r="J273">
            <v>0.014311621368</v>
          </cell>
        </row>
        <row r="274">
          <cell r="A274">
            <v>46097</v>
          </cell>
          <cell r="B274" t="str">
            <v>纸箱（10个装）</v>
          </cell>
          <cell r="C274" t="str">
            <v>小熊维尼历险记系列</v>
          </cell>
          <cell r="D274">
            <v>10</v>
          </cell>
          <cell r="E274">
            <v>40.01</v>
          </cell>
          <cell r="F274">
            <v>26.67</v>
          </cell>
          <cell r="G274">
            <v>20.96</v>
          </cell>
        </row>
        <row r="274">
          <cell r="J274">
            <v>0.022365718032</v>
          </cell>
        </row>
        <row r="275">
          <cell r="A275">
            <v>570989</v>
          </cell>
          <cell r="B275" t="str">
            <v>纸箱（27个装）</v>
          </cell>
          <cell r="C275" t="str">
            <v>盲盒系列</v>
          </cell>
          <cell r="D275">
            <v>27</v>
          </cell>
          <cell r="E275">
            <v>31.115</v>
          </cell>
          <cell r="F275">
            <v>22.59</v>
          </cell>
          <cell r="G275">
            <v>15.875</v>
          </cell>
        </row>
        <row r="275">
          <cell r="J275">
            <v>0.01115834461875</v>
          </cell>
        </row>
        <row r="276">
          <cell r="A276" t="str">
            <v>14225（6）</v>
          </cell>
          <cell r="B276" t="str">
            <v>纸箱（6个装）</v>
          </cell>
        </row>
        <row r="276">
          <cell r="D276">
            <v>6</v>
          </cell>
          <cell r="E276">
            <v>32.39</v>
          </cell>
          <cell r="F276">
            <v>20.32</v>
          </cell>
          <cell r="G276">
            <v>17.15</v>
          </cell>
        </row>
        <row r="276">
          <cell r="J276">
            <v>0.01128752632</v>
          </cell>
        </row>
        <row r="277">
          <cell r="A277" t="str">
            <v>33769（72）</v>
          </cell>
          <cell r="B277" t="str">
            <v>纸箱（24个装）</v>
          </cell>
          <cell r="C277" t="str">
            <v>搪胶小鸭</v>
          </cell>
          <cell r="D277">
            <v>72</v>
          </cell>
          <cell r="E277">
            <v>25.4</v>
          </cell>
          <cell r="F277">
            <v>24.765</v>
          </cell>
          <cell r="G277">
            <v>31.75</v>
          </cell>
        </row>
        <row r="277">
          <cell r="J277">
            <v>0.01997173425</v>
          </cell>
        </row>
        <row r="278">
          <cell r="A278">
            <v>28481</v>
          </cell>
          <cell r="B278" t="str">
            <v>骰子</v>
          </cell>
          <cell r="C278" t="str">
            <v>骰子</v>
          </cell>
          <cell r="D278">
            <v>4</v>
          </cell>
          <cell r="E278">
            <v>23.81</v>
          </cell>
          <cell r="F278">
            <v>17.78</v>
          </cell>
          <cell r="G278">
            <v>23.81</v>
          </cell>
        </row>
        <row r="278">
          <cell r="J278">
            <v>0.010079768258</v>
          </cell>
        </row>
        <row r="279">
          <cell r="A279">
            <v>28483</v>
          </cell>
          <cell r="B279" t="str">
            <v>振动球</v>
          </cell>
          <cell r="C279" t="str">
            <v>振动球</v>
          </cell>
          <cell r="D279">
            <v>1</v>
          </cell>
          <cell r="E279">
            <v>16.83</v>
          </cell>
          <cell r="F279">
            <v>17.15</v>
          </cell>
          <cell r="G279">
            <v>20</v>
          </cell>
        </row>
        <row r="279">
          <cell r="J279">
            <v>0.00577269</v>
          </cell>
        </row>
        <row r="280">
          <cell r="A280">
            <v>82165</v>
          </cell>
          <cell r="B280" t="str">
            <v>纸箱（8个装）</v>
          </cell>
        </row>
        <row r="280">
          <cell r="D280">
            <v>8</v>
          </cell>
          <cell r="E280">
            <v>25.72</v>
          </cell>
          <cell r="F280">
            <v>19.69</v>
          </cell>
          <cell r="G280">
            <v>28.26</v>
          </cell>
        </row>
        <row r="280">
          <cell r="J280">
            <v>0.014311621368</v>
          </cell>
        </row>
        <row r="281">
          <cell r="A281">
            <v>571299</v>
          </cell>
          <cell r="B281" t="str">
            <v>自卸车</v>
          </cell>
          <cell r="C281" t="str">
            <v>自卸车</v>
          </cell>
          <cell r="D281">
            <v>1</v>
          </cell>
          <cell r="E281">
            <v>42</v>
          </cell>
          <cell r="F281">
            <v>22</v>
          </cell>
          <cell r="G281">
            <v>29</v>
          </cell>
        </row>
        <row r="281">
          <cell r="J281">
            <v>0.026796</v>
          </cell>
        </row>
        <row r="282">
          <cell r="A282" t="str">
            <v>14878（8）</v>
          </cell>
          <cell r="B282" t="str">
            <v>8个装纸箱</v>
          </cell>
        </row>
        <row r="282">
          <cell r="D282">
            <v>8</v>
          </cell>
          <cell r="E282">
            <v>57.785</v>
          </cell>
          <cell r="F282">
            <v>57.15</v>
          </cell>
          <cell r="G282">
            <v>25.4</v>
          </cell>
        </row>
        <row r="282">
          <cell r="J282">
            <v>0.08388128385</v>
          </cell>
        </row>
        <row r="283">
          <cell r="A283">
            <v>21150</v>
          </cell>
          <cell r="B283" t="str">
            <v>纸箱（12个装）</v>
          </cell>
          <cell r="C283" t="str">
            <v>豆袋系列</v>
          </cell>
          <cell r="D283">
            <v>12</v>
          </cell>
          <cell r="E283">
            <v>41.91</v>
          </cell>
          <cell r="F283">
            <v>32.75</v>
          </cell>
          <cell r="G283">
            <v>12.065</v>
          </cell>
        </row>
        <row r="283">
          <cell r="J283">
            <v>0.0165598459125</v>
          </cell>
        </row>
        <row r="284">
          <cell r="A284" t="str">
            <v>33735（12）</v>
          </cell>
          <cell r="B284" t="str">
            <v>纸箱（12个装）</v>
          </cell>
          <cell r="C284" t="str">
            <v>搪胶小鸭</v>
          </cell>
          <cell r="D284">
            <v>12</v>
          </cell>
          <cell r="E284">
            <v>22.5</v>
          </cell>
          <cell r="F284">
            <v>19.5</v>
          </cell>
          <cell r="G284">
            <v>11.3</v>
          </cell>
        </row>
        <row r="284">
          <cell r="J284">
            <v>0.004957875</v>
          </cell>
        </row>
        <row r="285">
          <cell r="A285" t="str">
            <v>33735（18）</v>
          </cell>
          <cell r="B285" t="str">
            <v>纸箱（18个装）</v>
          </cell>
          <cell r="C285" t="str">
            <v>搪胶小鸭</v>
          </cell>
          <cell r="D285">
            <v>18</v>
          </cell>
          <cell r="E285">
            <v>32.5</v>
          </cell>
          <cell r="F285">
            <v>18.3</v>
          </cell>
          <cell r="G285">
            <v>10.7</v>
          </cell>
        </row>
        <row r="285">
          <cell r="J285">
            <v>0.006363825</v>
          </cell>
        </row>
        <row r="286">
          <cell r="A286" t="str">
            <v>33475（192）</v>
          </cell>
          <cell r="B286" t="str">
            <v>纸箱（192个装）</v>
          </cell>
          <cell r="C286" t="str">
            <v>搪胶小鸭</v>
          </cell>
          <cell r="D286">
            <v>192</v>
          </cell>
          <cell r="E286">
            <v>32.7</v>
          </cell>
          <cell r="F286">
            <v>27.8</v>
          </cell>
          <cell r="G286">
            <v>41.6</v>
          </cell>
        </row>
        <row r="286">
          <cell r="J286">
            <v>0.037816896</v>
          </cell>
        </row>
        <row r="287">
          <cell r="A287" t="str">
            <v>33735（36）</v>
          </cell>
          <cell r="B287" t="str">
            <v>纸箱（36个装）</v>
          </cell>
          <cell r="C287" t="str">
            <v>搪胶小鸭</v>
          </cell>
          <cell r="D287">
            <v>36</v>
          </cell>
          <cell r="E287">
            <v>39.3</v>
          </cell>
          <cell r="F287">
            <v>35</v>
          </cell>
          <cell r="G287">
            <v>14.1</v>
          </cell>
        </row>
        <row r="287">
          <cell r="J287">
            <v>0.01939455</v>
          </cell>
        </row>
        <row r="288">
          <cell r="A288">
            <v>46133</v>
          </cell>
        </row>
        <row r="288">
          <cell r="C288" t="str">
            <v>小美人鱼系列</v>
          </cell>
          <cell r="D288">
            <v>2</v>
          </cell>
          <cell r="E288">
            <v>40.01</v>
          </cell>
          <cell r="F288">
            <v>26.67</v>
          </cell>
          <cell r="G288">
            <v>20.96</v>
          </cell>
        </row>
        <row r="288">
          <cell r="J288">
            <v>0.022365718032</v>
          </cell>
        </row>
        <row r="289">
          <cell r="A289">
            <v>46099</v>
          </cell>
        </row>
        <row r="289">
          <cell r="C289" t="str">
            <v>米奇老鼠系列</v>
          </cell>
          <cell r="D289">
            <v>2</v>
          </cell>
          <cell r="E289">
            <v>40.01</v>
          </cell>
          <cell r="F289">
            <v>26.67</v>
          </cell>
          <cell r="G289">
            <v>20.96</v>
          </cell>
        </row>
        <row r="289">
          <cell r="J289">
            <v>0.022365718032</v>
          </cell>
        </row>
        <row r="290">
          <cell r="A290" t="str">
            <v>33475（48）</v>
          </cell>
          <cell r="B290" t="str">
            <v>48个装纸箱</v>
          </cell>
          <cell r="C290" t="str">
            <v>搪胶小鸭</v>
          </cell>
          <cell r="D290">
            <v>48</v>
          </cell>
          <cell r="E290">
            <v>34.925</v>
          </cell>
          <cell r="F290">
            <v>22.225</v>
          </cell>
          <cell r="G290">
            <v>19.05</v>
          </cell>
        </row>
        <row r="290">
          <cell r="J290">
            <v>0.01478676478125</v>
          </cell>
        </row>
        <row r="291">
          <cell r="A291" t="str">
            <v>33490（48）</v>
          </cell>
          <cell r="B291" t="str">
            <v>48个装纸箱</v>
          </cell>
          <cell r="C291" t="str">
            <v>搪胶小鸭</v>
          </cell>
          <cell r="D291">
            <v>48</v>
          </cell>
          <cell r="E291">
            <v>34.925</v>
          </cell>
          <cell r="F291">
            <v>22.225</v>
          </cell>
          <cell r="G291">
            <v>19.05</v>
          </cell>
        </row>
        <row r="291">
          <cell r="J291">
            <v>0.01478676478125</v>
          </cell>
        </row>
        <row r="292">
          <cell r="A292" t="str">
            <v>33658（8）</v>
          </cell>
          <cell r="B292" t="str">
            <v>8个装纸箱</v>
          </cell>
          <cell r="C292" t="str">
            <v>我爱纽约组合小鸭</v>
          </cell>
          <cell r="D292">
            <v>8</v>
          </cell>
          <cell r="E292">
            <v>33</v>
          </cell>
          <cell r="F292">
            <v>16.7</v>
          </cell>
          <cell r="G292">
            <v>14.3</v>
          </cell>
        </row>
        <row r="292">
          <cell r="J292">
            <v>0.00788073</v>
          </cell>
        </row>
        <row r="293">
          <cell r="A293" t="str">
            <v>33708（8）</v>
          </cell>
          <cell r="B293" t="str">
            <v>8个装纸箱</v>
          </cell>
          <cell r="C293" t="str">
            <v>搪胶小鸭</v>
          </cell>
          <cell r="D293">
            <v>8</v>
          </cell>
          <cell r="E293">
            <v>33</v>
          </cell>
          <cell r="F293">
            <v>16.7</v>
          </cell>
          <cell r="G293">
            <v>14.3</v>
          </cell>
        </row>
        <row r="293">
          <cell r="J293">
            <v>0.00788073</v>
          </cell>
        </row>
        <row r="294">
          <cell r="A294">
            <v>33429</v>
          </cell>
        </row>
        <row r="294">
          <cell r="C294" t="str">
            <v>搪胶小鸭</v>
          </cell>
        </row>
        <row r="295">
          <cell r="A295">
            <v>33477</v>
          </cell>
        </row>
        <row r="295">
          <cell r="C295" t="str">
            <v>搪小鸭外星史迪仔</v>
          </cell>
        </row>
        <row r="296">
          <cell r="A296">
            <v>33476</v>
          </cell>
        </row>
        <row r="296">
          <cell r="C296" t="str">
            <v>搪小鸭天使</v>
          </cell>
        </row>
        <row r="297">
          <cell r="A297">
            <v>46462</v>
          </cell>
          <cell r="B297" t="str">
            <v>纸箱（2个装）</v>
          </cell>
          <cell r="C297" t="str">
            <v>史迪仔系列</v>
          </cell>
          <cell r="D297">
            <v>2</v>
          </cell>
          <cell r="E297">
            <v>40.01</v>
          </cell>
          <cell r="F297">
            <v>26.67</v>
          </cell>
          <cell r="G297">
            <v>20.96</v>
          </cell>
        </row>
        <row r="297">
          <cell r="J297">
            <v>0.022365718032</v>
          </cell>
        </row>
        <row r="298">
          <cell r="A298">
            <v>46496</v>
          </cell>
          <cell r="B298" t="str">
            <v>纸箱（2个装）</v>
          </cell>
          <cell r="C298" t="str">
            <v>米妮系列</v>
          </cell>
          <cell r="D298">
            <v>2</v>
          </cell>
          <cell r="E298">
            <v>40.01</v>
          </cell>
          <cell r="F298">
            <v>26.67</v>
          </cell>
          <cell r="G298">
            <v>20.96</v>
          </cell>
        </row>
        <row r="298">
          <cell r="J298">
            <v>0.022365718032</v>
          </cell>
        </row>
        <row r="299">
          <cell r="A299">
            <v>571412</v>
          </cell>
        </row>
        <row r="299">
          <cell r="C299" t="str">
            <v>绿色金属车</v>
          </cell>
          <cell r="D299">
            <v>2</v>
          </cell>
          <cell r="E299">
            <v>41</v>
          </cell>
          <cell r="F299">
            <v>38</v>
          </cell>
          <cell r="G299">
            <v>24</v>
          </cell>
        </row>
        <row r="299">
          <cell r="J299">
            <v>0.037392</v>
          </cell>
        </row>
        <row r="300">
          <cell r="A300">
            <v>571388</v>
          </cell>
        </row>
        <row r="300">
          <cell r="C300" t="str">
            <v>翰迪尔娃娃（咖色头发）</v>
          </cell>
          <cell r="D300">
            <v>4</v>
          </cell>
          <cell r="E300">
            <v>27.94</v>
          </cell>
          <cell r="F300">
            <v>16.51</v>
          </cell>
          <cell r="G300">
            <v>33</v>
          </cell>
        </row>
        <row r="300">
          <cell r="J300">
            <v>0.0152225502</v>
          </cell>
        </row>
        <row r="301">
          <cell r="A301">
            <v>33610</v>
          </cell>
        </row>
        <row r="301">
          <cell r="C301" t="str">
            <v>搪果鸭</v>
          </cell>
          <cell r="D301">
            <v>12</v>
          </cell>
          <cell r="E301">
            <v>22.7</v>
          </cell>
          <cell r="F301">
            <v>18.2</v>
          </cell>
          <cell r="G301">
            <v>11.1</v>
          </cell>
        </row>
        <row r="301">
          <cell r="J301">
            <v>0.004585854</v>
          </cell>
        </row>
        <row r="302">
          <cell r="A302">
            <v>33813</v>
          </cell>
        </row>
        <row r="302">
          <cell r="C302" t="str">
            <v>搪胶小鸭</v>
          </cell>
          <cell r="D302">
            <v>84</v>
          </cell>
          <cell r="E302">
            <v>29.6</v>
          </cell>
          <cell r="F302">
            <v>21.1</v>
          </cell>
          <cell r="G302">
            <v>30.4</v>
          </cell>
        </row>
        <row r="302">
          <cell r="J302">
            <v>0.018986624</v>
          </cell>
        </row>
        <row r="303">
          <cell r="A303">
            <v>33812</v>
          </cell>
        </row>
        <row r="303">
          <cell r="C303" t="str">
            <v>搪胶小鸭</v>
          </cell>
          <cell r="D303">
            <v>60</v>
          </cell>
          <cell r="E303">
            <v>32.2</v>
          </cell>
          <cell r="F303">
            <v>26.4</v>
          </cell>
          <cell r="G303">
            <v>17.9</v>
          </cell>
        </row>
        <row r="303">
          <cell r="J303">
            <v>0.015216432</v>
          </cell>
        </row>
        <row r="304">
          <cell r="A304">
            <v>33807</v>
          </cell>
        </row>
        <row r="304">
          <cell r="C304" t="str">
            <v>搪胶小鸭</v>
          </cell>
          <cell r="D304">
            <v>96</v>
          </cell>
          <cell r="E304">
            <v>32.5</v>
          </cell>
          <cell r="F304">
            <v>20.7</v>
          </cell>
          <cell r="G304">
            <v>33</v>
          </cell>
        </row>
        <row r="304">
          <cell r="J304">
            <v>0.02220075</v>
          </cell>
        </row>
        <row r="305">
          <cell r="A305">
            <v>33808</v>
          </cell>
        </row>
        <row r="305">
          <cell r="C305" t="str">
            <v>搪胶小鸭</v>
          </cell>
          <cell r="D305">
            <v>96</v>
          </cell>
          <cell r="E305">
            <v>32.5</v>
          </cell>
          <cell r="F305">
            <v>20.7</v>
          </cell>
          <cell r="G305">
            <v>33</v>
          </cell>
        </row>
        <row r="305">
          <cell r="J305">
            <v>0.02220075</v>
          </cell>
        </row>
        <row r="306">
          <cell r="A306">
            <v>46462</v>
          </cell>
        </row>
        <row r="306">
          <cell r="C306" t="str">
            <v>史迪仔系列</v>
          </cell>
          <cell r="D306">
            <v>2</v>
          </cell>
          <cell r="E306">
            <v>40.01</v>
          </cell>
          <cell r="F306">
            <v>26.67</v>
          </cell>
          <cell r="G306">
            <v>20.96</v>
          </cell>
        </row>
        <row r="306">
          <cell r="J306">
            <v>0.022365718032</v>
          </cell>
        </row>
        <row r="307">
          <cell r="A307">
            <v>46911</v>
          </cell>
        </row>
        <row r="307">
          <cell r="C307" t="str">
            <v> 蜘蛛侠系列</v>
          </cell>
          <cell r="D307">
            <v>2</v>
          </cell>
          <cell r="E307">
            <v>40.01</v>
          </cell>
          <cell r="F307">
            <v>26.67</v>
          </cell>
          <cell r="G307">
            <v>20.96</v>
          </cell>
        </row>
        <row r="307">
          <cell r="J307">
            <v>0.022365718032</v>
          </cell>
        </row>
        <row r="308">
          <cell r="A308">
            <v>46857</v>
          </cell>
        </row>
        <row r="308">
          <cell r="C308" t="str">
            <v>33477外星史迪仔</v>
          </cell>
        </row>
        <row r="309">
          <cell r="A309">
            <v>46886</v>
          </cell>
        </row>
        <row r="309">
          <cell r="C309" t="str">
            <v>33477外星史迪仔</v>
          </cell>
        </row>
        <row r="310">
          <cell r="A310">
            <v>46897</v>
          </cell>
        </row>
        <row r="310">
          <cell r="C310" t="str">
            <v>33476天使</v>
          </cell>
        </row>
        <row r="311">
          <cell r="A311" t="str">
            <v>46913-1</v>
          </cell>
        </row>
        <row r="311">
          <cell r="C311" t="str">
            <v>33476天使</v>
          </cell>
        </row>
        <row r="312">
          <cell r="A312" t="str">
            <v>46913-2</v>
          </cell>
        </row>
        <row r="312">
          <cell r="C312" t="str">
            <v>33416史迪仔</v>
          </cell>
        </row>
        <row r="313">
          <cell r="A313">
            <v>46862</v>
          </cell>
        </row>
        <row r="313">
          <cell r="C313" t="str">
            <v>荧光杰克</v>
          </cell>
        </row>
        <row r="314">
          <cell r="A314">
            <v>46094</v>
          </cell>
        </row>
        <row r="314">
          <cell r="C314" t="str">
            <v>漫威系列</v>
          </cell>
          <cell r="D314">
            <v>2</v>
          </cell>
          <cell r="E314">
            <v>40.01</v>
          </cell>
          <cell r="F314">
            <v>26.67</v>
          </cell>
          <cell r="G314">
            <v>20.96</v>
          </cell>
        </row>
        <row r="314">
          <cell r="J314">
            <v>0.022365718032</v>
          </cell>
        </row>
        <row r="315">
          <cell r="A315">
            <v>33776</v>
          </cell>
        </row>
        <row r="315">
          <cell r="C315" t="str">
            <v>搪胶小鸭子系列</v>
          </cell>
          <cell r="D315">
            <v>96</v>
          </cell>
          <cell r="E315">
            <v>54.95</v>
          </cell>
          <cell r="F315">
            <v>34.95</v>
          </cell>
          <cell r="G315">
            <v>42.9</v>
          </cell>
        </row>
        <row r="315">
          <cell r="J315">
            <v>0.08238955725</v>
          </cell>
        </row>
        <row r="316">
          <cell r="A316">
            <v>671509</v>
          </cell>
        </row>
        <row r="316">
          <cell r="C316" t="str">
            <v>绿色铁皮勾车</v>
          </cell>
          <cell r="D316">
            <v>2</v>
          </cell>
          <cell r="E316">
            <v>40.32</v>
          </cell>
          <cell r="F316">
            <v>37.47</v>
          </cell>
          <cell r="G316">
            <v>23.81</v>
          </cell>
        </row>
        <row r="316">
          <cell r="J316">
            <v>0.035971919424</v>
          </cell>
        </row>
        <row r="317">
          <cell r="A317" t="str">
            <v>33465（48）</v>
          </cell>
        </row>
        <row r="317">
          <cell r="C317" t="str">
            <v>搪胶小鸭子系列</v>
          </cell>
          <cell r="D317">
            <v>48</v>
          </cell>
          <cell r="E317">
            <v>36.7</v>
          </cell>
          <cell r="F317">
            <v>28</v>
          </cell>
          <cell r="G317">
            <v>17.2</v>
          </cell>
        </row>
        <row r="317">
          <cell r="J317">
            <v>0.01767472</v>
          </cell>
        </row>
        <row r="318">
          <cell r="A318" t="str">
            <v>33782（48）</v>
          </cell>
          <cell r="B318" t="str">
            <v>纸箱（48个装）</v>
          </cell>
          <cell r="C318" t="str">
            <v>鸭子</v>
          </cell>
          <cell r="D318">
            <v>48</v>
          </cell>
          <cell r="E318">
            <v>37.15</v>
          </cell>
          <cell r="F318">
            <v>33</v>
          </cell>
          <cell r="G318">
            <v>33.34</v>
          </cell>
        </row>
        <row r="318">
          <cell r="J318">
            <v>0.040873173</v>
          </cell>
        </row>
      </sheetData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装箱单"/>
      <sheetName val="实发车"/>
      <sheetName val="Sheet2"/>
      <sheetName val="Sheet1"/>
      <sheetName val="Sheet3"/>
      <sheetName val="Sheet4"/>
    </sheetNames>
    <sheetDataSet>
      <sheetData sheetId="0" refreshError="1">
        <row r="1">
          <cell r="A1" t="str">
            <v> WM Item#</v>
          </cell>
          <cell r="B1" t="str">
            <v>Description</v>
          </cell>
        </row>
        <row r="1">
          <cell r="D1" t="str">
            <v>Qty/Ctn</v>
          </cell>
          <cell r="E1" t="str">
            <v>Measurement/ctn 
(L/W/H ) (cm)</v>
          </cell>
        </row>
        <row r="1">
          <cell r="H1" t="str">
            <v>NW/CTN</v>
          </cell>
          <cell r="I1" t="str">
            <v>GW/CTN</v>
          </cell>
          <cell r="J1" t="str">
            <v>CBM/CTN</v>
          </cell>
        </row>
        <row r="2">
          <cell r="A2">
            <v>320398</v>
          </cell>
          <cell r="B2" t="str">
            <v>HONEY BEE ACRES BUNNY FAMILY 4-PACK</v>
          </cell>
          <cell r="C2" t="str">
            <v>兔子家族</v>
          </cell>
          <cell r="D2">
            <v>4</v>
          </cell>
          <cell r="E2">
            <v>24.5</v>
          </cell>
          <cell r="F2">
            <v>21</v>
          </cell>
          <cell r="G2">
            <v>20</v>
          </cell>
          <cell r="H2">
            <v>0.52</v>
          </cell>
          <cell r="I2">
            <v>0.71</v>
          </cell>
          <cell r="J2">
            <v>0.01029</v>
          </cell>
        </row>
        <row r="3">
          <cell r="A3" t="str">
            <v>320398-X</v>
          </cell>
          <cell r="B3" t="str">
            <v>HONEY BEE ACRES BUNNY FAMILY 4-PACK</v>
          </cell>
          <cell r="C3" t="str">
            <v>兔子家族</v>
          </cell>
          <cell r="D3">
            <v>4</v>
          </cell>
          <cell r="E3">
            <v>24.5</v>
          </cell>
          <cell r="F3">
            <v>21</v>
          </cell>
          <cell r="G3">
            <v>20</v>
          </cell>
          <cell r="H3">
            <v>0.52</v>
          </cell>
          <cell r="I3">
            <v>0.71</v>
          </cell>
          <cell r="J3">
            <v>0.01029</v>
          </cell>
        </row>
        <row r="4">
          <cell r="A4">
            <v>320399</v>
          </cell>
          <cell r="B4" t="str">
            <v>HONEY BEE ACRES CAT FAMILY 4-PACK</v>
          </cell>
          <cell r="C4" t="str">
            <v>猫家族</v>
          </cell>
          <cell r="D4">
            <v>4</v>
          </cell>
          <cell r="E4">
            <v>24.5</v>
          </cell>
          <cell r="F4">
            <v>21</v>
          </cell>
          <cell r="G4">
            <v>20</v>
          </cell>
          <cell r="H4">
            <v>0.5</v>
          </cell>
          <cell r="I4">
            <v>0.68</v>
          </cell>
          <cell r="J4">
            <v>0.01029</v>
          </cell>
        </row>
        <row r="5">
          <cell r="A5" t="str">
            <v>320399-X</v>
          </cell>
          <cell r="B5" t="str">
            <v>HONEY BEE ACRES CAT FAMILY 4-PACK</v>
          </cell>
          <cell r="C5" t="str">
            <v>猫家族</v>
          </cell>
          <cell r="D5">
            <v>4</v>
          </cell>
          <cell r="E5">
            <v>24.5</v>
          </cell>
          <cell r="F5">
            <v>21</v>
          </cell>
          <cell r="G5">
            <v>20</v>
          </cell>
          <cell r="H5">
            <v>0.5</v>
          </cell>
          <cell r="I5">
            <v>0.68</v>
          </cell>
          <cell r="J5">
            <v>0.01029</v>
          </cell>
        </row>
        <row r="6">
          <cell r="A6">
            <v>320400</v>
          </cell>
          <cell r="B6" t="str">
            <v>HONEY BEE ACRES BEAR FAMILY 4-PACK</v>
          </cell>
          <cell r="C6" t="str">
            <v>熊家族</v>
          </cell>
          <cell r="D6">
            <v>4</v>
          </cell>
          <cell r="E6">
            <v>24.5</v>
          </cell>
          <cell r="F6">
            <v>21</v>
          </cell>
          <cell r="G6">
            <v>20</v>
          </cell>
          <cell r="H6">
            <v>0.47</v>
          </cell>
          <cell r="I6">
            <v>0.68</v>
          </cell>
          <cell r="J6">
            <v>0.01029</v>
          </cell>
        </row>
        <row r="7">
          <cell r="A7" t="str">
            <v>320400-X</v>
          </cell>
          <cell r="B7" t="str">
            <v>HONEY BEE ACRES BEAR FAMILY 4-PACK</v>
          </cell>
          <cell r="C7" t="str">
            <v>熊家族</v>
          </cell>
          <cell r="D7">
            <v>4</v>
          </cell>
          <cell r="E7">
            <v>24.5</v>
          </cell>
          <cell r="F7">
            <v>21</v>
          </cell>
          <cell r="G7">
            <v>20</v>
          </cell>
          <cell r="H7">
            <v>0.47</v>
          </cell>
          <cell r="I7">
            <v>0.68</v>
          </cell>
          <cell r="J7">
            <v>0.01029</v>
          </cell>
        </row>
        <row r="8">
          <cell r="A8">
            <v>320401</v>
          </cell>
          <cell r="B8" t="str">
            <v>HONEY BEE ACRES DOG FAMILY 4-PACK</v>
          </cell>
          <cell r="C8" t="str">
            <v>狗家族</v>
          </cell>
          <cell r="D8">
            <v>4</v>
          </cell>
          <cell r="E8">
            <v>24.5</v>
          </cell>
          <cell r="F8">
            <v>21</v>
          </cell>
          <cell r="G8">
            <v>20</v>
          </cell>
          <cell r="H8">
            <v>0.51</v>
          </cell>
          <cell r="I8">
            <v>0.71</v>
          </cell>
          <cell r="J8">
            <v>0.01029</v>
          </cell>
        </row>
        <row r="9">
          <cell r="A9" t="str">
            <v>320401-X</v>
          </cell>
          <cell r="B9" t="str">
            <v>HONEY BEE ACRES DOG FAMILY 4-PACK</v>
          </cell>
          <cell r="C9" t="str">
            <v>狗家族</v>
          </cell>
          <cell r="D9">
            <v>4</v>
          </cell>
          <cell r="E9">
            <v>24.5</v>
          </cell>
          <cell r="F9">
            <v>21</v>
          </cell>
          <cell r="G9">
            <v>20</v>
          </cell>
          <cell r="H9">
            <v>0.51</v>
          </cell>
          <cell r="I9">
            <v>0.71</v>
          </cell>
          <cell r="J9">
            <v>0.01029</v>
          </cell>
        </row>
        <row r="10">
          <cell r="A10">
            <v>320918</v>
          </cell>
          <cell r="B10" t="str">
            <v>HONEY BEE ACRES DOG FAMILY 4-PACK</v>
          </cell>
          <cell r="C10" t="str">
            <v>狗家族</v>
          </cell>
          <cell r="D10">
            <v>4</v>
          </cell>
          <cell r="E10">
            <v>24.5</v>
          </cell>
          <cell r="F10">
            <v>21</v>
          </cell>
          <cell r="G10">
            <v>20</v>
          </cell>
          <cell r="H10">
            <v>0.51</v>
          </cell>
          <cell r="I10">
            <v>0.71</v>
          </cell>
          <cell r="J10">
            <v>0.01029</v>
          </cell>
        </row>
        <row r="11">
          <cell r="A11">
            <v>320735</v>
          </cell>
        </row>
        <row r="11">
          <cell r="C11" t="str">
            <v>混装</v>
          </cell>
          <cell r="D11">
            <v>4</v>
          </cell>
          <cell r="E11">
            <v>24.5</v>
          </cell>
          <cell r="F11">
            <v>21</v>
          </cell>
          <cell r="G11">
            <v>20</v>
          </cell>
          <cell r="H11">
            <v>0.51</v>
          </cell>
          <cell r="I11">
            <v>0.71</v>
          </cell>
          <cell r="J11">
            <v>0.01029</v>
          </cell>
        </row>
        <row r="12">
          <cell r="A12">
            <v>320403</v>
          </cell>
          <cell r="B12" t="str">
            <v>HONEY BEE ACRES ASSORTED CHARACTERS</v>
          </cell>
          <cell r="C12" t="str">
            <v>各种角色公仔组合</v>
          </cell>
          <cell r="D12">
            <v>16</v>
          </cell>
          <cell r="E12">
            <v>22</v>
          </cell>
          <cell r="F12">
            <v>17</v>
          </cell>
          <cell r="G12">
            <v>20.5</v>
          </cell>
          <cell r="H12">
            <v>0.75</v>
          </cell>
          <cell r="I12">
            <v>0.93</v>
          </cell>
          <cell r="J12">
            <v>0.007667</v>
          </cell>
        </row>
        <row r="13">
          <cell r="A13" t="str">
            <v>320403-X</v>
          </cell>
          <cell r="B13" t="str">
            <v>HONEY BEE ACRES ASSORTED CHARACTERS</v>
          </cell>
          <cell r="C13" t="str">
            <v>各种角色公仔组合</v>
          </cell>
          <cell r="D13">
            <v>16</v>
          </cell>
          <cell r="E13">
            <v>22</v>
          </cell>
          <cell r="F13">
            <v>17</v>
          </cell>
          <cell r="G13">
            <v>20.5</v>
          </cell>
          <cell r="H13">
            <v>0.75</v>
          </cell>
          <cell r="I13">
            <v>0.93</v>
          </cell>
          <cell r="J13">
            <v>0.007667</v>
          </cell>
        </row>
        <row r="14">
          <cell r="A14">
            <v>320402</v>
          </cell>
          <cell r="B14" t="str">
            <v>HONEY BEE ACRES PLAYGROUND PALS</v>
          </cell>
          <cell r="C14" t="str">
            <v>游乐场伙伴</v>
          </cell>
          <cell r="D14">
            <v>4</v>
          </cell>
          <cell r="E14">
            <v>31.5</v>
          </cell>
          <cell r="F14">
            <v>25</v>
          </cell>
          <cell r="G14">
            <v>20.5</v>
          </cell>
          <cell r="H14">
            <v>0.84</v>
          </cell>
          <cell r="I14">
            <v>1.11</v>
          </cell>
          <cell r="J14">
            <v>0.01614375</v>
          </cell>
        </row>
        <row r="15">
          <cell r="A15" t="str">
            <v>320402-X</v>
          </cell>
          <cell r="B15" t="str">
            <v>HONEY BEE ACRES PLAYGROUND PALS</v>
          </cell>
          <cell r="C15" t="str">
            <v>游乐场伙伴</v>
          </cell>
          <cell r="D15">
            <v>4</v>
          </cell>
          <cell r="E15">
            <v>31.5</v>
          </cell>
          <cell r="F15">
            <v>25</v>
          </cell>
          <cell r="G15">
            <v>20.5</v>
          </cell>
          <cell r="H15">
            <v>0.84</v>
          </cell>
          <cell r="I15">
            <v>1.11</v>
          </cell>
          <cell r="J15">
            <v>0.01614375</v>
          </cell>
        </row>
        <row r="16">
          <cell r="A16">
            <v>320404</v>
          </cell>
          <cell r="B16" t="str">
            <v>HONEY BEE ACRES AROUND TOWN VAN</v>
          </cell>
          <cell r="C16" t="str">
            <v>城镇货车</v>
          </cell>
          <cell r="D16">
            <v>2</v>
          </cell>
          <cell r="E16">
            <v>31</v>
          </cell>
          <cell r="F16">
            <v>29.5</v>
          </cell>
          <cell r="G16">
            <v>20</v>
          </cell>
          <cell r="H16">
            <v>1.11</v>
          </cell>
          <cell r="I16">
            <v>1.43</v>
          </cell>
          <cell r="J16">
            <v>0.01829</v>
          </cell>
        </row>
        <row r="17">
          <cell r="A17">
            <v>320405</v>
          </cell>
          <cell r="B17" t="str">
            <v>HONEY BEE ACRES LIVING ROOM DECOR ACCESSORIES
</v>
          </cell>
          <cell r="C17" t="str">
            <v>客厅装饰</v>
          </cell>
          <cell r="D17">
            <v>3</v>
          </cell>
          <cell r="E17">
            <v>31.5</v>
          </cell>
          <cell r="F17">
            <v>27</v>
          </cell>
          <cell r="G17">
            <v>20</v>
          </cell>
          <cell r="H17">
            <v>1.5</v>
          </cell>
          <cell r="I17">
            <v>1.83</v>
          </cell>
          <cell r="J17">
            <v>0.01701</v>
          </cell>
        </row>
        <row r="18">
          <cell r="A18" t="str">
            <v>320405-X</v>
          </cell>
          <cell r="B18" t="str">
            <v>HONEY BEE ACRES LIVING ROOM DECOR ACCESSORIES
</v>
          </cell>
          <cell r="C18" t="str">
            <v>客厅装饰</v>
          </cell>
          <cell r="D18">
            <v>3</v>
          </cell>
          <cell r="E18">
            <v>31.5</v>
          </cell>
          <cell r="F18">
            <v>27</v>
          </cell>
          <cell r="G18">
            <v>20</v>
          </cell>
          <cell r="H18">
            <v>1.5</v>
          </cell>
          <cell r="I18">
            <v>1.83</v>
          </cell>
          <cell r="J18">
            <v>0.01701</v>
          </cell>
        </row>
        <row r="19">
          <cell r="A19">
            <v>320406</v>
          </cell>
          <cell r="B19" t="str">
            <v>HONEY BEE ACRES KITCHEN DECOR ACCESSORIES </v>
          </cell>
          <cell r="C19" t="str">
            <v>厨房装饰</v>
          </cell>
          <cell r="D19">
            <v>3</v>
          </cell>
          <cell r="E19">
            <v>31</v>
          </cell>
          <cell r="F19">
            <v>26.5</v>
          </cell>
          <cell r="G19">
            <v>20.5</v>
          </cell>
          <cell r="H19">
            <v>0.79</v>
          </cell>
          <cell r="I19">
            <v>1.07</v>
          </cell>
          <cell r="J19">
            <v>0.01684075</v>
          </cell>
        </row>
        <row r="20">
          <cell r="A20" t="str">
            <v>320406-X</v>
          </cell>
          <cell r="B20" t="str">
            <v>HONEY BEE ACRES KITCHEN DECOR ACCESSORIES </v>
          </cell>
          <cell r="C20" t="str">
            <v>厨房装饰</v>
          </cell>
          <cell r="D20">
            <v>3</v>
          </cell>
          <cell r="E20">
            <v>31</v>
          </cell>
          <cell r="F20">
            <v>26.5</v>
          </cell>
          <cell r="G20">
            <v>20.5</v>
          </cell>
          <cell r="H20">
            <v>0.79</v>
          </cell>
          <cell r="I20">
            <v>1.07</v>
          </cell>
          <cell r="J20">
            <v>0.01684075</v>
          </cell>
        </row>
        <row r="21">
          <cell r="A21">
            <v>320407</v>
          </cell>
          <cell r="B21" t="str">
            <v>HONEY BEE ACRES BATHROOM DECOR ACCESSORIES </v>
          </cell>
          <cell r="C21" t="str">
            <v>浴室装饰</v>
          </cell>
          <cell r="D21">
            <v>3</v>
          </cell>
          <cell r="E21">
            <v>31</v>
          </cell>
          <cell r="F21">
            <v>27</v>
          </cell>
          <cell r="G21">
            <v>20</v>
          </cell>
          <cell r="H21">
            <v>0.93</v>
          </cell>
          <cell r="I21">
            <v>1.21</v>
          </cell>
          <cell r="J21">
            <v>0.01674</v>
          </cell>
        </row>
        <row r="22">
          <cell r="A22" t="str">
            <v>320407-X</v>
          </cell>
          <cell r="B22" t="str">
            <v>HONEY BEE ACRES BATHROOM DECOR ACCESSORIES </v>
          </cell>
          <cell r="C22" t="str">
            <v>浴室装饰</v>
          </cell>
          <cell r="D22">
            <v>3</v>
          </cell>
          <cell r="E22">
            <v>31</v>
          </cell>
          <cell r="F22">
            <v>27</v>
          </cell>
          <cell r="G22">
            <v>20</v>
          </cell>
          <cell r="H22">
            <v>0.93</v>
          </cell>
          <cell r="I22">
            <v>1.21</v>
          </cell>
          <cell r="J22">
            <v>0.01674</v>
          </cell>
        </row>
        <row r="23">
          <cell r="A23">
            <v>320408</v>
          </cell>
          <cell r="B23" t="str">
            <v>HONEY BEE ACRES GENERAL STORE with Adult Figure </v>
          </cell>
          <cell r="C23" t="str">
            <v>普通商店</v>
          </cell>
          <cell r="D23">
            <v>2</v>
          </cell>
          <cell r="E23">
            <v>41.91</v>
          </cell>
          <cell r="F23">
            <v>31.75</v>
          </cell>
          <cell r="G23">
            <v>21.59</v>
          </cell>
          <cell r="H23">
            <v>1.97</v>
          </cell>
          <cell r="I23">
            <v>2.43</v>
          </cell>
          <cell r="J23">
            <v>0.028728571575</v>
          </cell>
        </row>
        <row r="24">
          <cell r="A24" t="str">
            <v>320408-X</v>
          </cell>
          <cell r="B24" t="str">
            <v>HONEY BEE ACRES GENERAL STORE with Adult Figure </v>
          </cell>
          <cell r="C24" t="str">
            <v>普通商店</v>
          </cell>
          <cell r="D24">
            <v>2</v>
          </cell>
          <cell r="E24">
            <v>39.5</v>
          </cell>
          <cell r="F24">
            <v>30</v>
          </cell>
          <cell r="G24">
            <v>21.5</v>
          </cell>
          <cell r="H24">
            <v>1.97</v>
          </cell>
          <cell r="I24">
            <v>2.43</v>
          </cell>
          <cell r="J24">
            <v>0.0254775</v>
          </cell>
        </row>
        <row r="25">
          <cell r="A25">
            <v>320409</v>
          </cell>
          <cell r="B25" t="str">
            <v>HONEY BEE ACRES SUNFLOWER COUNTRY COTTAGE with Adult Figure </v>
          </cell>
          <cell r="C25" t="str">
            <v>向日葵家</v>
          </cell>
          <cell r="D25">
            <v>2</v>
          </cell>
          <cell r="E25">
            <v>43</v>
          </cell>
          <cell r="F25">
            <v>32.5</v>
          </cell>
          <cell r="G25">
            <v>30.5</v>
          </cell>
          <cell r="H25">
            <v>2.34</v>
          </cell>
          <cell r="I25">
            <v>3</v>
          </cell>
          <cell r="J25">
            <v>0.04262375</v>
          </cell>
        </row>
        <row r="26">
          <cell r="A26">
            <v>320410</v>
          </cell>
          <cell r="B26" t="str">
            <v>HONEY BEE ACRES BUZZBY FARM HOUSE  with 2 FIGURES (Adult &amp;Child)</v>
          </cell>
          <cell r="C26" t="str">
            <v>巴比斯农舍</v>
          </cell>
          <cell r="D26">
            <v>1</v>
          </cell>
          <cell r="E26">
            <v>62</v>
          </cell>
          <cell r="F26">
            <v>25</v>
          </cell>
          <cell r="G26">
            <v>40.5</v>
          </cell>
          <cell r="H26">
            <v>4.9</v>
          </cell>
          <cell r="I26">
            <v>5.56</v>
          </cell>
          <cell r="J26">
            <v>0.062775</v>
          </cell>
        </row>
        <row r="27">
          <cell r="A27">
            <v>470191</v>
          </cell>
          <cell r="B27" t="str">
            <v>HONEY BEE ACRES BUZZBY FARM HOUSE  with 2 FIGURES (Adult &amp;Child)</v>
          </cell>
          <cell r="C27" t="str">
            <v>巴比斯农舍</v>
          </cell>
          <cell r="D27">
            <v>1</v>
          </cell>
          <cell r="E27">
            <v>62</v>
          </cell>
          <cell r="F27">
            <v>25</v>
          </cell>
          <cell r="G27">
            <v>40.5</v>
          </cell>
          <cell r="H27">
            <v>4.9</v>
          </cell>
          <cell r="I27">
            <v>5.56</v>
          </cell>
          <cell r="J27">
            <v>0.062775</v>
          </cell>
        </row>
        <row r="28">
          <cell r="A28">
            <v>320626</v>
          </cell>
          <cell r="B28" t="str">
            <v>HONEY BEE ACRES RAINBOW RIDGE BABIES with ACCESSOR</v>
          </cell>
          <cell r="C28" t="str">
            <v>彩虹岭婴儿与配件系列</v>
          </cell>
          <cell r="D28">
            <v>16</v>
          </cell>
          <cell r="E28">
            <v>21</v>
          </cell>
          <cell r="F28">
            <v>17</v>
          </cell>
          <cell r="G28">
            <v>20</v>
          </cell>
          <cell r="H28">
            <v>0.74</v>
          </cell>
          <cell r="I28">
            <v>0.9</v>
          </cell>
          <cell r="J28">
            <v>0.00714</v>
          </cell>
        </row>
        <row r="29">
          <cell r="A29">
            <v>320627</v>
          </cell>
          <cell r="B29" t="str">
            <v>HONEY BEE ACRES PAINT and COLOR ART FUN</v>
          </cell>
          <cell r="C29" t="str">
            <v>画画装扮</v>
          </cell>
          <cell r="D29">
            <v>4</v>
          </cell>
          <cell r="E29">
            <v>25.5</v>
          </cell>
          <cell r="F29">
            <v>17.5</v>
          </cell>
          <cell r="G29">
            <v>20</v>
          </cell>
          <cell r="H29">
            <v>0.34</v>
          </cell>
          <cell r="I29">
            <v>0.52</v>
          </cell>
          <cell r="J29">
            <v>0.008925</v>
          </cell>
        </row>
        <row r="30">
          <cell r="A30">
            <v>320629</v>
          </cell>
          <cell r="B30" t="str">
            <v>HONEY BEE ACRES PAINT and COLOR ART FUN</v>
          </cell>
          <cell r="C30" t="str">
            <v>画画装扮</v>
          </cell>
          <cell r="D30">
            <v>4</v>
          </cell>
          <cell r="E30">
            <v>33</v>
          </cell>
          <cell r="F30">
            <v>20</v>
          </cell>
          <cell r="G30">
            <v>20</v>
          </cell>
          <cell r="H30">
            <v>0.34</v>
          </cell>
          <cell r="I30">
            <v>0.52</v>
          </cell>
          <cell r="J30">
            <v>0.0132</v>
          </cell>
        </row>
        <row r="31">
          <cell r="A31">
            <v>320785</v>
          </cell>
          <cell r="B31" t="str">
            <v>HONEY BEE ACRES PAINT and COLOR ART FUN</v>
          </cell>
          <cell r="C31" t="str">
            <v>画画装扮</v>
          </cell>
          <cell r="D31">
            <v>4</v>
          </cell>
          <cell r="E31">
            <v>25.5</v>
          </cell>
          <cell r="F31">
            <v>17.5</v>
          </cell>
          <cell r="G31">
            <v>20</v>
          </cell>
          <cell r="H31">
            <v>0.34</v>
          </cell>
          <cell r="I31">
            <v>0.52</v>
          </cell>
          <cell r="J31">
            <v>0.008925</v>
          </cell>
        </row>
        <row r="32">
          <cell r="A32">
            <v>320630</v>
          </cell>
          <cell r="B32" t="str">
            <v>HONEY BEE ACRES CLOVERBERRIES COW FAMILY</v>
          </cell>
          <cell r="C32" t="str">
            <v>牛家族</v>
          </cell>
          <cell r="D32">
            <v>4</v>
          </cell>
          <cell r="E32">
            <v>25</v>
          </cell>
          <cell r="F32">
            <v>20.5</v>
          </cell>
          <cell r="G32">
            <v>20</v>
          </cell>
          <cell r="H32">
            <v>0.46</v>
          </cell>
          <cell r="I32">
            <v>0.67</v>
          </cell>
          <cell r="J32">
            <v>0.01025</v>
          </cell>
        </row>
        <row r="33">
          <cell r="A33">
            <v>320631</v>
          </cell>
          <cell r="B33" t="str">
            <v>HONEY BEE ACRES CHEDDARS MOUSE FAMILY</v>
          </cell>
          <cell r="C33" t="str">
            <v>老鼠家族</v>
          </cell>
          <cell r="D33">
            <v>4</v>
          </cell>
          <cell r="E33">
            <v>25.5</v>
          </cell>
          <cell r="F33">
            <v>21</v>
          </cell>
          <cell r="G33">
            <v>20</v>
          </cell>
          <cell r="H33">
            <v>0.47</v>
          </cell>
          <cell r="I33">
            <v>0.7</v>
          </cell>
          <cell r="J33">
            <v>0.01071</v>
          </cell>
        </row>
        <row r="34">
          <cell r="A34">
            <v>320632</v>
          </cell>
          <cell r="B34" t="str">
            <v>HONEY BEE ACRES BACK to SCHOOL PALS - 8 
STYLES</v>
          </cell>
          <cell r="C34" t="str">
            <v>学校队友</v>
          </cell>
          <cell r="D34">
            <v>4</v>
          </cell>
          <cell r="E34">
            <v>31.5</v>
          </cell>
          <cell r="F34">
            <v>25</v>
          </cell>
          <cell r="G34">
            <v>20</v>
          </cell>
          <cell r="H34">
            <v>0.83</v>
          </cell>
          <cell r="I34">
            <v>1.09</v>
          </cell>
          <cell r="J34">
            <v>0.01575</v>
          </cell>
        </row>
        <row r="35">
          <cell r="A35">
            <v>320634</v>
          </cell>
          <cell r="B35" t="str">
            <v>HONEY BEE ACRES RAINBOW RIDGE - 9 STYLES</v>
          </cell>
          <cell r="C35" t="str">
            <v>彩虹岭伙伴</v>
          </cell>
          <cell r="D35">
            <v>4</v>
          </cell>
          <cell r="E35">
            <v>31.5</v>
          </cell>
          <cell r="F35">
            <v>25</v>
          </cell>
          <cell r="G35">
            <v>20</v>
          </cell>
          <cell r="H35">
            <v>0.82</v>
          </cell>
          <cell r="I35">
            <v>1.08</v>
          </cell>
          <cell r="J35">
            <v>0.01575</v>
          </cell>
        </row>
        <row r="36">
          <cell r="A36">
            <v>320637</v>
          </cell>
          <cell r="B36" t="str">
            <v>HONEY BEE ACRES DAYDREAMERS UNICORN FAMILY</v>
          </cell>
          <cell r="C36" t="str">
            <v>独角兽家族</v>
          </cell>
          <cell r="D36">
            <v>4</v>
          </cell>
          <cell r="E36">
            <v>25.5</v>
          </cell>
          <cell r="F36">
            <v>21</v>
          </cell>
          <cell r="G36">
            <v>20</v>
          </cell>
          <cell r="H36">
            <v>0.5</v>
          </cell>
          <cell r="I36">
            <v>0.7</v>
          </cell>
          <cell r="J36">
            <v>0.01071</v>
          </cell>
        </row>
        <row r="37">
          <cell r="A37">
            <v>320638</v>
          </cell>
          <cell r="B37" t="str">
            <v>HONEY BEE ACRES SWEET DREAMS PAJAMA 
PARTY</v>
          </cell>
          <cell r="C37" t="str">
            <v>露营派对装扮</v>
          </cell>
          <cell r="D37">
            <v>4</v>
          </cell>
          <cell r="E37">
            <v>25.5</v>
          </cell>
          <cell r="F37">
            <v>17.5</v>
          </cell>
          <cell r="G37">
            <v>20.5</v>
          </cell>
          <cell r="H37">
            <v>0.62</v>
          </cell>
          <cell r="I37">
            <v>0.8</v>
          </cell>
          <cell r="J37">
            <v>0.009148125</v>
          </cell>
        </row>
        <row r="38">
          <cell r="A38">
            <v>470195</v>
          </cell>
          <cell r="B38" t="str">
            <v>HONEY BEE ACRES SWEET DREAMS PAJAMA 
PARTY</v>
          </cell>
          <cell r="C38" t="str">
            <v>花园</v>
          </cell>
          <cell r="D38">
            <v>4</v>
          </cell>
          <cell r="E38">
            <v>19.05</v>
          </cell>
          <cell r="F38">
            <v>17.145</v>
          </cell>
          <cell r="G38">
            <v>19.05</v>
          </cell>
          <cell r="H38">
            <v>0.62</v>
          </cell>
          <cell r="I38">
            <v>0.8</v>
          </cell>
          <cell r="J38">
            <v>0.0062219633625</v>
          </cell>
        </row>
        <row r="39">
          <cell r="A39">
            <v>320639</v>
          </cell>
          <cell r="B39" t="str">
            <v>HONEY BEE ACRES FLOWER GROOVE VAN WITH CHARACTER</v>
          </cell>
          <cell r="C39" t="str">
            <v>新货车</v>
          </cell>
          <cell r="D39">
            <v>2</v>
          </cell>
          <cell r="E39">
            <v>29.4</v>
          </cell>
          <cell r="F39">
            <v>27.4</v>
          </cell>
          <cell r="G39">
            <v>20.3</v>
          </cell>
          <cell r="H39">
            <v>1.02</v>
          </cell>
          <cell r="I39">
            <v>1.29</v>
          </cell>
          <cell r="J39">
            <v>0.016352868</v>
          </cell>
        </row>
        <row r="40">
          <cell r="A40">
            <v>320640</v>
          </cell>
          <cell r="B40" t="str">
            <v>HONEY BEE ACRES SUNBURST ART STUDIO</v>
          </cell>
          <cell r="C40" t="str">
            <v>彩虹屋</v>
          </cell>
          <cell r="D40">
            <v>1</v>
          </cell>
          <cell r="E40">
            <v>53.5</v>
          </cell>
          <cell r="F40">
            <v>22.5</v>
          </cell>
          <cell r="G40">
            <v>32.5</v>
          </cell>
          <cell r="H40">
            <v>1.73</v>
          </cell>
          <cell r="I40">
            <v>2.2</v>
          </cell>
          <cell r="J40">
            <v>0.039121875</v>
          </cell>
        </row>
        <row r="41">
          <cell r="A41">
            <v>320641</v>
          </cell>
          <cell r="B41" t="str">
            <v> 
HONEY BEE ACRES CRYSTAL'S ICE CREAM SHOP PLAYSET</v>
          </cell>
          <cell r="C41" t="str">
            <v>冰淇淋屋</v>
          </cell>
          <cell r="D41">
            <v>2</v>
          </cell>
          <cell r="E41">
            <v>43</v>
          </cell>
          <cell r="F41">
            <v>32.5</v>
          </cell>
          <cell r="G41">
            <v>23</v>
          </cell>
          <cell r="H41">
            <v>1.68</v>
          </cell>
          <cell r="I41">
            <v>2.15</v>
          </cell>
          <cell r="J41">
            <v>0.0321425</v>
          </cell>
        </row>
        <row r="42">
          <cell r="A42">
            <v>320916</v>
          </cell>
          <cell r="B42" t="str">
            <v> 
HONEY BEE ACRES CRYSTAL'S ICE CREAM SHOP PLAYSET</v>
          </cell>
          <cell r="C42" t="str">
            <v>糕屋</v>
          </cell>
          <cell r="D42">
            <v>2</v>
          </cell>
          <cell r="E42">
            <v>38.1</v>
          </cell>
          <cell r="F42">
            <v>30.48</v>
          </cell>
          <cell r="G42">
            <v>22.225</v>
          </cell>
          <cell r="H42">
            <v>1.68</v>
          </cell>
          <cell r="I42">
            <v>2.15</v>
          </cell>
          <cell r="J42">
            <v>0.0258096258</v>
          </cell>
        </row>
        <row r="43">
          <cell r="A43">
            <v>320649</v>
          </cell>
          <cell r="B43" t="str">
            <v>FIDGIE FRIENDS WATERMELOW</v>
          </cell>
          <cell r="C43" t="str">
            <v>西瓜女孩</v>
          </cell>
          <cell r="D43">
            <v>2</v>
          </cell>
          <cell r="E43">
            <v>22.5</v>
          </cell>
          <cell r="F43">
            <v>22.5</v>
          </cell>
          <cell r="G43">
            <v>33</v>
          </cell>
          <cell r="H43">
            <v>0.822</v>
          </cell>
          <cell r="I43">
            <v>1.185</v>
          </cell>
          <cell r="J43">
            <v>0.01670625</v>
          </cell>
        </row>
        <row r="44">
          <cell r="A44">
            <v>320650</v>
          </cell>
          <cell r="B44" t="str">
            <v>FIDGIE FRIENDS BOBA BUBBLES</v>
          </cell>
          <cell r="C44" t="str">
            <v>波巴女孩</v>
          </cell>
          <cell r="D44">
            <v>2</v>
          </cell>
          <cell r="E44">
            <v>22.5</v>
          </cell>
          <cell r="F44">
            <v>22.5</v>
          </cell>
          <cell r="G44">
            <v>33</v>
          </cell>
          <cell r="H44">
            <v>0.957</v>
          </cell>
          <cell r="I44">
            <v>1.32</v>
          </cell>
          <cell r="J44">
            <v>0.01670625</v>
          </cell>
        </row>
        <row r="45">
          <cell r="A45">
            <v>320651</v>
          </cell>
          <cell r="B45" t="str">
            <v> 
FIDGIE FRIENDS DANDELION WISHES</v>
          </cell>
          <cell r="C45" t="str">
            <v>蒲公英女孩</v>
          </cell>
          <cell r="D45">
            <v>2</v>
          </cell>
          <cell r="E45">
            <v>22.5</v>
          </cell>
          <cell r="F45">
            <v>22.5</v>
          </cell>
          <cell r="G45">
            <v>33</v>
          </cell>
          <cell r="H45">
            <v>1.276</v>
          </cell>
          <cell r="I45">
            <v>1.645</v>
          </cell>
          <cell r="J45">
            <v>0.01670625</v>
          </cell>
        </row>
        <row r="46">
          <cell r="A46">
            <v>320652</v>
          </cell>
          <cell r="B46" t="str">
            <v>FIDGIE FRIENDS UNICORN SPRINKLES</v>
          </cell>
          <cell r="C46" t="str">
            <v>独角女孩</v>
          </cell>
          <cell r="D46">
            <v>2</v>
          </cell>
          <cell r="E46">
            <v>22.5</v>
          </cell>
          <cell r="F46">
            <v>22.5</v>
          </cell>
          <cell r="G46">
            <v>33</v>
          </cell>
          <cell r="H46">
            <v>0.894</v>
          </cell>
          <cell r="I46">
            <v>1.262</v>
          </cell>
          <cell r="J46">
            <v>0.01670625</v>
          </cell>
        </row>
        <row r="47">
          <cell r="A47">
            <v>320839</v>
          </cell>
        </row>
        <row r="47">
          <cell r="C47" t="str">
            <v>面条女孩</v>
          </cell>
          <cell r="D47">
            <v>2</v>
          </cell>
          <cell r="E47">
            <v>22.5</v>
          </cell>
          <cell r="F47">
            <v>22.5</v>
          </cell>
          <cell r="G47">
            <v>33</v>
          </cell>
          <cell r="H47">
            <v>0.894</v>
          </cell>
          <cell r="I47">
            <v>1.262</v>
          </cell>
          <cell r="J47">
            <v>0.01670625</v>
          </cell>
        </row>
        <row r="48">
          <cell r="A48">
            <v>320840</v>
          </cell>
        </row>
        <row r="48">
          <cell r="C48" t="str">
            <v>披萨女孩</v>
          </cell>
          <cell r="D48">
            <v>2</v>
          </cell>
          <cell r="E48">
            <v>22.5</v>
          </cell>
          <cell r="F48">
            <v>22.5</v>
          </cell>
          <cell r="G48">
            <v>33</v>
          </cell>
          <cell r="H48">
            <v>0.894</v>
          </cell>
          <cell r="I48">
            <v>1.262</v>
          </cell>
          <cell r="J48">
            <v>0.01670625</v>
          </cell>
        </row>
        <row r="49">
          <cell r="A49">
            <v>320841</v>
          </cell>
          <cell r="B49" t="str">
            <v>FIDGIE FRIENDS UNICORN SPRINKLES</v>
          </cell>
          <cell r="C49" t="str">
            <v>独角女孩</v>
          </cell>
          <cell r="D49">
            <v>2</v>
          </cell>
          <cell r="E49">
            <v>22.5</v>
          </cell>
          <cell r="F49">
            <v>22.5</v>
          </cell>
          <cell r="G49">
            <v>33</v>
          </cell>
          <cell r="H49">
            <v>0.894</v>
          </cell>
          <cell r="I49">
            <v>1.262</v>
          </cell>
          <cell r="J49">
            <v>0.01670625</v>
          </cell>
        </row>
        <row r="50">
          <cell r="A50">
            <v>320915</v>
          </cell>
          <cell r="B50" t="str">
            <v>HONEY BEE ACRES RAINBOW RIDGE - 9 STYLES</v>
          </cell>
          <cell r="C50" t="str">
            <v>圣装伙伴</v>
          </cell>
          <cell r="D50">
            <v>4</v>
          </cell>
          <cell r="E50">
            <v>31.5</v>
          </cell>
          <cell r="F50">
            <v>25</v>
          </cell>
          <cell r="G50">
            <v>20</v>
          </cell>
          <cell r="H50">
            <v>0.82</v>
          </cell>
          <cell r="I50">
            <v>1.08</v>
          </cell>
          <cell r="J50">
            <v>0.01575</v>
          </cell>
        </row>
        <row r="51">
          <cell r="A51">
            <v>320643</v>
          </cell>
        </row>
        <row r="51">
          <cell r="C51" t="str">
            <v>复活节彩蛋</v>
          </cell>
          <cell r="D51">
            <v>24</v>
          </cell>
          <cell r="E51">
            <v>62.3316</v>
          </cell>
          <cell r="F51">
            <v>37.465</v>
          </cell>
          <cell r="G51">
            <v>14.605</v>
          </cell>
        </row>
        <row r="51">
          <cell r="J51">
            <v>0.03410637581937</v>
          </cell>
        </row>
        <row r="52">
          <cell r="A52">
            <v>320993</v>
          </cell>
        </row>
        <row r="52">
          <cell r="C52" t="str">
            <v>健身房</v>
          </cell>
          <cell r="D52">
            <v>5</v>
          </cell>
          <cell r="E52">
            <v>59.69</v>
          </cell>
          <cell r="F52">
            <v>39.37</v>
          </cell>
          <cell r="G52">
            <v>44.45</v>
          </cell>
        </row>
        <row r="52">
          <cell r="J52">
            <v>0.104457291085</v>
          </cell>
        </row>
        <row r="53">
          <cell r="A53" t="str">
            <v>12369（1）</v>
          </cell>
        </row>
        <row r="53">
          <cell r="C53" t="str">
            <v>摇摆米奇</v>
          </cell>
          <cell r="D53">
            <v>1</v>
          </cell>
          <cell r="E53">
            <v>37.084</v>
          </cell>
          <cell r="F53">
            <v>16.51</v>
          </cell>
          <cell r="G53">
            <v>42.545</v>
          </cell>
        </row>
        <row r="53">
          <cell r="J53">
            <v>0.0260484672578</v>
          </cell>
        </row>
        <row r="54">
          <cell r="A54" t="str">
            <v>12369（2）</v>
          </cell>
        </row>
        <row r="54">
          <cell r="C54" t="str">
            <v>摇摆米奇</v>
          </cell>
          <cell r="D54">
            <v>2</v>
          </cell>
          <cell r="E54">
            <v>37.084</v>
          </cell>
          <cell r="F54">
            <v>31.75</v>
          </cell>
          <cell r="G54">
            <v>42.545</v>
          </cell>
        </row>
        <row r="54">
          <cell r="J54">
            <v>0.050093206265</v>
          </cell>
        </row>
        <row r="55">
          <cell r="A55" t="str">
            <v>12369（3）</v>
          </cell>
        </row>
        <row r="55">
          <cell r="C55" t="str">
            <v>摇摆米奇</v>
          </cell>
          <cell r="D55">
            <v>3</v>
          </cell>
          <cell r="E55">
            <v>48.26</v>
          </cell>
          <cell r="F55">
            <v>36.83</v>
          </cell>
          <cell r="G55">
            <v>42.545</v>
          </cell>
        </row>
        <row r="55">
          <cell r="J55">
            <v>0.075620155211</v>
          </cell>
        </row>
        <row r="56">
          <cell r="A56" t="str">
            <v>12369（4）</v>
          </cell>
          <cell r="B56" t="str">
            <v>纸箱（4个装）</v>
          </cell>
          <cell r="C56" t="str">
            <v>摇摆米奇</v>
          </cell>
          <cell r="D56">
            <v>4</v>
          </cell>
          <cell r="E56">
            <v>64.135</v>
          </cell>
          <cell r="F56">
            <v>36.83</v>
          </cell>
          <cell r="G56">
            <v>42.545</v>
          </cell>
        </row>
        <row r="56">
          <cell r="J56">
            <v>0.10049520626725</v>
          </cell>
        </row>
        <row r="57">
          <cell r="A57" t="str">
            <v>96112（1）</v>
          </cell>
          <cell r="B57" t="str">
            <v>纸箱（1个装有彩盒）</v>
          </cell>
          <cell r="C57" t="str">
            <v>JJ大头娃娃</v>
          </cell>
        </row>
        <row r="57">
          <cell r="E57">
            <v>30</v>
          </cell>
          <cell r="F57">
            <v>28</v>
          </cell>
          <cell r="G57">
            <v>18.5</v>
          </cell>
        </row>
        <row r="57">
          <cell r="J57">
            <v>0.01554</v>
          </cell>
        </row>
        <row r="58">
          <cell r="A58" t="str">
            <v>96112（9）</v>
          </cell>
          <cell r="B58" t="str">
            <v>纸箱（9个装无彩盒）</v>
          </cell>
          <cell r="C58" t="str">
            <v>JJ大头娃娃</v>
          </cell>
        </row>
        <row r="58">
          <cell r="E58">
            <v>53.34</v>
          </cell>
          <cell r="F58">
            <v>45.72</v>
          </cell>
          <cell r="G58">
            <v>27.94</v>
          </cell>
        </row>
        <row r="58">
          <cell r="J58">
            <v>0.068137412112</v>
          </cell>
        </row>
        <row r="59">
          <cell r="A59" t="str">
            <v>96112（4）</v>
          </cell>
          <cell r="B59" t="str">
            <v>纸箱（4个装有彩盒）</v>
          </cell>
          <cell r="C59" t="str">
            <v>JJ大头娃娃</v>
          </cell>
        </row>
        <row r="59">
          <cell r="E59">
            <v>54</v>
          </cell>
          <cell r="F59">
            <v>35</v>
          </cell>
          <cell r="G59">
            <v>31</v>
          </cell>
        </row>
        <row r="59">
          <cell r="J59">
            <v>0.05859</v>
          </cell>
        </row>
        <row r="60">
          <cell r="A60" t="str">
            <v>96112（6）</v>
          </cell>
          <cell r="B60" t="str">
            <v>纸箱（6个装有彩盒）</v>
          </cell>
          <cell r="C60" t="str">
            <v>JJ大头娃娃</v>
          </cell>
        </row>
        <row r="60">
          <cell r="E60">
            <v>52.705</v>
          </cell>
          <cell r="F60">
            <v>52.07</v>
          </cell>
          <cell r="G60">
            <v>29.845</v>
          </cell>
        </row>
        <row r="60">
          <cell r="J60">
            <v>0.08190510635075</v>
          </cell>
        </row>
        <row r="61">
          <cell r="A61">
            <v>96112</v>
          </cell>
          <cell r="B61" t="str">
            <v>邮包盒无彩盒</v>
          </cell>
          <cell r="C61" t="str">
            <v>JJ大头娃娃</v>
          </cell>
        </row>
        <row r="61">
          <cell r="E61">
            <v>26.67</v>
          </cell>
          <cell r="F61">
            <v>14.605</v>
          </cell>
          <cell r="G61">
            <v>27.94</v>
          </cell>
        </row>
        <row r="61">
          <cell r="J61">
            <v>0.010883058879</v>
          </cell>
        </row>
        <row r="62">
          <cell r="A62" t="str">
            <v>96112（邮包）</v>
          </cell>
          <cell r="B62" t="str">
            <v>6个邮包盒纸箱</v>
          </cell>
          <cell r="C62" t="str">
            <v>JJ大头娃娃</v>
          </cell>
        </row>
        <row r="62">
          <cell r="E62">
            <v>54.61</v>
          </cell>
          <cell r="F62">
            <v>45.72</v>
          </cell>
          <cell r="G62">
            <v>29.21</v>
          </cell>
        </row>
        <row r="62">
          <cell r="J62">
            <v>0.072930628332</v>
          </cell>
        </row>
        <row r="63">
          <cell r="A63" t="str">
            <v>96112（PDQ）</v>
          </cell>
          <cell r="B63" t="str">
            <v>纸箱（6个装BJ版PDQ）</v>
          </cell>
          <cell r="C63" t="str">
            <v>JJ大头娃娃</v>
          </cell>
        </row>
        <row r="63">
          <cell r="E63">
            <v>54.61</v>
          </cell>
          <cell r="F63">
            <v>52.705</v>
          </cell>
          <cell r="G63">
            <v>30.48</v>
          </cell>
        </row>
        <row r="63">
          <cell r="J63">
            <v>0.087728147124</v>
          </cell>
        </row>
        <row r="64">
          <cell r="A64" t="str">
            <v>96112（39）</v>
          </cell>
          <cell r="B64" t="str">
            <v>纸箱（39个装有彩盒）</v>
          </cell>
          <cell r="C64" t="str">
            <v>JJ大头娃娃</v>
          </cell>
        </row>
        <row r="64">
          <cell r="E64">
            <v>124</v>
          </cell>
          <cell r="F64">
            <v>54</v>
          </cell>
          <cell r="G64">
            <v>88</v>
          </cell>
        </row>
        <row r="64">
          <cell r="J64">
            <v>0.589248</v>
          </cell>
        </row>
        <row r="65">
          <cell r="A65" t="str">
            <v>88188（3）</v>
          </cell>
          <cell r="B65" t="str">
            <v>纸箱（3个装）</v>
          </cell>
          <cell r="C65" t="str">
            <v>背包狗</v>
          </cell>
        </row>
        <row r="65">
          <cell r="E65">
            <v>55.245</v>
          </cell>
          <cell r="F65">
            <v>24.765</v>
          </cell>
          <cell r="G65">
            <v>35.56</v>
          </cell>
        </row>
        <row r="65">
          <cell r="J65">
            <v>0.048651144633</v>
          </cell>
        </row>
        <row r="66">
          <cell r="A66" t="str">
            <v>88188（1）</v>
          </cell>
          <cell r="B66" t="str">
            <v>纸箱（1个装）</v>
          </cell>
          <cell r="C66" t="str">
            <v>背包狗</v>
          </cell>
        </row>
        <row r="66">
          <cell r="E66">
            <v>24.13</v>
          </cell>
          <cell r="F66">
            <v>19.05</v>
          </cell>
          <cell r="G66">
            <v>34.29</v>
          </cell>
        </row>
        <row r="66">
          <cell r="J66">
            <v>0.015762307185</v>
          </cell>
        </row>
        <row r="67">
          <cell r="A67">
            <v>95526</v>
          </cell>
          <cell r="B67" t="str">
            <v>纸箱（18个装）</v>
          </cell>
        </row>
        <row r="67">
          <cell r="E67">
            <v>24</v>
          </cell>
          <cell r="F67">
            <v>22</v>
          </cell>
          <cell r="G67">
            <v>39.5</v>
          </cell>
        </row>
        <row r="67">
          <cell r="J67">
            <v>0.020856</v>
          </cell>
        </row>
        <row r="68">
          <cell r="A68" t="str">
            <v>42062（2）</v>
          </cell>
          <cell r="B68" t="str">
            <v>纸箱（2个装）</v>
          </cell>
          <cell r="C68" t="str">
            <v>大狗</v>
          </cell>
        </row>
        <row r="68">
          <cell r="E68">
            <v>35</v>
          </cell>
          <cell r="F68">
            <v>32.5</v>
          </cell>
          <cell r="G68">
            <v>29.5</v>
          </cell>
        </row>
        <row r="68">
          <cell r="J68">
            <v>0.03355625</v>
          </cell>
        </row>
        <row r="69">
          <cell r="A69" t="str">
            <v>42064（2）</v>
          </cell>
          <cell r="B69" t="str">
            <v>纸箱（2个装）</v>
          </cell>
          <cell r="C69" t="str">
            <v>大马</v>
          </cell>
        </row>
        <row r="69">
          <cell r="E69">
            <v>35</v>
          </cell>
          <cell r="F69">
            <v>32.5</v>
          </cell>
          <cell r="G69">
            <v>29.5</v>
          </cell>
        </row>
        <row r="69">
          <cell r="J69">
            <v>0.03355625</v>
          </cell>
        </row>
        <row r="70">
          <cell r="A70" t="str">
            <v>42062（6）</v>
          </cell>
          <cell r="B70" t="str">
            <v>纸箱（6个装）</v>
          </cell>
          <cell r="C70" t="str">
            <v>大狗</v>
          </cell>
        </row>
        <row r="70">
          <cell r="E70">
            <v>57.15</v>
          </cell>
          <cell r="F70">
            <v>51.435</v>
          </cell>
          <cell r="G70">
            <v>31.75</v>
          </cell>
        </row>
        <row r="70">
          <cell r="J70">
            <v>0.0933294504375</v>
          </cell>
        </row>
        <row r="71">
          <cell r="A71" t="str">
            <v>42064（6）</v>
          </cell>
          <cell r="B71" t="str">
            <v>纸箱（6个装）</v>
          </cell>
          <cell r="C71" t="str">
            <v>大马</v>
          </cell>
        </row>
        <row r="71">
          <cell r="E71">
            <v>57.15</v>
          </cell>
          <cell r="F71">
            <v>51.435</v>
          </cell>
          <cell r="G71">
            <v>31.75</v>
          </cell>
        </row>
        <row r="71">
          <cell r="J71">
            <v>0.0933294504375</v>
          </cell>
        </row>
        <row r="72">
          <cell r="A72" t="str">
            <v>42069(6)</v>
          </cell>
          <cell r="B72" t="str">
            <v>纸箱（6个装）</v>
          </cell>
          <cell r="C72" t="str">
            <v>大狗</v>
          </cell>
        </row>
        <row r="72">
          <cell r="E72">
            <v>57.15</v>
          </cell>
          <cell r="F72">
            <v>51.435</v>
          </cell>
          <cell r="G72">
            <v>31.75</v>
          </cell>
        </row>
        <row r="72">
          <cell r="J72">
            <v>0.0933294504375</v>
          </cell>
        </row>
        <row r="73">
          <cell r="A73" t="str">
            <v>42068(6)</v>
          </cell>
          <cell r="B73" t="str">
            <v>纸箱（6个装）</v>
          </cell>
          <cell r="C73" t="str">
            <v>大马</v>
          </cell>
        </row>
        <row r="73">
          <cell r="E73">
            <v>57.15</v>
          </cell>
          <cell r="F73">
            <v>51.435</v>
          </cell>
          <cell r="G73">
            <v>31.75</v>
          </cell>
        </row>
        <row r="73">
          <cell r="J73">
            <v>0.0933294504375</v>
          </cell>
        </row>
        <row r="74">
          <cell r="A74" t="str">
            <v>42087(6)</v>
          </cell>
          <cell r="B74" t="str">
            <v>纸箱（6个装）</v>
          </cell>
          <cell r="C74" t="str">
            <v>大马</v>
          </cell>
        </row>
        <row r="74">
          <cell r="E74">
            <v>57.15</v>
          </cell>
          <cell r="F74">
            <v>51.435</v>
          </cell>
          <cell r="G74">
            <v>31.75</v>
          </cell>
        </row>
        <row r="74">
          <cell r="J74">
            <v>0.0933294504375</v>
          </cell>
        </row>
        <row r="75">
          <cell r="A75" t="str">
            <v>42069/87</v>
          </cell>
          <cell r="B75" t="str">
            <v>纸箱（6个装）</v>
          </cell>
          <cell r="C75" t="str">
            <v>大狗/大马混装</v>
          </cell>
        </row>
        <row r="75">
          <cell r="E75">
            <v>57.15</v>
          </cell>
          <cell r="F75">
            <v>51.435</v>
          </cell>
          <cell r="G75">
            <v>31.75</v>
          </cell>
        </row>
        <row r="75">
          <cell r="J75">
            <v>0.0933294504375</v>
          </cell>
        </row>
        <row r="76">
          <cell r="A76" t="str">
            <v>470111（4）</v>
          </cell>
          <cell r="B76" t="str">
            <v>纸箱（4个装）</v>
          </cell>
          <cell r="C76" t="str">
            <v>卷发女孩</v>
          </cell>
        </row>
        <row r="76">
          <cell r="E76">
            <v>27.94</v>
          </cell>
          <cell r="F76">
            <v>16.51</v>
          </cell>
          <cell r="G76">
            <v>33</v>
          </cell>
        </row>
        <row r="76">
          <cell r="J76">
            <v>0.0152225502</v>
          </cell>
        </row>
        <row r="77">
          <cell r="A77" t="str">
            <v>470112（4）</v>
          </cell>
          <cell r="B77" t="str">
            <v>纸箱（4个装）</v>
          </cell>
          <cell r="C77" t="str">
            <v>黄色狗</v>
          </cell>
        </row>
        <row r="77">
          <cell r="E77">
            <v>27.94</v>
          </cell>
          <cell r="F77">
            <v>16.51</v>
          </cell>
          <cell r="G77">
            <v>33</v>
          </cell>
        </row>
        <row r="77">
          <cell r="J77">
            <v>0.0152225502</v>
          </cell>
        </row>
        <row r="78">
          <cell r="A78" t="str">
            <v>470113（4）</v>
          </cell>
          <cell r="B78" t="str">
            <v>纸箱（4个装）</v>
          </cell>
          <cell r="C78" t="str">
            <v>直发女孩</v>
          </cell>
        </row>
        <row r="78">
          <cell r="E78">
            <v>27.94</v>
          </cell>
          <cell r="F78">
            <v>16.51</v>
          </cell>
          <cell r="G78">
            <v>33</v>
          </cell>
        </row>
        <row r="78">
          <cell r="J78">
            <v>0.0152225502</v>
          </cell>
        </row>
        <row r="79">
          <cell r="A79" t="str">
            <v>470114（4）</v>
          </cell>
          <cell r="B79" t="str">
            <v>纸箱（4个装）</v>
          </cell>
          <cell r="C79" t="str">
            <v>粉色兔子</v>
          </cell>
        </row>
        <row r="79">
          <cell r="E79">
            <v>27.94</v>
          </cell>
          <cell r="F79">
            <v>16.51</v>
          </cell>
          <cell r="G79">
            <v>33</v>
          </cell>
        </row>
        <row r="79">
          <cell r="J79">
            <v>0.0152225502</v>
          </cell>
        </row>
        <row r="80">
          <cell r="A80" t="str">
            <v>470111（18）</v>
          </cell>
          <cell r="B80" t="str">
            <v>纸箱（18个装）</v>
          </cell>
          <cell r="C80" t="str">
            <v>卷发女孩</v>
          </cell>
        </row>
        <row r="80">
          <cell r="E80">
            <v>48.26</v>
          </cell>
          <cell r="F80">
            <v>40.64</v>
          </cell>
          <cell r="G80">
            <v>31.75</v>
          </cell>
        </row>
        <row r="80">
          <cell r="J80">
            <v>0.0622708432</v>
          </cell>
        </row>
        <row r="81">
          <cell r="A81" t="str">
            <v>470112（18）</v>
          </cell>
          <cell r="B81" t="str">
            <v>纸箱（18个装）</v>
          </cell>
          <cell r="C81" t="str">
            <v>黄色狗</v>
          </cell>
        </row>
        <row r="81">
          <cell r="E81">
            <v>48.26</v>
          </cell>
          <cell r="F81">
            <v>40.64</v>
          </cell>
          <cell r="G81">
            <v>31.75</v>
          </cell>
        </row>
        <row r="81">
          <cell r="J81">
            <v>0.0622708432</v>
          </cell>
        </row>
        <row r="82">
          <cell r="A82" t="str">
            <v>470113（18）</v>
          </cell>
          <cell r="B82" t="str">
            <v>纸箱（18个装）</v>
          </cell>
          <cell r="C82" t="str">
            <v>直发女孩</v>
          </cell>
        </row>
        <row r="82">
          <cell r="E82">
            <v>48.26</v>
          </cell>
          <cell r="F82">
            <v>40.64</v>
          </cell>
          <cell r="G82">
            <v>31.75</v>
          </cell>
        </row>
        <row r="82">
          <cell r="J82">
            <v>0.0622708432</v>
          </cell>
        </row>
        <row r="83">
          <cell r="A83" t="str">
            <v>470114（18）</v>
          </cell>
          <cell r="B83" t="str">
            <v>纸箱（18个装）</v>
          </cell>
          <cell r="C83" t="str">
            <v>粉色兔子</v>
          </cell>
        </row>
        <row r="83">
          <cell r="E83">
            <v>48.26</v>
          </cell>
          <cell r="F83">
            <v>40.64</v>
          </cell>
          <cell r="G83">
            <v>31.75</v>
          </cell>
        </row>
        <row r="83">
          <cell r="J83">
            <v>0.0622708432</v>
          </cell>
        </row>
        <row r="84">
          <cell r="A84" t="str">
            <v>470616（4）</v>
          </cell>
          <cell r="B84" t="str">
            <v>纸箱（4个装）</v>
          </cell>
          <cell r="C84" t="str">
            <v>直发仙女</v>
          </cell>
        </row>
        <row r="84">
          <cell r="E84">
            <v>33</v>
          </cell>
          <cell r="F84">
            <v>17.2</v>
          </cell>
          <cell r="G84">
            <v>28</v>
          </cell>
        </row>
        <row r="84">
          <cell r="J84">
            <v>0.0158928</v>
          </cell>
        </row>
        <row r="85">
          <cell r="A85" t="str">
            <v>12136（1）</v>
          </cell>
          <cell r="B85" t="str">
            <v>1个装纸箱</v>
          </cell>
          <cell r="C85" t="str">
            <v>爬爬米奇</v>
          </cell>
        </row>
        <row r="85">
          <cell r="E85">
            <v>30.48</v>
          </cell>
          <cell r="F85">
            <v>14.605</v>
          </cell>
          <cell r="G85">
            <v>24.13</v>
          </cell>
        </row>
        <row r="85">
          <cell r="J85">
            <v>0.010741720452</v>
          </cell>
        </row>
        <row r="86">
          <cell r="A86" t="str">
            <v>12136（2）</v>
          </cell>
          <cell r="B86" t="str">
            <v>2个装纸箱</v>
          </cell>
          <cell r="C86" t="str">
            <v>爬爬米奇</v>
          </cell>
        </row>
        <row r="86">
          <cell r="E86">
            <v>30.48</v>
          </cell>
          <cell r="F86">
            <v>27.94</v>
          </cell>
          <cell r="G86">
            <v>24.13</v>
          </cell>
        </row>
        <row r="86">
          <cell r="J86">
            <v>0.020549378256</v>
          </cell>
        </row>
        <row r="87">
          <cell r="A87" t="str">
            <v>12136（4）</v>
          </cell>
          <cell r="B87" t="str">
            <v>4个装纸箱</v>
          </cell>
          <cell r="C87" t="str">
            <v>爬爬米奇</v>
          </cell>
        </row>
        <row r="87">
          <cell r="E87">
            <v>57.785</v>
          </cell>
          <cell r="F87">
            <v>27.94</v>
          </cell>
          <cell r="G87">
            <v>24.13</v>
          </cell>
        </row>
        <row r="87">
          <cell r="J87">
            <v>0.038958196277</v>
          </cell>
        </row>
        <row r="88">
          <cell r="A88" t="str">
            <v>12136（8）</v>
          </cell>
          <cell r="B88" t="str">
            <v>8个装纸箱</v>
          </cell>
          <cell r="C88" t="str">
            <v>爬爬米奇</v>
          </cell>
        </row>
        <row r="88">
          <cell r="E88">
            <v>57.785</v>
          </cell>
          <cell r="F88">
            <v>57.15</v>
          </cell>
          <cell r="G88">
            <v>25.4</v>
          </cell>
        </row>
        <row r="88">
          <cell r="J88">
            <v>0.08388128385</v>
          </cell>
        </row>
        <row r="89">
          <cell r="A89" t="str">
            <v>12137（1）</v>
          </cell>
          <cell r="B89" t="str">
            <v>1个装纸箱</v>
          </cell>
          <cell r="C89" t="str">
            <v>爬爬米妮</v>
          </cell>
        </row>
        <row r="89">
          <cell r="E89">
            <v>30.48</v>
          </cell>
          <cell r="F89">
            <v>14.605</v>
          </cell>
          <cell r="G89">
            <v>24.13</v>
          </cell>
        </row>
        <row r="89">
          <cell r="J89">
            <v>0.010741720452</v>
          </cell>
        </row>
        <row r="90">
          <cell r="A90" t="str">
            <v>12137（2）</v>
          </cell>
          <cell r="B90" t="str">
            <v>2个装纸箱</v>
          </cell>
          <cell r="C90" t="str">
            <v>爬爬米妮</v>
          </cell>
        </row>
        <row r="90">
          <cell r="E90">
            <v>30.48</v>
          </cell>
          <cell r="F90">
            <v>27.94</v>
          </cell>
          <cell r="G90">
            <v>24.13</v>
          </cell>
        </row>
        <row r="90">
          <cell r="J90">
            <v>0.020549378256</v>
          </cell>
        </row>
        <row r="91">
          <cell r="A91" t="str">
            <v>12137（4）</v>
          </cell>
          <cell r="B91" t="str">
            <v>4个装纸箱</v>
          </cell>
          <cell r="C91" t="str">
            <v>爬爬米妮</v>
          </cell>
        </row>
        <row r="91">
          <cell r="E91">
            <v>57.785</v>
          </cell>
          <cell r="F91">
            <v>27.94</v>
          </cell>
          <cell r="G91">
            <v>24.13</v>
          </cell>
        </row>
        <row r="91">
          <cell r="J91">
            <v>0.038958196277</v>
          </cell>
        </row>
        <row r="92">
          <cell r="A92" t="str">
            <v>12137（8）</v>
          </cell>
          <cell r="B92" t="str">
            <v>8个装纸箱</v>
          </cell>
          <cell r="C92" t="str">
            <v>爬爬米妮</v>
          </cell>
        </row>
        <row r="92">
          <cell r="E92">
            <v>57.785</v>
          </cell>
          <cell r="F92">
            <v>57.15</v>
          </cell>
          <cell r="G92">
            <v>25.4</v>
          </cell>
        </row>
        <row r="92">
          <cell r="J92">
            <v>0.08388128385</v>
          </cell>
        </row>
        <row r="93">
          <cell r="A93" t="str">
            <v>12125（4）</v>
          </cell>
          <cell r="B93" t="str">
            <v>4个装纸箱</v>
          </cell>
          <cell r="C93" t="str">
            <v>爬爬系列</v>
          </cell>
        </row>
        <row r="93">
          <cell r="E93">
            <v>57.785</v>
          </cell>
          <cell r="F93">
            <v>27.94</v>
          </cell>
          <cell r="G93">
            <v>24.13</v>
          </cell>
        </row>
        <row r="93">
          <cell r="J93">
            <v>0.038958196277</v>
          </cell>
        </row>
        <row r="94">
          <cell r="A94" t="str">
            <v>320398（14）</v>
          </cell>
          <cell r="B94" t="str">
            <v>14个装纸箱</v>
          </cell>
          <cell r="C94" t="str">
            <v>兔子家族</v>
          </cell>
        </row>
        <row r="94">
          <cell r="E94">
            <v>42</v>
          </cell>
          <cell r="F94">
            <v>36</v>
          </cell>
          <cell r="G94">
            <v>22.5</v>
          </cell>
        </row>
        <row r="94">
          <cell r="J94">
            <v>0.03402</v>
          </cell>
        </row>
        <row r="95">
          <cell r="A95">
            <v>320635</v>
          </cell>
          <cell r="B95" t="str">
            <v>2个装纸箱</v>
          </cell>
          <cell r="C95" t="str">
            <v>校车</v>
          </cell>
        </row>
        <row r="95">
          <cell r="E95">
            <v>35.18</v>
          </cell>
          <cell r="F95">
            <v>27.18</v>
          </cell>
          <cell r="G95">
            <v>16.51</v>
          </cell>
        </row>
        <row r="95">
          <cell r="J95">
            <v>0.015786736524</v>
          </cell>
        </row>
        <row r="96">
          <cell r="A96">
            <v>470230</v>
          </cell>
          <cell r="B96" t="str">
            <v>2个装纸箱</v>
          </cell>
          <cell r="C96" t="str">
            <v>转面公仔</v>
          </cell>
        </row>
        <row r="96">
          <cell r="E96">
            <v>35.56</v>
          </cell>
          <cell r="F96">
            <v>22.86</v>
          </cell>
          <cell r="G96">
            <v>30</v>
          </cell>
        </row>
        <row r="96">
          <cell r="J96">
            <v>0.024387048</v>
          </cell>
        </row>
        <row r="97">
          <cell r="A97">
            <v>470231</v>
          </cell>
          <cell r="B97" t="str">
            <v>2个装纸箱</v>
          </cell>
          <cell r="C97" t="str">
            <v>转面公仔</v>
          </cell>
        </row>
        <row r="97">
          <cell r="E97">
            <v>35.56</v>
          </cell>
          <cell r="F97">
            <v>22.86</v>
          </cell>
          <cell r="G97">
            <v>31.75</v>
          </cell>
        </row>
        <row r="97">
          <cell r="J97">
            <v>0.0258096258</v>
          </cell>
        </row>
        <row r="98">
          <cell r="A98" t="str">
            <v>470232-KH</v>
          </cell>
          <cell r="B98" t="str">
            <v>2个装纸箱</v>
          </cell>
          <cell r="C98" t="str">
            <v>转面公仔</v>
          </cell>
        </row>
        <row r="98">
          <cell r="E98">
            <v>35.56</v>
          </cell>
          <cell r="F98">
            <v>22.86</v>
          </cell>
          <cell r="G98">
            <v>31.75</v>
          </cell>
        </row>
        <row r="98">
          <cell r="J98">
            <v>0.0258096258</v>
          </cell>
        </row>
        <row r="99">
          <cell r="A99">
            <v>470232</v>
          </cell>
          <cell r="B99" t="str">
            <v>2个装纸箱</v>
          </cell>
          <cell r="C99" t="str">
            <v>转面公仔</v>
          </cell>
        </row>
        <row r="99">
          <cell r="E99">
            <v>35.56</v>
          </cell>
          <cell r="F99">
            <v>22.86</v>
          </cell>
          <cell r="G99">
            <v>31.75</v>
          </cell>
        </row>
        <row r="99">
          <cell r="J99">
            <v>0.0258096258</v>
          </cell>
        </row>
        <row r="100">
          <cell r="A100">
            <v>470227</v>
          </cell>
          <cell r="B100" t="str">
            <v>2个装纸箱</v>
          </cell>
          <cell r="C100" t="str">
            <v>转面公仔</v>
          </cell>
        </row>
        <row r="100">
          <cell r="E100">
            <v>35.56</v>
          </cell>
          <cell r="F100">
            <v>22.86</v>
          </cell>
          <cell r="G100">
            <v>31.75</v>
          </cell>
        </row>
        <row r="100">
          <cell r="J100">
            <v>0.0258096258</v>
          </cell>
        </row>
        <row r="101">
          <cell r="A101">
            <v>470228</v>
          </cell>
          <cell r="B101" t="str">
            <v>2个装纸箱</v>
          </cell>
          <cell r="C101" t="str">
            <v>转面公仔</v>
          </cell>
        </row>
        <row r="101">
          <cell r="E101">
            <v>35.56</v>
          </cell>
          <cell r="F101">
            <v>22.86</v>
          </cell>
          <cell r="G101">
            <v>31.75</v>
          </cell>
        </row>
        <row r="101">
          <cell r="J101">
            <v>0.0258096258</v>
          </cell>
        </row>
        <row r="102">
          <cell r="A102">
            <v>86330</v>
          </cell>
          <cell r="B102" t="str">
            <v>2个装纸箱</v>
          </cell>
          <cell r="C102" t="str">
            <v>搪胶小鸭</v>
          </cell>
        </row>
        <row r="102">
          <cell r="E102">
            <v>25</v>
          </cell>
          <cell r="F102">
            <v>36</v>
          </cell>
          <cell r="G102">
            <v>39</v>
          </cell>
        </row>
        <row r="102">
          <cell r="J102">
            <v>0.0351</v>
          </cell>
        </row>
        <row r="103">
          <cell r="A103" t="str">
            <v>58725(48)</v>
          </cell>
          <cell r="B103" t="str">
            <v>48个装纸箱</v>
          </cell>
          <cell r="C103" t="str">
            <v>搪胶小鸭</v>
          </cell>
        </row>
        <row r="103">
          <cell r="E103">
            <v>34.925</v>
          </cell>
          <cell r="F103">
            <v>22.225</v>
          </cell>
          <cell r="G103">
            <v>19.05</v>
          </cell>
        </row>
        <row r="103">
          <cell r="J103">
            <v>0.01478676478125</v>
          </cell>
        </row>
        <row r="104">
          <cell r="A104">
            <v>26850</v>
          </cell>
          <cell r="B104" t="str">
            <v>48个装纸箱</v>
          </cell>
          <cell r="C104" t="str">
            <v>搪胶小鸭</v>
          </cell>
        </row>
        <row r="104">
          <cell r="E104">
            <v>34.925</v>
          </cell>
          <cell r="F104">
            <v>22.225</v>
          </cell>
          <cell r="G104">
            <v>19.05</v>
          </cell>
        </row>
        <row r="104">
          <cell r="J104">
            <v>0.01478676478125</v>
          </cell>
        </row>
        <row r="105">
          <cell r="A105" t="str">
            <v>33415（48）</v>
          </cell>
          <cell r="B105" t="str">
            <v>48个装纸箱</v>
          </cell>
          <cell r="C105" t="str">
            <v>搪胶小鸭</v>
          </cell>
          <cell r="D105">
            <v>48</v>
          </cell>
          <cell r="E105">
            <v>34.925</v>
          </cell>
          <cell r="F105">
            <v>22.225</v>
          </cell>
          <cell r="G105">
            <v>19.05</v>
          </cell>
        </row>
        <row r="105">
          <cell r="J105">
            <v>0.01478676478125</v>
          </cell>
        </row>
        <row r="106">
          <cell r="A106" t="str">
            <v>33415（24）</v>
          </cell>
          <cell r="B106" t="str">
            <v>24个装纸箱</v>
          </cell>
          <cell r="C106" t="str">
            <v>搪胶小鸭</v>
          </cell>
          <cell r="D106">
            <v>24</v>
          </cell>
          <cell r="E106">
            <v>28.575</v>
          </cell>
          <cell r="F106">
            <v>19.05</v>
          </cell>
          <cell r="G106">
            <v>16.51</v>
          </cell>
        </row>
        <row r="106">
          <cell r="J106">
            <v>0.0089872804125</v>
          </cell>
        </row>
        <row r="107">
          <cell r="A107" t="str">
            <v>33415（18）</v>
          </cell>
          <cell r="B107" t="str">
            <v>18个装纸箱</v>
          </cell>
          <cell r="C107" t="str">
            <v>搪胶小鸭</v>
          </cell>
          <cell r="D107">
            <v>18</v>
          </cell>
          <cell r="E107">
            <v>32.385</v>
          </cell>
          <cell r="F107">
            <v>17.78</v>
          </cell>
          <cell r="G107">
            <v>10.16</v>
          </cell>
        </row>
        <row r="107">
          <cell r="J107">
            <v>0.005850181848</v>
          </cell>
        </row>
        <row r="108">
          <cell r="A108" t="str">
            <v>33415（36）</v>
          </cell>
          <cell r="B108" t="str">
            <v>36个装纸箱</v>
          </cell>
          <cell r="C108" t="str">
            <v>搪胶小鸭</v>
          </cell>
          <cell r="D108">
            <v>36</v>
          </cell>
          <cell r="E108">
            <v>31.75</v>
          </cell>
          <cell r="F108">
            <v>17.145</v>
          </cell>
          <cell r="G108">
            <v>19.05</v>
          </cell>
        </row>
        <row r="108">
          <cell r="J108">
            <v>0.0103699389375</v>
          </cell>
        </row>
        <row r="109">
          <cell r="A109" t="str">
            <v>33465（24）</v>
          </cell>
          <cell r="B109" t="str">
            <v>24个装纸箱</v>
          </cell>
          <cell r="C109" t="str">
            <v>搪胶小鸭</v>
          </cell>
        </row>
        <row r="109">
          <cell r="E109">
            <v>31</v>
          </cell>
          <cell r="F109">
            <v>22</v>
          </cell>
          <cell r="G109">
            <v>19.5</v>
          </cell>
        </row>
        <row r="109">
          <cell r="J109">
            <v>0.013299</v>
          </cell>
        </row>
        <row r="110">
          <cell r="A110">
            <v>33440</v>
          </cell>
          <cell r="B110" t="str">
            <v>36个装纸箱</v>
          </cell>
          <cell r="C110" t="str">
            <v>搪胶小鸭</v>
          </cell>
        </row>
        <row r="110">
          <cell r="E110">
            <v>37</v>
          </cell>
          <cell r="F110">
            <v>30</v>
          </cell>
          <cell r="G110">
            <v>13.5</v>
          </cell>
        </row>
        <row r="110">
          <cell r="J110">
            <v>0.014985</v>
          </cell>
        </row>
        <row r="111">
          <cell r="A111">
            <v>92058</v>
          </cell>
          <cell r="B111" t="str">
            <v>2个装纸箱</v>
          </cell>
        </row>
        <row r="111">
          <cell r="E111">
            <v>47.625</v>
          </cell>
          <cell r="F111">
            <v>34.925</v>
          </cell>
          <cell r="G111">
            <v>38.1</v>
          </cell>
        </row>
        <row r="111">
          <cell r="J111">
            <v>0.0633718490625</v>
          </cell>
        </row>
        <row r="112">
          <cell r="A112">
            <v>42803</v>
          </cell>
          <cell r="B112" t="str">
            <v>4个装纸箱</v>
          </cell>
        </row>
        <row r="112">
          <cell r="E112">
            <v>32.385</v>
          </cell>
          <cell r="F112">
            <v>11.43</v>
          </cell>
          <cell r="G112">
            <v>16.51</v>
          </cell>
        </row>
        <row r="112">
          <cell r="J112">
            <v>0.0061113506805</v>
          </cell>
        </row>
        <row r="113">
          <cell r="A113">
            <v>470194</v>
          </cell>
          <cell r="B113" t="str">
            <v>2个装纸箱</v>
          </cell>
          <cell r="C113" t="str">
            <v>树屋</v>
          </cell>
        </row>
        <row r="113">
          <cell r="E113">
            <v>41.91</v>
          </cell>
          <cell r="F113">
            <v>31.75</v>
          </cell>
          <cell r="G113">
            <v>30.48</v>
          </cell>
        </row>
        <row r="113">
          <cell r="J113">
            <v>0.0405579834</v>
          </cell>
        </row>
        <row r="114">
          <cell r="A114" t="str">
            <v>14746(3)</v>
          </cell>
          <cell r="B114" t="str">
            <v>3个装纸箱</v>
          </cell>
          <cell r="C114" t="str">
            <v>坐姿米奇</v>
          </cell>
        </row>
        <row r="114">
          <cell r="E114">
            <v>51.435</v>
          </cell>
          <cell r="F114">
            <v>22.225</v>
          </cell>
          <cell r="G114">
            <v>34.925</v>
          </cell>
        </row>
        <row r="114">
          <cell r="J114">
            <v>0.039924264909375</v>
          </cell>
        </row>
        <row r="115">
          <cell r="A115" t="str">
            <v>14747(3)</v>
          </cell>
          <cell r="B115" t="str">
            <v>3个装纸箱</v>
          </cell>
          <cell r="C115" t="str">
            <v>坐姿米妮</v>
          </cell>
        </row>
        <row r="115">
          <cell r="E115">
            <v>51.435</v>
          </cell>
          <cell r="F115">
            <v>22.225</v>
          </cell>
          <cell r="G115">
            <v>34.925</v>
          </cell>
        </row>
        <row r="115">
          <cell r="J115">
            <v>0.039924264909375</v>
          </cell>
        </row>
        <row r="116">
          <cell r="A116" t="str">
            <v>14745(3)</v>
          </cell>
          <cell r="B116" t="str">
            <v>3个装纸箱</v>
          </cell>
          <cell r="C116" t="str">
            <v>坐姿米奇&amp;米妮</v>
          </cell>
        </row>
        <row r="116">
          <cell r="E116">
            <v>51.435</v>
          </cell>
          <cell r="F116">
            <v>22.225</v>
          </cell>
          <cell r="G116">
            <v>34.925</v>
          </cell>
        </row>
        <row r="116">
          <cell r="J116">
            <v>0.039924264909375</v>
          </cell>
        </row>
        <row r="117">
          <cell r="A117">
            <v>320738</v>
          </cell>
          <cell r="B117" t="str">
            <v>HOPSCOTCH LANE BOOSTER SEAT with TRAY</v>
          </cell>
          <cell r="C117" t="str">
            <v>跳伞车道座椅和托盘系列</v>
          </cell>
          <cell r="D117">
            <v>1</v>
          </cell>
          <cell r="E117">
            <v>35.56</v>
          </cell>
          <cell r="F117">
            <v>22</v>
          </cell>
          <cell r="G117">
            <v>40</v>
          </cell>
          <cell r="H117">
            <v>1.92</v>
          </cell>
          <cell r="I117">
            <v>2.22</v>
          </cell>
          <cell r="J117">
            <v>0.0312928</v>
          </cell>
        </row>
        <row r="118">
          <cell r="A118">
            <v>470448</v>
          </cell>
          <cell r="B118" t="str">
            <v>16装纸箱</v>
          </cell>
        </row>
        <row r="118">
          <cell r="E118">
            <v>33.02</v>
          </cell>
          <cell r="F118">
            <v>25.4</v>
          </cell>
          <cell r="G118">
            <v>14.605</v>
          </cell>
        </row>
        <row r="118">
          <cell r="J118">
            <v>0.01224933034</v>
          </cell>
        </row>
        <row r="119">
          <cell r="A119">
            <v>470449</v>
          </cell>
          <cell r="B119" t="str">
            <v>16装纸箱</v>
          </cell>
        </row>
        <row r="119">
          <cell r="E119">
            <v>33.02</v>
          </cell>
          <cell r="F119">
            <v>25.4</v>
          </cell>
          <cell r="G119">
            <v>14.605</v>
          </cell>
        </row>
        <row r="119">
          <cell r="J119">
            <v>0.01224933034</v>
          </cell>
        </row>
        <row r="120">
          <cell r="A120">
            <v>470450</v>
          </cell>
          <cell r="B120" t="str">
            <v>16装纸箱</v>
          </cell>
        </row>
        <row r="120">
          <cell r="E120">
            <v>33.02</v>
          </cell>
          <cell r="F120">
            <v>25.4</v>
          </cell>
          <cell r="G120">
            <v>14.605</v>
          </cell>
        </row>
        <row r="120">
          <cell r="J120">
            <v>0.01224933034</v>
          </cell>
        </row>
        <row r="121">
          <cell r="A121">
            <v>470451</v>
          </cell>
          <cell r="B121" t="str">
            <v>16装纸箱</v>
          </cell>
        </row>
        <row r="121">
          <cell r="E121">
            <v>33.02</v>
          </cell>
          <cell r="F121">
            <v>25.4</v>
          </cell>
          <cell r="G121">
            <v>14.605</v>
          </cell>
        </row>
        <row r="121">
          <cell r="J121">
            <v>0.01224933034</v>
          </cell>
        </row>
        <row r="122">
          <cell r="A122">
            <v>470453</v>
          </cell>
          <cell r="B122" t="str">
            <v>16装纸箱</v>
          </cell>
        </row>
        <row r="122">
          <cell r="E122">
            <v>39.37</v>
          </cell>
          <cell r="F122">
            <v>24.765</v>
          </cell>
          <cell r="G122">
            <v>17.145</v>
          </cell>
        </row>
        <row r="122">
          <cell r="J122">
            <v>0.01671634156725</v>
          </cell>
        </row>
        <row r="123">
          <cell r="A123">
            <v>470454</v>
          </cell>
          <cell r="B123" t="str">
            <v>16装纸箱</v>
          </cell>
        </row>
        <row r="123">
          <cell r="E123">
            <v>39.37</v>
          </cell>
          <cell r="F123">
            <v>24.765</v>
          </cell>
          <cell r="G123">
            <v>17.145</v>
          </cell>
        </row>
        <row r="123">
          <cell r="J123">
            <v>0.01671634156725</v>
          </cell>
        </row>
        <row r="124">
          <cell r="A124">
            <v>470455</v>
          </cell>
          <cell r="B124" t="str">
            <v>16装纸箱</v>
          </cell>
        </row>
        <row r="124">
          <cell r="E124">
            <v>39.37</v>
          </cell>
          <cell r="F124">
            <v>25.4</v>
          </cell>
          <cell r="G124">
            <v>25.4</v>
          </cell>
        </row>
        <row r="124">
          <cell r="J124">
            <v>0.0253999492</v>
          </cell>
        </row>
        <row r="125">
          <cell r="A125">
            <v>470456</v>
          </cell>
          <cell r="B125" t="str">
            <v>16装纸箱</v>
          </cell>
        </row>
        <row r="125">
          <cell r="E125">
            <v>39.37</v>
          </cell>
          <cell r="F125">
            <v>24.765</v>
          </cell>
          <cell r="G125">
            <v>17.145</v>
          </cell>
        </row>
        <row r="125">
          <cell r="J125">
            <v>0.01671634156725</v>
          </cell>
        </row>
        <row r="126">
          <cell r="A126">
            <v>470457</v>
          </cell>
          <cell r="B126" t="str">
            <v>16装纸箱</v>
          </cell>
        </row>
        <row r="126">
          <cell r="E126">
            <v>26.67</v>
          </cell>
          <cell r="F126">
            <v>17.78</v>
          </cell>
          <cell r="G126">
            <v>14.605</v>
          </cell>
        </row>
        <row r="126">
          <cell r="J126">
            <v>0.006925582923</v>
          </cell>
        </row>
        <row r="127">
          <cell r="A127">
            <v>470458</v>
          </cell>
          <cell r="B127" t="str">
            <v>16装纸箱</v>
          </cell>
        </row>
        <row r="127">
          <cell r="E127">
            <v>26.67</v>
          </cell>
          <cell r="F127">
            <v>17.78</v>
          </cell>
          <cell r="G127">
            <v>12.7</v>
          </cell>
        </row>
        <row r="127">
          <cell r="J127">
            <v>0.00602224602</v>
          </cell>
        </row>
        <row r="128">
          <cell r="A128">
            <v>470459</v>
          </cell>
          <cell r="B128" t="str">
            <v>16装纸箱</v>
          </cell>
        </row>
        <row r="128">
          <cell r="E128">
            <v>26.67</v>
          </cell>
          <cell r="F128">
            <v>17.78</v>
          </cell>
          <cell r="G128">
            <v>14.605</v>
          </cell>
        </row>
        <row r="128">
          <cell r="J128">
            <v>0.006925582923</v>
          </cell>
        </row>
        <row r="129">
          <cell r="A129">
            <v>470460</v>
          </cell>
          <cell r="B129" t="str">
            <v>16装纸箱</v>
          </cell>
        </row>
        <row r="129">
          <cell r="E129">
            <v>26.67</v>
          </cell>
          <cell r="F129">
            <v>17.78</v>
          </cell>
          <cell r="G129">
            <v>11.43</v>
          </cell>
        </row>
        <row r="129">
          <cell r="J129">
            <v>0.005420021418</v>
          </cell>
        </row>
        <row r="130">
          <cell r="A130">
            <v>470461</v>
          </cell>
          <cell r="B130" t="str">
            <v>16装纸箱</v>
          </cell>
        </row>
        <row r="130">
          <cell r="E130">
            <v>21.59</v>
          </cell>
          <cell r="F130">
            <v>16.51</v>
          </cell>
          <cell r="G130">
            <v>19.05</v>
          </cell>
        </row>
        <row r="130">
          <cell r="J130">
            <v>0.006790389645</v>
          </cell>
        </row>
        <row r="131">
          <cell r="A131">
            <v>470462</v>
          </cell>
          <cell r="B131" t="str">
            <v>16装纸箱</v>
          </cell>
        </row>
        <row r="131">
          <cell r="E131">
            <v>21.59</v>
          </cell>
          <cell r="F131">
            <v>16.51</v>
          </cell>
          <cell r="G131">
            <v>13.97</v>
          </cell>
        </row>
        <row r="131">
          <cell r="J131">
            <v>0.004979619073</v>
          </cell>
        </row>
        <row r="132">
          <cell r="A132">
            <v>470463</v>
          </cell>
          <cell r="B132" t="str">
            <v>16装纸箱</v>
          </cell>
        </row>
        <row r="132">
          <cell r="E132">
            <v>21.59</v>
          </cell>
          <cell r="F132">
            <v>16.51</v>
          </cell>
          <cell r="G132">
            <v>13.97</v>
          </cell>
        </row>
        <row r="132">
          <cell r="J132">
            <v>0.004979619073</v>
          </cell>
        </row>
        <row r="133">
          <cell r="A133">
            <v>470464</v>
          </cell>
          <cell r="B133" t="str">
            <v>16装纸箱</v>
          </cell>
        </row>
        <row r="133">
          <cell r="E133">
            <v>21.59</v>
          </cell>
          <cell r="F133">
            <v>16.51</v>
          </cell>
          <cell r="G133">
            <v>20.32</v>
          </cell>
        </row>
        <row r="133">
          <cell r="J133">
            <v>0.007243082288</v>
          </cell>
        </row>
        <row r="134">
          <cell r="A134">
            <v>11356</v>
          </cell>
          <cell r="B134" t="str">
            <v>6装纸箱</v>
          </cell>
          <cell r="C134" t="str">
            <v>米奇</v>
          </cell>
        </row>
        <row r="134">
          <cell r="E134">
            <v>36.83</v>
          </cell>
          <cell r="F134">
            <v>29.21</v>
          </cell>
          <cell r="G134">
            <v>17.78</v>
          </cell>
        </row>
        <row r="134">
          <cell r="J134">
            <v>0.019127800454</v>
          </cell>
        </row>
        <row r="135">
          <cell r="A135" t="str">
            <v>12136(4)</v>
          </cell>
          <cell r="B135" t="str">
            <v>4个装纸箱</v>
          </cell>
        </row>
        <row r="135">
          <cell r="E135">
            <v>57.785</v>
          </cell>
          <cell r="F135">
            <v>27.94</v>
          </cell>
          <cell r="G135">
            <v>24.13</v>
          </cell>
        </row>
        <row r="135">
          <cell r="J135">
            <v>0.038958196277</v>
          </cell>
        </row>
        <row r="136">
          <cell r="A136" t="str">
            <v>12137(4)</v>
          </cell>
          <cell r="B136" t="str">
            <v>4个装纸箱</v>
          </cell>
        </row>
        <row r="136">
          <cell r="E136">
            <v>57.785</v>
          </cell>
          <cell r="F136">
            <v>27.94</v>
          </cell>
          <cell r="G136">
            <v>24.13</v>
          </cell>
        </row>
        <row r="136">
          <cell r="J136">
            <v>0.038958196277</v>
          </cell>
        </row>
        <row r="137">
          <cell r="A137" t="str">
            <v>14878(4)</v>
          </cell>
          <cell r="B137" t="str">
            <v>4个装纸箱</v>
          </cell>
        </row>
        <row r="137">
          <cell r="E137">
            <v>57.785</v>
          </cell>
          <cell r="F137">
            <v>27.94</v>
          </cell>
          <cell r="G137">
            <v>24.13</v>
          </cell>
        </row>
        <row r="137">
          <cell r="J137">
            <v>0.038958196277</v>
          </cell>
        </row>
        <row r="138">
          <cell r="A138">
            <v>11356</v>
          </cell>
          <cell r="B138" t="str">
            <v>6装纸箱</v>
          </cell>
          <cell r="C138" t="str">
            <v>米奇</v>
          </cell>
        </row>
        <row r="138">
          <cell r="E138">
            <v>36.83</v>
          </cell>
          <cell r="F138">
            <v>29.21</v>
          </cell>
          <cell r="G138">
            <v>17.78</v>
          </cell>
        </row>
        <row r="138">
          <cell r="J138">
            <v>0.019127800454</v>
          </cell>
        </row>
        <row r="139">
          <cell r="A139">
            <v>11357</v>
          </cell>
          <cell r="B139" t="str">
            <v>6装纸箱</v>
          </cell>
          <cell r="C139" t="str">
            <v>米妮</v>
          </cell>
        </row>
        <row r="139">
          <cell r="E139">
            <v>36.83</v>
          </cell>
          <cell r="F139">
            <v>29.21</v>
          </cell>
          <cell r="G139">
            <v>17.78</v>
          </cell>
        </row>
        <row r="139">
          <cell r="J139">
            <v>0.019127800454</v>
          </cell>
        </row>
        <row r="140">
          <cell r="A140">
            <v>11358</v>
          </cell>
          <cell r="B140" t="str">
            <v>6装纸箱</v>
          </cell>
          <cell r="C140" t="str">
            <v>史迪仔</v>
          </cell>
        </row>
        <row r="140">
          <cell r="E140">
            <v>36.83</v>
          </cell>
          <cell r="F140">
            <v>29.21</v>
          </cell>
          <cell r="G140">
            <v>17.78</v>
          </cell>
        </row>
        <row r="140">
          <cell r="J140">
            <v>0.019127800454</v>
          </cell>
        </row>
        <row r="141">
          <cell r="A141">
            <v>11359</v>
          </cell>
          <cell r="B141" t="str">
            <v>6装纸箱</v>
          </cell>
          <cell r="C141" t="str">
            <v>辛巴</v>
          </cell>
        </row>
        <row r="141">
          <cell r="E141">
            <v>36.83</v>
          </cell>
          <cell r="F141">
            <v>29.21</v>
          </cell>
          <cell r="G141">
            <v>17.78</v>
          </cell>
        </row>
        <row r="141">
          <cell r="J141">
            <v>0.019127800454</v>
          </cell>
        </row>
        <row r="142">
          <cell r="A142">
            <v>11361</v>
          </cell>
          <cell r="B142" t="str">
            <v>6装纸箱</v>
          </cell>
          <cell r="C142" t="str">
            <v>冥王狗</v>
          </cell>
        </row>
        <row r="142">
          <cell r="E142">
            <v>36.83</v>
          </cell>
          <cell r="F142">
            <v>29.21</v>
          </cell>
          <cell r="G142">
            <v>17.78</v>
          </cell>
        </row>
        <row r="142">
          <cell r="J142">
            <v>0.019127800454</v>
          </cell>
        </row>
        <row r="143">
          <cell r="A143">
            <v>11362</v>
          </cell>
          <cell r="B143" t="str">
            <v>6装纸箱</v>
          </cell>
          <cell r="C143" t="str">
            <v>小飞象</v>
          </cell>
        </row>
        <row r="143">
          <cell r="E143">
            <v>36.83</v>
          </cell>
          <cell r="F143">
            <v>29.21</v>
          </cell>
          <cell r="G143">
            <v>17.78</v>
          </cell>
        </row>
        <row r="143">
          <cell r="J143">
            <v>0.019127800454</v>
          </cell>
        </row>
        <row r="144">
          <cell r="A144">
            <v>11363</v>
          </cell>
          <cell r="B144" t="str">
            <v>6装纸箱</v>
          </cell>
          <cell r="C144" t="str">
            <v>维尼熊</v>
          </cell>
        </row>
        <row r="144">
          <cell r="E144">
            <v>36.83</v>
          </cell>
          <cell r="F144">
            <v>29.21</v>
          </cell>
          <cell r="G144">
            <v>17.78</v>
          </cell>
        </row>
        <row r="144">
          <cell r="J144">
            <v>0.019127800454</v>
          </cell>
        </row>
        <row r="145">
          <cell r="A145">
            <v>11364</v>
          </cell>
          <cell r="B145" t="str">
            <v>6装纸箱</v>
          </cell>
          <cell r="C145" t="str">
            <v>玛丽猫</v>
          </cell>
        </row>
        <row r="145">
          <cell r="E145">
            <v>36.83</v>
          </cell>
          <cell r="F145">
            <v>29.21</v>
          </cell>
          <cell r="G145">
            <v>17.78</v>
          </cell>
        </row>
        <row r="145">
          <cell r="J145">
            <v>0.019127800454</v>
          </cell>
        </row>
        <row r="146">
          <cell r="A146">
            <v>26870</v>
          </cell>
          <cell r="B146" t="str">
            <v>48个装纸箱</v>
          </cell>
          <cell r="C146" t="str">
            <v>搪胶小鸭</v>
          </cell>
        </row>
        <row r="146">
          <cell r="E146">
            <v>34.925</v>
          </cell>
          <cell r="F146">
            <v>22.225</v>
          </cell>
          <cell r="G146">
            <v>19.05</v>
          </cell>
        </row>
        <row r="146">
          <cell r="J146">
            <v>0.01478676478125</v>
          </cell>
        </row>
        <row r="147">
          <cell r="A147">
            <v>320752</v>
          </cell>
          <cell r="B147" t="str">
            <v>BATMAN BOOSTER SEAT WITH TABLE</v>
          </cell>
          <cell r="C147" t="str">
            <v>蝙蝠侠座椅和托盘系列</v>
          </cell>
          <cell r="D147">
            <v>1</v>
          </cell>
          <cell r="E147">
            <v>35.56</v>
          </cell>
          <cell r="F147">
            <v>22</v>
          </cell>
          <cell r="G147">
            <v>40</v>
          </cell>
        </row>
        <row r="147">
          <cell r="J147">
            <v>0.0312928</v>
          </cell>
        </row>
        <row r="148">
          <cell r="A148">
            <v>320753</v>
          </cell>
          <cell r="B148" t="str">
            <v>COCOMELON BOOSTER SEAT with TRAY</v>
          </cell>
          <cell r="C148" t="str">
            <v>JJ座椅和托盘系列</v>
          </cell>
          <cell r="D148">
            <v>1</v>
          </cell>
          <cell r="E148">
            <v>35.56</v>
          </cell>
          <cell r="F148">
            <v>22</v>
          </cell>
          <cell r="G148">
            <v>40</v>
          </cell>
        </row>
        <row r="148">
          <cell r="J148">
            <v>0.0312928</v>
          </cell>
        </row>
        <row r="149">
          <cell r="A149">
            <v>470631</v>
          </cell>
        </row>
        <row r="149">
          <cell r="C149" t="str">
            <v>圣代雪糕树</v>
          </cell>
          <cell r="D149">
            <v>8</v>
          </cell>
          <cell r="E149">
            <v>30.7</v>
          </cell>
          <cell r="F149">
            <v>26.3</v>
          </cell>
          <cell r="G149">
            <v>18.8</v>
          </cell>
        </row>
        <row r="149">
          <cell r="J149">
            <v>0.015179308</v>
          </cell>
        </row>
        <row r="150">
          <cell r="A150">
            <v>470632</v>
          </cell>
        </row>
        <row r="150">
          <cell r="C150" t="str">
            <v>草莓吊饰</v>
          </cell>
          <cell r="D150">
            <v>8</v>
          </cell>
          <cell r="E150">
            <v>30.7</v>
          </cell>
          <cell r="F150">
            <v>26.3</v>
          </cell>
          <cell r="G150">
            <v>18.8</v>
          </cell>
        </row>
        <row r="150">
          <cell r="J150">
            <v>0.015179308</v>
          </cell>
        </row>
        <row r="151">
          <cell r="A151">
            <v>470633</v>
          </cell>
        </row>
        <row r="151">
          <cell r="C151" t="str">
            <v>粉色爱心书本</v>
          </cell>
          <cell r="D151">
            <v>8</v>
          </cell>
          <cell r="E151">
            <v>25.7</v>
          </cell>
          <cell r="F151">
            <v>21.2</v>
          </cell>
          <cell r="G151">
            <v>19.8</v>
          </cell>
        </row>
        <row r="151">
          <cell r="J151">
            <v>0.010787832</v>
          </cell>
        </row>
        <row r="152">
          <cell r="A152">
            <v>470634</v>
          </cell>
        </row>
        <row r="152">
          <cell r="C152" t="str">
            <v>书本糖果盒</v>
          </cell>
          <cell r="D152">
            <v>8</v>
          </cell>
          <cell r="E152">
            <v>25.7</v>
          </cell>
          <cell r="F152">
            <v>21.2</v>
          </cell>
          <cell r="G152">
            <v>19.8</v>
          </cell>
        </row>
        <row r="152">
          <cell r="J152">
            <v>0.010787832</v>
          </cell>
        </row>
        <row r="153">
          <cell r="A153" t="str">
            <v>16390（12）</v>
          </cell>
          <cell r="B153" t="str">
            <v>12个装纸箱</v>
          </cell>
          <cell r="C153" t="str">
            <v>情人节系列</v>
          </cell>
          <cell r="D153">
            <v>12</v>
          </cell>
          <cell r="E153">
            <v>20.955</v>
          </cell>
          <cell r="F153">
            <v>17.51</v>
          </cell>
          <cell r="G153">
            <v>8.255</v>
          </cell>
        </row>
        <row r="153">
          <cell r="J153">
            <v>0.00302894152275</v>
          </cell>
        </row>
        <row r="154">
          <cell r="A154" t="str">
            <v>16390（54）</v>
          </cell>
          <cell r="B154" t="str">
            <v>54个装纸箱</v>
          </cell>
          <cell r="C154" t="str">
            <v>情人节系列</v>
          </cell>
          <cell r="D154">
            <v>54</v>
          </cell>
          <cell r="E154">
            <v>35.29</v>
          </cell>
          <cell r="F154">
            <v>20.685</v>
          </cell>
          <cell r="G154">
            <v>34.29</v>
          </cell>
        </row>
        <row r="154">
          <cell r="J154">
            <v>0.0250307964585</v>
          </cell>
        </row>
        <row r="155">
          <cell r="A155" t="str">
            <v>16390（18）</v>
          </cell>
          <cell r="B155" t="str">
            <v>18个装纸箱</v>
          </cell>
          <cell r="C155" t="str">
            <v>情人节系列</v>
          </cell>
          <cell r="D155">
            <v>18</v>
          </cell>
          <cell r="E155">
            <v>32.385</v>
          </cell>
          <cell r="F155">
            <v>18.78</v>
          </cell>
          <cell r="G155">
            <v>9.525</v>
          </cell>
        </row>
        <row r="155">
          <cell r="J155">
            <v>0.0057930126075</v>
          </cell>
        </row>
        <row r="156">
          <cell r="A156" t="str">
            <v>33465（24）</v>
          </cell>
          <cell r="B156" t="str">
            <v>24个装纸箱</v>
          </cell>
          <cell r="C156" t="str">
            <v>WM小搪胶鸭子系列</v>
          </cell>
          <cell r="D156">
            <v>24</v>
          </cell>
          <cell r="E156">
            <v>28.575</v>
          </cell>
          <cell r="F156">
            <v>19.05</v>
          </cell>
          <cell r="G156">
            <v>16.51</v>
          </cell>
        </row>
        <row r="156">
          <cell r="J156">
            <v>0.0089872804125</v>
          </cell>
        </row>
        <row r="157">
          <cell r="A157" t="str">
            <v>36015（12）</v>
          </cell>
          <cell r="B157" t="str">
            <v>12个装纸箱</v>
          </cell>
          <cell r="C157" t="str">
            <v>复活节小鸭</v>
          </cell>
          <cell r="D157">
            <v>12</v>
          </cell>
          <cell r="E157">
            <v>22.7</v>
          </cell>
          <cell r="F157">
            <v>18.6</v>
          </cell>
          <cell r="G157">
            <v>9.8</v>
          </cell>
        </row>
        <row r="157">
          <cell r="J157">
            <v>0.004137756</v>
          </cell>
        </row>
        <row r="158">
          <cell r="A158" t="str">
            <v>36015（18）</v>
          </cell>
          <cell r="B158" t="str">
            <v>18个装纸箱</v>
          </cell>
          <cell r="C158" t="str">
            <v>复活节小鸭</v>
          </cell>
          <cell r="D158">
            <v>18</v>
          </cell>
          <cell r="E158">
            <v>32.385</v>
          </cell>
          <cell r="F158">
            <v>18.78</v>
          </cell>
          <cell r="G158">
            <v>9.525</v>
          </cell>
        </row>
        <row r="158">
          <cell r="J158">
            <v>0.0057930126075</v>
          </cell>
        </row>
        <row r="159">
          <cell r="A159" t="str">
            <v>36015（36）</v>
          </cell>
          <cell r="B159" t="str">
            <v>36个装纸箱</v>
          </cell>
          <cell r="C159" t="str">
            <v>复活节小鸭</v>
          </cell>
          <cell r="D159">
            <v>36</v>
          </cell>
          <cell r="E159">
            <v>22.225</v>
          </cell>
          <cell r="F159">
            <v>18.78</v>
          </cell>
          <cell r="G159">
            <v>26.035</v>
          </cell>
        </row>
        <row r="159">
          <cell r="J159">
            <v>0.0108666314925</v>
          </cell>
        </row>
        <row r="160">
          <cell r="A160" t="str">
            <v>36015（54）</v>
          </cell>
          <cell r="B160" t="str">
            <v>54个装纸箱</v>
          </cell>
          <cell r="C160" t="str">
            <v>复活节小鸭</v>
          </cell>
          <cell r="D160">
            <v>54</v>
          </cell>
          <cell r="E160">
            <v>34.29</v>
          </cell>
          <cell r="F160">
            <v>20.685</v>
          </cell>
          <cell r="G160">
            <v>34.29</v>
          </cell>
        </row>
        <row r="160">
          <cell r="J160">
            <v>0.0243215078085</v>
          </cell>
        </row>
        <row r="161">
          <cell r="A161" t="str">
            <v>470662（14）</v>
          </cell>
          <cell r="B161" t="str">
            <v>17个装纸箱</v>
          </cell>
        </row>
        <row r="161">
          <cell r="D161">
            <v>14</v>
          </cell>
          <cell r="E161">
            <v>46.99</v>
          </cell>
          <cell r="F161">
            <v>33.385</v>
          </cell>
          <cell r="G161">
            <v>31.75</v>
          </cell>
        </row>
        <row r="161">
          <cell r="J161">
            <v>0.0498081665125</v>
          </cell>
        </row>
        <row r="162">
          <cell r="A162">
            <v>320770</v>
          </cell>
          <cell r="B162" t="str">
            <v>3个装纸箱</v>
          </cell>
          <cell r="C162" t="str">
            <v>320405、406、407混装</v>
          </cell>
          <cell r="D162">
            <v>3</v>
          </cell>
          <cell r="E162">
            <v>31.5</v>
          </cell>
          <cell r="F162">
            <v>27</v>
          </cell>
          <cell r="G162">
            <v>20</v>
          </cell>
          <cell r="H162">
            <v>1.5</v>
          </cell>
          <cell r="I162">
            <v>1.83</v>
          </cell>
          <cell r="J162">
            <v>0.01701</v>
          </cell>
        </row>
        <row r="163">
          <cell r="A163" t="str">
            <v>470615（4）</v>
          </cell>
          <cell r="B163" t="str">
            <v>纸箱（4个装）</v>
          </cell>
        </row>
        <row r="163">
          <cell r="E163">
            <v>33</v>
          </cell>
          <cell r="F163">
            <v>17.2</v>
          </cell>
          <cell r="G163">
            <v>28</v>
          </cell>
        </row>
        <row r="163">
          <cell r="J163">
            <v>0.0158928</v>
          </cell>
        </row>
        <row r="164">
          <cell r="A164">
            <v>320913</v>
          </cell>
        </row>
        <row r="164">
          <cell r="C164" t="str">
            <v>卡车</v>
          </cell>
        </row>
        <row r="165">
          <cell r="A165">
            <v>320920</v>
          </cell>
        </row>
        <row r="165">
          <cell r="C165" t="str">
            <v>学校</v>
          </cell>
        </row>
        <row r="166">
          <cell r="A166" t="str">
            <v>17185(36)</v>
          </cell>
          <cell r="B166" t="str">
            <v>36个装纸箱</v>
          </cell>
          <cell r="C166" t="str">
            <v>复活节小鸭</v>
          </cell>
          <cell r="D166">
            <v>36</v>
          </cell>
          <cell r="E166">
            <v>22.225</v>
          </cell>
          <cell r="F166">
            <v>18.78</v>
          </cell>
          <cell r="G166">
            <v>26.035</v>
          </cell>
        </row>
        <row r="166">
          <cell r="J166">
            <v>0.0108666314925</v>
          </cell>
        </row>
        <row r="167">
          <cell r="A167" t="str">
            <v>320409-X</v>
          </cell>
          <cell r="B167" t="str">
            <v>HONEY BEE ACRES SUNFLOWER COUNTRY COTTAGE with Adult Figure </v>
          </cell>
          <cell r="C167" t="str">
            <v>向日葵家</v>
          </cell>
          <cell r="D167">
            <v>2</v>
          </cell>
          <cell r="E167">
            <v>40.259</v>
          </cell>
          <cell r="F167">
            <v>26.543</v>
          </cell>
          <cell r="G167">
            <v>26.035</v>
          </cell>
          <cell r="H167">
            <v>2.34</v>
          </cell>
          <cell r="I167">
            <v>3</v>
          </cell>
          <cell r="J167">
            <v>0.027820861374295</v>
          </cell>
        </row>
        <row r="168">
          <cell r="A168" t="str">
            <v>46113(1)</v>
          </cell>
          <cell r="B168" t="str">
            <v>1个装纸箱</v>
          </cell>
        </row>
        <row r="168">
          <cell r="D168">
            <v>1</v>
          </cell>
          <cell r="E168">
            <v>36</v>
          </cell>
          <cell r="F168">
            <v>24.3</v>
          </cell>
          <cell r="G168">
            <v>44</v>
          </cell>
        </row>
        <row r="168">
          <cell r="J168">
            <v>0.0384912</v>
          </cell>
        </row>
        <row r="169">
          <cell r="A169">
            <v>92568</v>
          </cell>
        </row>
        <row r="169">
          <cell r="D169">
            <v>60</v>
          </cell>
          <cell r="E169">
            <v>70.485</v>
          </cell>
          <cell r="F169">
            <v>47.355</v>
          </cell>
          <cell r="G169">
            <v>42.545</v>
          </cell>
        </row>
        <row r="169">
          <cell r="J169">
            <v>0.142007431710375</v>
          </cell>
        </row>
        <row r="170">
          <cell r="A170">
            <v>92569</v>
          </cell>
        </row>
        <row r="170">
          <cell r="D170">
            <v>60</v>
          </cell>
          <cell r="E170">
            <v>70.485</v>
          </cell>
          <cell r="F170">
            <v>47.355</v>
          </cell>
          <cell r="G170">
            <v>42.545</v>
          </cell>
        </row>
        <row r="170">
          <cell r="J170">
            <v>0.142007431710375</v>
          </cell>
        </row>
        <row r="171">
          <cell r="A171" t="str">
            <v>26850（18）</v>
          </cell>
          <cell r="B171" t="str">
            <v>18个装纸箱</v>
          </cell>
          <cell r="C171" t="str">
            <v>假日小鸭</v>
          </cell>
          <cell r="D171">
            <v>18</v>
          </cell>
          <cell r="E171">
            <v>32.385</v>
          </cell>
          <cell r="F171">
            <v>18.78</v>
          </cell>
          <cell r="G171">
            <v>9.525</v>
          </cell>
        </row>
        <row r="171">
          <cell r="J171">
            <v>0.0057930126075</v>
          </cell>
        </row>
        <row r="172">
          <cell r="A172" t="str">
            <v>26870（48）</v>
          </cell>
          <cell r="B172" t="str">
            <v>48个装纸箱</v>
          </cell>
          <cell r="C172" t="str">
            <v>恐怖小鸭</v>
          </cell>
          <cell r="D172">
            <v>48</v>
          </cell>
          <cell r="E172">
            <v>34.925</v>
          </cell>
          <cell r="F172">
            <v>22.225</v>
          </cell>
          <cell r="G172">
            <v>19.05</v>
          </cell>
        </row>
        <row r="172">
          <cell r="J172">
            <v>0.01478676478125</v>
          </cell>
        </row>
        <row r="173">
          <cell r="A173" t="str">
            <v>26850（48）</v>
          </cell>
          <cell r="B173" t="str">
            <v>48个装纸箱</v>
          </cell>
          <cell r="C173" t="str">
            <v>假日小鸭</v>
          </cell>
          <cell r="D173">
            <v>48</v>
          </cell>
          <cell r="E173">
            <v>34.925</v>
          </cell>
          <cell r="F173">
            <v>22.225</v>
          </cell>
          <cell r="G173">
            <v>19.05</v>
          </cell>
        </row>
        <row r="173">
          <cell r="J173">
            <v>0.01478676478125</v>
          </cell>
        </row>
        <row r="174">
          <cell r="A174" t="str">
            <v>46113(2)</v>
          </cell>
          <cell r="B174" t="str">
            <v>1个装纸箱</v>
          </cell>
          <cell r="C174" t="str">
            <v>史迪仔</v>
          </cell>
          <cell r="D174">
            <v>2</v>
          </cell>
          <cell r="E174">
            <v>45.72</v>
          </cell>
          <cell r="F174">
            <v>36.56</v>
          </cell>
          <cell r="G174">
            <v>41.91</v>
          </cell>
        </row>
        <row r="174">
          <cell r="J174">
            <v>0.070053537312</v>
          </cell>
        </row>
        <row r="175">
          <cell r="A175">
            <v>470805</v>
          </cell>
          <cell r="B175" t="str">
            <v>12个装纸箱</v>
          </cell>
          <cell r="C175" t="str">
            <v>硅胶鹿</v>
          </cell>
          <cell r="D175">
            <v>12</v>
          </cell>
          <cell r="E175">
            <v>20.32</v>
          </cell>
          <cell r="F175">
            <v>13.7</v>
          </cell>
          <cell r="G175">
            <v>11.684</v>
          </cell>
        </row>
        <row r="175">
          <cell r="J175">
            <v>0.003252638656</v>
          </cell>
        </row>
        <row r="176">
          <cell r="A176" t="str">
            <v>33438（72）</v>
          </cell>
          <cell r="B176" t="str">
            <v>74个装纸箱</v>
          </cell>
          <cell r="C176" t="str">
            <v>眼镜鸭子</v>
          </cell>
          <cell r="D176">
            <v>72</v>
          </cell>
          <cell r="E176">
            <v>24.765</v>
          </cell>
          <cell r="F176">
            <v>25.765</v>
          </cell>
          <cell r="G176">
            <v>30.48</v>
          </cell>
        </row>
        <row r="176">
          <cell r="J176">
            <v>0.019448380458</v>
          </cell>
        </row>
        <row r="177">
          <cell r="A177" t="str">
            <v>11839（8）</v>
          </cell>
          <cell r="B177" t="str">
            <v>8个装纸箱</v>
          </cell>
          <cell r="C177" t="str">
            <v>磁铁肩膀史迪仔</v>
          </cell>
          <cell r="D177">
            <v>8</v>
          </cell>
          <cell r="E177">
            <v>30.48</v>
          </cell>
          <cell r="F177">
            <v>27.67</v>
          </cell>
          <cell r="G177">
            <v>15.24</v>
          </cell>
        </row>
        <row r="177">
          <cell r="J177">
            <v>0.012853135584</v>
          </cell>
        </row>
        <row r="178">
          <cell r="A178" t="str">
            <v>26870（36）</v>
          </cell>
          <cell r="B178" t="str">
            <v>36个装纸箱</v>
          </cell>
          <cell r="C178" t="str">
            <v>假日小鸭</v>
          </cell>
          <cell r="D178">
            <v>36</v>
          </cell>
          <cell r="E178">
            <v>22.225</v>
          </cell>
          <cell r="F178">
            <v>18.78</v>
          </cell>
          <cell r="G178">
            <v>26.035</v>
          </cell>
        </row>
        <row r="178">
          <cell r="J178">
            <v>0.0108666314925</v>
          </cell>
        </row>
        <row r="179">
          <cell r="A179">
            <v>470764</v>
          </cell>
          <cell r="B179" t="str">
            <v>1个装纸箱</v>
          </cell>
          <cell r="C179" t="str">
            <v>大型自卸车</v>
          </cell>
          <cell r="D179">
            <v>1</v>
          </cell>
          <cell r="E179">
            <v>42</v>
          </cell>
          <cell r="F179">
            <v>22</v>
          </cell>
          <cell r="G179">
            <v>29</v>
          </cell>
        </row>
        <row r="179">
          <cell r="J179">
            <v>0.026796</v>
          </cell>
        </row>
        <row r="180">
          <cell r="A180">
            <v>470813</v>
          </cell>
          <cell r="B180" t="str">
            <v>纸箱（4个装）</v>
          </cell>
        </row>
        <row r="180">
          <cell r="E180">
            <v>33</v>
          </cell>
          <cell r="F180">
            <v>17.2</v>
          </cell>
          <cell r="G180">
            <v>28</v>
          </cell>
        </row>
        <row r="180">
          <cell r="J180">
            <v>0.0158928</v>
          </cell>
        </row>
        <row r="181">
          <cell r="A181">
            <v>470814</v>
          </cell>
          <cell r="B181" t="str">
            <v>纸箱（4个装）</v>
          </cell>
        </row>
        <row r="181">
          <cell r="E181">
            <v>33</v>
          </cell>
          <cell r="F181">
            <v>17.2</v>
          </cell>
          <cell r="G181">
            <v>28</v>
          </cell>
        </row>
        <row r="181">
          <cell r="J181">
            <v>0.0158928</v>
          </cell>
        </row>
        <row r="182">
          <cell r="A182">
            <v>470725</v>
          </cell>
          <cell r="B182" t="str">
            <v>独角兽家族</v>
          </cell>
          <cell r="C182" t="str">
            <v>独角兽家族</v>
          </cell>
          <cell r="D182">
            <v>4</v>
          </cell>
          <cell r="E182">
            <v>25.5</v>
          </cell>
          <cell r="F182">
            <v>21</v>
          </cell>
          <cell r="G182">
            <v>20</v>
          </cell>
          <cell r="H182">
            <v>0.5</v>
          </cell>
          <cell r="I182">
            <v>0.7</v>
          </cell>
          <cell r="J182">
            <v>0.01071</v>
          </cell>
        </row>
        <row r="183">
          <cell r="A183" t="str">
            <v>33475（18）</v>
          </cell>
          <cell r="B183" t="str">
            <v>纸箱（18个装）</v>
          </cell>
          <cell r="C183" t="str">
            <v>鸭子</v>
          </cell>
          <cell r="D183">
            <v>18</v>
          </cell>
          <cell r="E183">
            <v>32.385</v>
          </cell>
          <cell r="F183">
            <v>18.78</v>
          </cell>
          <cell r="G183">
            <v>9.525</v>
          </cell>
        </row>
        <row r="183">
          <cell r="J183">
            <v>0.0057930126075</v>
          </cell>
        </row>
        <row r="184">
          <cell r="A184" t="str">
            <v>33395（36）</v>
          </cell>
          <cell r="B184" t="str">
            <v>纸箱（36个装）</v>
          </cell>
          <cell r="C184" t="str">
            <v>鸭子</v>
          </cell>
          <cell r="D184">
            <v>36</v>
          </cell>
          <cell r="E184">
            <v>22.225</v>
          </cell>
          <cell r="F184">
            <v>18.78</v>
          </cell>
          <cell r="G184">
            <v>26.035</v>
          </cell>
        </row>
        <row r="184">
          <cell r="J184">
            <v>0.0108666314925</v>
          </cell>
        </row>
        <row r="185">
          <cell r="A185" t="str">
            <v>26870（18）</v>
          </cell>
          <cell r="B185" t="str">
            <v>纸箱（18个装）</v>
          </cell>
          <cell r="C185" t="str">
            <v>鸭子</v>
          </cell>
          <cell r="D185">
            <v>18</v>
          </cell>
          <cell r="E185">
            <v>32.385</v>
          </cell>
          <cell r="F185">
            <v>18.78</v>
          </cell>
          <cell r="G185">
            <v>9.525</v>
          </cell>
        </row>
        <row r="185">
          <cell r="J185">
            <v>0.0057930126075</v>
          </cell>
        </row>
        <row r="186">
          <cell r="A186">
            <v>470534</v>
          </cell>
          <cell r="B186" t="str">
            <v>纸箱（3个装）</v>
          </cell>
          <cell r="C186" t="str">
            <v>搪胶公仔白种人</v>
          </cell>
          <cell r="D186">
            <v>3</v>
          </cell>
          <cell r="E186">
            <v>40.64</v>
          </cell>
          <cell r="F186">
            <v>21.701</v>
          </cell>
          <cell r="G186">
            <v>33.401</v>
          </cell>
        </row>
        <row r="186">
          <cell r="J186">
            <v>0.02945729850464</v>
          </cell>
        </row>
        <row r="187">
          <cell r="A187">
            <v>470535</v>
          </cell>
          <cell r="B187" t="str">
            <v>纸箱（3个装）</v>
          </cell>
          <cell r="C187" t="str">
            <v>搪胶公仔亚洲人</v>
          </cell>
          <cell r="D187">
            <v>3</v>
          </cell>
          <cell r="E187">
            <v>40.64</v>
          </cell>
          <cell r="F187">
            <v>21.701</v>
          </cell>
          <cell r="G187">
            <v>33.401</v>
          </cell>
        </row>
        <row r="187">
          <cell r="J187">
            <v>0.02945729850464</v>
          </cell>
        </row>
        <row r="188">
          <cell r="A188">
            <v>470536</v>
          </cell>
          <cell r="B188" t="str">
            <v>纸箱（3个装）</v>
          </cell>
          <cell r="C188" t="str">
            <v>搪胶公仔西班牙人</v>
          </cell>
          <cell r="D188">
            <v>3</v>
          </cell>
          <cell r="E188">
            <v>40.64</v>
          </cell>
          <cell r="F188">
            <v>21.701</v>
          </cell>
          <cell r="G188">
            <v>33.401</v>
          </cell>
        </row>
        <row r="188">
          <cell r="J188">
            <v>0.02945729850464</v>
          </cell>
        </row>
        <row r="189">
          <cell r="A189">
            <v>470537</v>
          </cell>
          <cell r="B189" t="str">
            <v>纸箱（3个装）</v>
          </cell>
          <cell r="C189" t="str">
            <v>搪胶公仔非洲人</v>
          </cell>
          <cell r="D189">
            <v>3</v>
          </cell>
          <cell r="E189">
            <v>40.64</v>
          </cell>
          <cell r="F189">
            <v>21.701</v>
          </cell>
          <cell r="G189">
            <v>33.401</v>
          </cell>
        </row>
        <row r="189">
          <cell r="J189">
            <v>0.02945729850464</v>
          </cell>
        </row>
        <row r="190">
          <cell r="A190" t="str">
            <v>33490（18）</v>
          </cell>
          <cell r="B190" t="str">
            <v>纸箱（18个装）</v>
          </cell>
          <cell r="C190" t="str">
            <v>鸭子</v>
          </cell>
          <cell r="D190">
            <v>18</v>
          </cell>
          <cell r="E190">
            <v>32.385</v>
          </cell>
          <cell r="F190">
            <v>18.78</v>
          </cell>
          <cell r="G190">
            <v>9.525</v>
          </cell>
        </row>
        <row r="190">
          <cell r="J190">
            <v>0.0057930126075</v>
          </cell>
        </row>
        <row r="191">
          <cell r="A191" t="str">
            <v>33465（12）</v>
          </cell>
          <cell r="B191" t="str">
            <v>纸箱（12个装）</v>
          </cell>
          <cell r="C191" t="str">
            <v>鸭子</v>
          </cell>
          <cell r="D191">
            <v>12</v>
          </cell>
          <cell r="E191">
            <v>20.955</v>
          </cell>
          <cell r="F191">
            <v>17.51</v>
          </cell>
          <cell r="G191">
            <v>8.255</v>
          </cell>
        </row>
        <row r="191">
          <cell r="J191">
            <v>0.00302894152275</v>
          </cell>
        </row>
        <row r="192">
          <cell r="A192">
            <v>470528</v>
          </cell>
          <cell r="B192" t="str">
            <v>纸箱（3个装）</v>
          </cell>
          <cell r="C192" t="str">
            <v>冰淇淋系列</v>
          </cell>
          <cell r="D192">
            <v>3</v>
          </cell>
          <cell r="E192">
            <v>32.7</v>
          </cell>
          <cell r="F192">
            <v>31.75</v>
          </cell>
          <cell r="G192">
            <v>33.35</v>
          </cell>
        </row>
        <row r="192">
          <cell r="J192">
            <v>0.03462480375</v>
          </cell>
        </row>
        <row r="193">
          <cell r="A193">
            <v>470688</v>
          </cell>
          <cell r="B193" t="str">
            <v>纸箱（3个装）</v>
          </cell>
          <cell r="C193" t="str">
            <v>生日蛋糕系列</v>
          </cell>
          <cell r="D193">
            <v>3</v>
          </cell>
          <cell r="E193">
            <v>31.43</v>
          </cell>
          <cell r="F193">
            <v>29.85</v>
          </cell>
          <cell r="G193">
            <v>33.35</v>
          </cell>
        </row>
        <row r="193">
          <cell r="J193">
            <v>0.031288486425</v>
          </cell>
        </row>
        <row r="194">
          <cell r="A194">
            <v>470689</v>
          </cell>
          <cell r="B194" t="str">
            <v>纸箱（3个装）</v>
          </cell>
          <cell r="C194" t="str">
            <v>甜品糕系列</v>
          </cell>
          <cell r="D194">
            <v>3</v>
          </cell>
          <cell r="E194">
            <v>31.43</v>
          </cell>
          <cell r="F194">
            <v>29.85</v>
          </cell>
          <cell r="G194">
            <v>33.35</v>
          </cell>
        </row>
        <row r="194">
          <cell r="J194">
            <v>0.031288486425</v>
          </cell>
        </row>
        <row r="195">
          <cell r="A195" t="str">
            <v>11369（1）</v>
          </cell>
          <cell r="B195" t="str">
            <v>纸箱（1个装）</v>
          </cell>
          <cell r="C195" t="str">
            <v>投影米奇</v>
          </cell>
          <cell r="D195">
            <v>1</v>
          </cell>
          <cell r="E195">
            <v>26.67</v>
          </cell>
          <cell r="F195">
            <v>18.78</v>
          </cell>
          <cell r="G195">
            <v>32.385</v>
          </cell>
        </row>
        <row r="195">
          <cell r="J195">
            <v>0.016220435301</v>
          </cell>
        </row>
        <row r="196">
          <cell r="A196" t="str">
            <v>33454(48)</v>
          </cell>
          <cell r="B196" t="str">
            <v>纸箱（48个装）</v>
          </cell>
          <cell r="C196" t="str">
            <v>鸭子</v>
          </cell>
          <cell r="D196">
            <v>48</v>
          </cell>
          <cell r="E196">
            <v>37.15</v>
          </cell>
          <cell r="F196">
            <v>33</v>
          </cell>
          <cell r="G196">
            <v>33.34</v>
          </cell>
        </row>
        <row r="196">
          <cell r="J196">
            <v>0.040873173</v>
          </cell>
        </row>
        <row r="197">
          <cell r="A197">
            <v>470529</v>
          </cell>
          <cell r="B197" t="str">
            <v>纸箱（3个装）</v>
          </cell>
          <cell r="C197" t="str">
            <v>搅拌机系列</v>
          </cell>
          <cell r="D197">
            <v>3</v>
          </cell>
          <cell r="E197">
            <v>41.59</v>
          </cell>
          <cell r="F197">
            <v>33</v>
          </cell>
          <cell r="G197">
            <v>33.35</v>
          </cell>
        </row>
        <row r="197">
          <cell r="J197">
            <v>0.0457718745</v>
          </cell>
        </row>
        <row r="198">
          <cell r="A198">
            <v>470690</v>
          </cell>
          <cell r="B198" t="str">
            <v>纸箱（3个装）</v>
          </cell>
          <cell r="C198" t="str">
            <v>电磁炉系列</v>
          </cell>
          <cell r="D198">
            <v>3</v>
          </cell>
          <cell r="E198">
            <v>41.59</v>
          </cell>
          <cell r="F198">
            <v>28.5</v>
          </cell>
          <cell r="G198">
            <v>33.35</v>
          </cell>
        </row>
        <row r="198">
          <cell r="J198">
            <v>0.03953025525</v>
          </cell>
        </row>
        <row r="199">
          <cell r="A199">
            <v>470691</v>
          </cell>
          <cell r="B199" t="str">
            <v>纸箱（3个装）</v>
          </cell>
          <cell r="C199" t="str">
            <v>华夫饼系列</v>
          </cell>
          <cell r="D199">
            <v>3</v>
          </cell>
          <cell r="E199">
            <v>41.59</v>
          </cell>
          <cell r="F199">
            <v>24.77</v>
          </cell>
          <cell r="G199">
            <v>33.35</v>
          </cell>
        </row>
        <row r="199">
          <cell r="J199">
            <v>0.034356646405</v>
          </cell>
        </row>
        <row r="200">
          <cell r="A200">
            <v>470692</v>
          </cell>
          <cell r="B200" t="str">
            <v>纸箱（3个装）</v>
          </cell>
          <cell r="C200" t="str">
            <v>酸奶系列</v>
          </cell>
          <cell r="D200">
            <v>3</v>
          </cell>
          <cell r="E200">
            <v>31.43</v>
          </cell>
          <cell r="F200">
            <v>26.9</v>
          </cell>
          <cell r="G200">
            <v>33.35</v>
          </cell>
        </row>
        <row r="200">
          <cell r="J200">
            <v>0.02819632445</v>
          </cell>
        </row>
        <row r="201">
          <cell r="A201" t="str">
            <v>33487（96）</v>
          </cell>
          <cell r="B201" t="str">
            <v>纸箱（96个装）</v>
          </cell>
          <cell r="C201" t="str">
            <v>盲盒小鸭</v>
          </cell>
          <cell r="D201">
            <v>96</v>
          </cell>
          <cell r="E201">
            <v>54.95</v>
          </cell>
          <cell r="F201">
            <v>34.95</v>
          </cell>
          <cell r="G201">
            <v>42.9</v>
          </cell>
        </row>
        <row r="201">
          <cell r="J201">
            <v>0.08238955725</v>
          </cell>
        </row>
        <row r="202">
          <cell r="A202" t="str">
            <v>棉</v>
          </cell>
        </row>
        <row r="202">
          <cell r="E202">
            <v>120</v>
          </cell>
          <cell r="F202">
            <v>110</v>
          </cell>
          <cell r="G202">
            <v>75</v>
          </cell>
        </row>
        <row r="202">
          <cell r="J202">
            <v>0.99</v>
          </cell>
        </row>
        <row r="203">
          <cell r="A203" t="str">
            <v>33369(96）</v>
          </cell>
          <cell r="B203" t="str">
            <v>纸箱（96个装）</v>
          </cell>
          <cell r="C203" t="str">
            <v>迷你搪胶小鸭</v>
          </cell>
          <cell r="D203">
            <v>96</v>
          </cell>
          <cell r="E203">
            <v>39.7</v>
          </cell>
          <cell r="F203">
            <v>22.9</v>
          </cell>
          <cell r="G203">
            <v>30.8</v>
          </cell>
        </row>
        <row r="203">
          <cell r="J203">
            <v>0.028001204</v>
          </cell>
        </row>
        <row r="204">
          <cell r="A204">
            <v>46092</v>
          </cell>
          <cell r="B204" t="str">
            <v>纸箱（10个装）</v>
          </cell>
          <cell r="C204" t="str">
            <v>玩具总动员系列</v>
          </cell>
          <cell r="D204">
            <v>10</v>
          </cell>
          <cell r="E204">
            <v>40.01</v>
          </cell>
          <cell r="F204">
            <v>26.67</v>
          </cell>
          <cell r="G204">
            <v>20.96</v>
          </cell>
        </row>
        <row r="204">
          <cell r="J204">
            <v>0.022365718032</v>
          </cell>
        </row>
        <row r="205">
          <cell r="A205">
            <v>46134</v>
          </cell>
          <cell r="B205" t="str">
            <v>纸箱（10个装）</v>
          </cell>
          <cell r="C205" t="str">
            <v>海洋奇缘系列</v>
          </cell>
          <cell r="D205">
            <v>10</v>
          </cell>
          <cell r="E205">
            <v>40.01</v>
          </cell>
          <cell r="F205">
            <v>26.67</v>
          </cell>
          <cell r="G205">
            <v>20.96</v>
          </cell>
        </row>
        <row r="205">
          <cell r="J205">
            <v>0.022365718032</v>
          </cell>
        </row>
        <row r="206">
          <cell r="A206">
            <v>46132</v>
          </cell>
          <cell r="B206" t="str">
            <v>纸箱（10个装）</v>
          </cell>
          <cell r="C206" t="str">
            <v>赛车总动员系列</v>
          </cell>
          <cell r="D206">
            <v>10</v>
          </cell>
          <cell r="E206">
            <v>40.01</v>
          </cell>
          <cell r="F206">
            <v>26.67</v>
          </cell>
          <cell r="G206">
            <v>20.96</v>
          </cell>
        </row>
        <row r="206">
          <cell r="J206">
            <v>0.022365718032</v>
          </cell>
        </row>
        <row r="207">
          <cell r="A207">
            <v>470745</v>
          </cell>
        </row>
        <row r="207">
          <cell r="D207">
            <v>3</v>
          </cell>
          <cell r="E207">
            <v>32.7</v>
          </cell>
          <cell r="F207">
            <v>31.75</v>
          </cell>
          <cell r="G207">
            <v>33.35</v>
          </cell>
        </row>
        <row r="207">
          <cell r="J207">
            <v>0.03462480375</v>
          </cell>
        </row>
        <row r="208">
          <cell r="A208">
            <v>470746</v>
          </cell>
        </row>
        <row r="208">
          <cell r="D208">
            <v>3</v>
          </cell>
          <cell r="E208">
            <v>41.59</v>
          </cell>
          <cell r="F208">
            <v>33</v>
          </cell>
          <cell r="G208">
            <v>33.35</v>
          </cell>
        </row>
        <row r="208">
          <cell r="J208">
            <v>0.0457718745</v>
          </cell>
        </row>
        <row r="209">
          <cell r="A209">
            <v>470748</v>
          </cell>
        </row>
        <row r="209">
          <cell r="D209">
            <v>3</v>
          </cell>
          <cell r="E209">
            <v>31.43</v>
          </cell>
          <cell r="F209">
            <v>29.85</v>
          </cell>
          <cell r="G209">
            <v>33.35</v>
          </cell>
        </row>
        <row r="209">
          <cell r="J209">
            <v>0.031288486425</v>
          </cell>
        </row>
        <row r="210">
          <cell r="A210">
            <v>470749</v>
          </cell>
        </row>
        <row r="210">
          <cell r="D210">
            <v>3</v>
          </cell>
          <cell r="E210">
            <v>31.43</v>
          </cell>
          <cell r="F210">
            <v>29.85</v>
          </cell>
          <cell r="G210">
            <v>33.35</v>
          </cell>
        </row>
        <row r="210">
          <cell r="J210">
            <v>0.031288486425</v>
          </cell>
        </row>
        <row r="211">
          <cell r="A211">
            <v>470751</v>
          </cell>
        </row>
        <row r="211">
          <cell r="D211">
            <v>3</v>
          </cell>
          <cell r="E211">
            <v>41.59</v>
          </cell>
          <cell r="F211">
            <v>24.77</v>
          </cell>
          <cell r="G211">
            <v>33.35</v>
          </cell>
        </row>
        <row r="211">
          <cell r="J211">
            <v>0.034356646405</v>
          </cell>
        </row>
        <row r="212">
          <cell r="A212">
            <v>470752</v>
          </cell>
        </row>
        <row r="212">
          <cell r="D212">
            <v>3</v>
          </cell>
          <cell r="E212">
            <v>31.43</v>
          </cell>
          <cell r="F212">
            <v>26.9</v>
          </cell>
          <cell r="G212">
            <v>33.35</v>
          </cell>
        </row>
        <row r="212">
          <cell r="J212">
            <v>0.02819632445</v>
          </cell>
        </row>
        <row r="213">
          <cell r="A213">
            <v>470753</v>
          </cell>
        </row>
        <row r="213">
          <cell r="D213">
            <v>3</v>
          </cell>
          <cell r="E213">
            <v>31.43</v>
          </cell>
          <cell r="F213">
            <v>22.86</v>
          </cell>
          <cell r="G213">
            <v>33.34</v>
          </cell>
        </row>
        <row r="213">
          <cell r="J213">
            <v>0.023954449932</v>
          </cell>
        </row>
        <row r="214">
          <cell r="A214">
            <v>470724</v>
          </cell>
        </row>
        <row r="214">
          <cell r="D214">
            <v>2</v>
          </cell>
          <cell r="E214">
            <v>62.55</v>
          </cell>
          <cell r="F214">
            <v>21.59</v>
          </cell>
          <cell r="G214">
            <v>41.59</v>
          </cell>
        </row>
        <row r="214">
          <cell r="J214">
            <v>0.056165402655</v>
          </cell>
        </row>
        <row r="215">
          <cell r="A215">
            <v>320628</v>
          </cell>
        </row>
        <row r="215">
          <cell r="C215" t="str">
            <v>生日趴对</v>
          </cell>
          <cell r="D215">
            <v>4</v>
          </cell>
          <cell r="E215">
            <v>25.75</v>
          </cell>
          <cell r="F215">
            <v>17.78</v>
          </cell>
          <cell r="G215">
            <v>20.64</v>
          </cell>
        </row>
        <row r="215">
          <cell r="J215">
            <v>0.0094497144</v>
          </cell>
        </row>
        <row r="216">
          <cell r="A216" t="str">
            <v>33475（36）</v>
          </cell>
        </row>
        <row r="216">
          <cell r="C216" t="str">
            <v>搪胶小鸭</v>
          </cell>
          <cell r="D216">
            <v>36</v>
          </cell>
          <cell r="E216">
            <v>31.75</v>
          </cell>
          <cell r="F216">
            <v>18.41</v>
          </cell>
          <cell r="G216">
            <v>20.32</v>
          </cell>
        </row>
        <row r="216">
          <cell r="J216">
            <v>0.0118773956</v>
          </cell>
        </row>
        <row r="217">
          <cell r="A217" t="str">
            <v>11369（4）</v>
          </cell>
          <cell r="B217" t="str">
            <v>纸箱（4个装）</v>
          </cell>
          <cell r="C217" t="str">
            <v>投影米奇</v>
          </cell>
          <cell r="D217">
            <v>4</v>
          </cell>
          <cell r="E217">
            <v>64.135</v>
          </cell>
          <cell r="F217">
            <v>36.83</v>
          </cell>
          <cell r="G217">
            <v>42.545</v>
          </cell>
        </row>
        <row r="217">
          <cell r="J217">
            <v>0.10049520626725</v>
          </cell>
        </row>
        <row r="218">
          <cell r="A218" t="str">
            <v>58725(12)</v>
          </cell>
        </row>
        <row r="218">
          <cell r="D218">
            <v>12</v>
          </cell>
          <cell r="E218">
            <v>22.54</v>
          </cell>
          <cell r="F218">
            <v>18.42</v>
          </cell>
          <cell r="G218">
            <v>11.11</v>
          </cell>
        </row>
        <row r="218">
          <cell r="J218">
            <v>0.004612725348</v>
          </cell>
        </row>
        <row r="219">
          <cell r="A219" t="str">
            <v>88188（2）</v>
          </cell>
        </row>
        <row r="219">
          <cell r="C219" t="str">
            <v>背包狗</v>
          </cell>
          <cell r="D219">
            <v>2</v>
          </cell>
          <cell r="E219">
            <v>37.15</v>
          </cell>
          <cell r="F219">
            <v>27.77</v>
          </cell>
          <cell r="G219">
            <v>35.88</v>
          </cell>
        </row>
        <row r="219">
          <cell r="J219">
            <v>0.03701579934</v>
          </cell>
        </row>
        <row r="220">
          <cell r="A220" t="str">
            <v>58725(36)</v>
          </cell>
        </row>
        <row r="220">
          <cell r="D220">
            <v>36</v>
          </cell>
          <cell r="E220">
            <v>31.75</v>
          </cell>
          <cell r="F220">
            <v>18.41</v>
          </cell>
          <cell r="G220">
            <v>20.32</v>
          </cell>
        </row>
        <row r="220">
          <cell r="J220">
            <v>0.0118773956</v>
          </cell>
        </row>
        <row r="221">
          <cell r="A221">
            <v>33580</v>
          </cell>
        </row>
        <row r="221">
          <cell r="C221" t="str">
            <v>搪胶小鸭</v>
          </cell>
          <cell r="D221">
            <v>48</v>
          </cell>
          <cell r="E221">
            <v>35.6</v>
          </cell>
          <cell r="F221">
            <v>23.4</v>
          </cell>
          <cell r="G221">
            <v>19.5</v>
          </cell>
        </row>
        <row r="221">
          <cell r="J221">
            <v>0.01624428</v>
          </cell>
        </row>
        <row r="222">
          <cell r="A222">
            <v>571067</v>
          </cell>
          <cell r="B222" t="str">
            <v>571067-2L（320915/320632/320402）</v>
          </cell>
          <cell r="C222" t="str">
            <v>（320915/632/402）混装</v>
          </cell>
          <cell r="D222">
            <v>4</v>
          </cell>
          <cell r="E222">
            <v>31.5</v>
          </cell>
          <cell r="F222">
            <v>25</v>
          </cell>
          <cell r="G222">
            <v>20</v>
          </cell>
        </row>
        <row r="222">
          <cell r="J222">
            <v>0.01575</v>
          </cell>
        </row>
        <row r="223">
          <cell r="A223">
            <v>470026</v>
          </cell>
          <cell r="B223" t="str">
            <v>470026-2L（470725/320630/320631/320918）</v>
          </cell>
        </row>
        <row r="223">
          <cell r="D223">
            <v>4</v>
          </cell>
          <cell r="E223">
            <v>25</v>
          </cell>
          <cell r="F223">
            <v>20.5</v>
          </cell>
          <cell r="G223">
            <v>20</v>
          </cell>
        </row>
        <row r="223">
          <cell r="J223">
            <v>0.01025</v>
          </cell>
        </row>
        <row r="224">
          <cell r="A224">
            <v>570929</v>
          </cell>
          <cell r="B224" t="str">
            <v>570929（470195/320785/320629/320627）</v>
          </cell>
          <cell r="C224" t="str">
            <v>（195/785/629/627）混装</v>
          </cell>
          <cell r="D224">
            <v>4</v>
          </cell>
          <cell r="E224">
            <v>28.89</v>
          </cell>
          <cell r="F224">
            <v>17.78</v>
          </cell>
          <cell r="G224">
            <v>20</v>
          </cell>
        </row>
        <row r="224">
          <cell r="J224">
            <v>0.010273284</v>
          </cell>
        </row>
        <row r="225">
          <cell r="A225">
            <v>320770</v>
          </cell>
          <cell r="B225" t="str">
            <v>3个装纸箱</v>
          </cell>
          <cell r="C225" t="str">
            <v>320405、406、407混装</v>
          </cell>
          <cell r="D225">
            <v>3</v>
          </cell>
          <cell r="E225">
            <v>31.5</v>
          </cell>
          <cell r="F225">
            <v>27</v>
          </cell>
          <cell r="G225">
            <v>20</v>
          </cell>
        </row>
        <row r="225">
          <cell r="J225">
            <v>0.01701</v>
          </cell>
        </row>
        <row r="226">
          <cell r="A226">
            <v>75280</v>
          </cell>
          <cell r="B226" t="str">
            <v>4个装纸箱</v>
          </cell>
        </row>
        <row r="226">
          <cell r="D226">
            <v>4</v>
          </cell>
          <cell r="E226">
            <v>33.97</v>
          </cell>
          <cell r="F226">
            <v>20.96</v>
          </cell>
          <cell r="G226">
            <v>34.61</v>
          </cell>
        </row>
        <row r="226">
          <cell r="J226">
            <v>0.024642707632</v>
          </cell>
        </row>
        <row r="227">
          <cell r="A227">
            <v>33550</v>
          </cell>
          <cell r="B227" t="str">
            <v>巨鸭</v>
          </cell>
          <cell r="C227" t="str">
            <v>巨鸭</v>
          </cell>
          <cell r="D227">
            <v>6</v>
          </cell>
          <cell r="E227">
            <v>60.5</v>
          </cell>
          <cell r="F227">
            <v>38.7</v>
          </cell>
          <cell r="G227">
            <v>25.7</v>
          </cell>
        </row>
        <row r="227">
          <cell r="J227">
            <v>0.060172695</v>
          </cell>
        </row>
        <row r="228">
          <cell r="A228">
            <v>28458</v>
          </cell>
          <cell r="B228" t="str">
            <v>五款硅胶手感球</v>
          </cell>
          <cell r="C228" t="str">
            <v>五款硅胶手感球</v>
          </cell>
          <cell r="D228">
            <v>15</v>
          </cell>
          <cell r="E228">
            <v>26.99</v>
          </cell>
          <cell r="F228">
            <v>27.31</v>
          </cell>
          <cell r="G228">
            <v>28.26</v>
          </cell>
        </row>
        <row r="228">
          <cell r="J228">
            <v>0.020830358394</v>
          </cell>
        </row>
        <row r="229">
          <cell r="A229">
            <v>28468</v>
          </cell>
          <cell r="B229" t="str">
            <v>大象</v>
          </cell>
          <cell r="C229" t="str">
            <v>大象</v>
          </cell>
          <cell r="D229">
            <v>1</v>
          </cell>
          <cell r="E229">
            <v>30</v>
          </cell>
          <cell r="F229">
            <v>20</v>
          </cell>
          <cell r="G229">
            <v>28</v>
          </cell>
        </row>
        <row r="229">
          <cell r="J229">
            <v>0.0168</v>
          </cell>
        </row>
        <row r="230">
          <cell r="A230">
            <v>28467</v>
          </cell>
          <cell r="B230" t="str">
            <v>青蛙</v>
          </cell>
          <cell r="C230" t="str">
            <v>青蛙</v>
          </cell>
          <cell r="D230">
            <v>1</v>
          </cell>
          <cell r="E230">
            <v>30</v>
          </cell>
          <cell r="F230">
            <v>20</v>
          </cell>
          <cell r="G230">
            <v>28</v>
          </cell>
        </row>
        <row r="230">
          <cell r="J230">
            <v>0.0168</v>
          </cell>
        </row>
        <row r="231">
          <cell r="A231">
            <v>28466</v>
          </cell>
          <cell r="B231" t="str">
            <v>长颈鹿</v>
          </cell>
          <cell r="C231" t="str">
            <v>长颈鹿</v>
          </cell>
          <cell r="D231">
            <v>1</v>
          </cell>
          <cell r="E231">
            <v>30</v>
          </cell>
          <cell r="F231">
            <v>20</v>
          </cell>
          <cell r="G231">
            <v>28</v>
          </cell>
        </row>
        <row r="231">
          <cell r="J231">
            <v>0.0168</v>
          </cell>
        </row>
        <row r="232">
          <cell r="A232">
            <v>28472</v>
          </cell>
          <cell r="B232" t="str">
            <v>狮子</v>
          </cell>
          <cell r="C232" t="str">
            <v>狮子</v>
          </cell>
          <cell r="D232">
            <v>1</v>
          </cell>
          <cell r="E232">
            <v>30</v>
          </cell>
          <cell r="F232">
            <v>17</v>
          </cell>
          <cell r="G232">
            <v>36</v>
          </cell>
        </row>
        <row r="232">
          <cell r="J232">
            <v>0.01836</v>
          </cell>
        </row>
        <row r="233">
          <cell r="A233">
            <v>320923</v>
          </cell>
          <cell r="B233" t="str">
            <v>花店</v>
          </cell>
          <cell r="C233" t="str">
            <v>花店</v>
          </cell>
          <cell r="D233">
            <v>1</v>
          </cell>
          <cell r="E233">
            <v>39.94</v>
          </cell>
          <cell r="F233">
            <v>30.1</v>
          </cell>
          <cell r="G233">
            <v>21.91</v>
          </cell>
        </row>
        <row r="233">
          <cell r="J233">
            <v>0.02634007054</v>
          </cell>
        </row>
        <row r="234">
          <cell r="A234">
            <v>28465</v>
          </cell>
          <cell r="B234" t="str">
            <v>14寸动物</v>
          </cell>
          <cell r="C234" t="str">
            <v>大象&amp;青蛙&amp;长颈鹿</v>
          </cell>
          <cell r="D234">
            <v>6</v>
          </cell>
          <cell r="E234">
            <v>63</v>
          </cell>
          <cell r="F234">
            <v>43</v>
          </cell>
          <cell r="G234">
            <v>30</v>
          </cell>
        </row>
        <row r="234">
          <cell r="J234">
            <v>0.08127</v>
          </cell>
        </row>
        <row r="235">
          <cell r="A235">
            <v>11441</v>
          </cell>
          <cell r="B235" t="str">
            <v>搪胶小鸭</v>
          </cell>
          <cell r="C235" t="str">
            <v>搪胶小鸭</v>
          </cell>
          <cell r="D235">
            <v>45</v>
          </cell>
          <cell r="E235">
            <v>27</v>
          </cell>
          <cell r="F235">
            <v>16.6</v>
          </cell>
          <cell r="G235">
            <v>26.5</v>
          </cell>
        </row>
        <row r="235">
          <cell r="J235">
            <v>0.0118773</v>
          </cell>
        </row>
        <row r="236">
          <cell r="A236">
            <v>14245</v>
          </cell>
          <cell r="B236" t="str">
            <v>磁铁肩膀公仔</v>
          </cell>
          <cell r="C236" t="str">
            <v>磁铁肩膀史迪仔</v>
          </cell>
          <cell r="D236">
            <v>4</v>
          </cell>
          <cell r="E236">
            <v>21.91</v>
          </cell>
          <cell r="F236">
            <v>22.23</v>
          </cell>
          <cell r="G236">
            <v>18.1</v>
          </cell>
        </row>
        <row r="236">
          <cell r="J236">
            <v>0.00881577333</v>
          </cell>
        </row>
        <row r="237">
          <cell r="A237" t="str">
            <v>D70850/470724</v>
          </cell>
          <cell r="B237" t="str">
            <v>火车</v>
          </cell>
        </row>
        <row r="237">
          <cell r="D237">
            <v>12</v>
          </cell>
          <cell r="E237">
            <v>119</v>
          </cell>
          <cell r="F237">
            <v>49</v>
          </cell>
          <cell r="G237">
            <v>111</v>
          </cell>
        </row>
        <row r="237">
          <cell r="J237">
            <v>0.647241</v>
          </cell>
        </row>
        <row r="238">
          <cell r="A238">
            <v>470875</v>
          </cell>
          <cell r="B238" t="str">
            <v>3个装纸箱</v>
          </cell>
          <cell r="C238" t="str">
            <v>320405、406、407混装</v>
          </cell>
          <cell r="D238">
            <v>3</v>
          </cell>
          <cell r="E238">
            <v>31.5</v>
          </cell>
          <cell r="F238">
            <v>27</v>
          </cell>
          <cell r="G238">
            <v>20</v>
          </cell>
          <cell r="H238">
            <v>1.5</v>
          </cell>
          <cell r="I238">
            <v>1.83</v>
          </cell>
          <cell r="J238">
            <v>0.01701</v>
          </cell>
        </row>
        <row r="239">
          <cell r="A239" t="str">
            <v>470689（12）</v>
          </cell>
          <cell r="B239" t="str">
            <v>12个装纸箱</v>
          </cell>
        </row>
        <row r="239">
          <cell r="D239">
            <v>12</v>
          </cell>
          <cell r="E239">
            <v>57.5</v>
          </cell>
          <cell r="F239">
            <v>30.8</v>
          </cell>
          <cell r="G239">
            <v>62</v>
          </cell>
        </row>
        <row r="239">
          <cell r="J239">
            <v>0.109802</v>
          </cell>
        </row>
        <row r="240">
          <cell r="A240" t="str">
            <v>470688（12）</v>
          </cell>
          <cell r="B240" t="str">
            <v>12个装纸箱</v>
          </cell>
        </row>
        <row r="240">
          <cell r="D240">
            <v>12</v>
          </cell>
          <cell r="E240">
            <v>57.5</v>
          </cell>
          <cell r="F240">
            <v>30.8</v>
          </cell>
          <cell r="G240">
            <v>62</v>
          </cell>
        </row>
        <row r="240">
          <cell r="J240">
            <v>0.109802</v>
          </cell>
        </row>
        <row r="241">
          <cell r="A241" t="str">
            <v>胶筐</v>
          </cell>
          <cell r="B241" t="str">
            <v>胶筐</v>
          </cell>
        </row>
        <row r="241">
          <cell r="D241">
            <v>1</v>
          </cell>
          <cell r="E241">
            <v>68</v>
          </cell>
          <cell r="F241">
            <v>48</v>
          </cell>
          <cell r="G241">
            <v>40</v>
          </cell>
        </row>
        <row r="241">
          <cell r="J241">
            <v>0.13056</v>
          </cell>
        </row>
        <row r="242">
          <cell r="A242" t="str">
            <v>33630（36）</v>
          </cell>
          <cell r="B242" t="str">
            <v>搪胶小鸭</v>
          </cell>
          <cell r="C242" t="str">
            <v>搪胶小鸭</v>
          </cell>
          <cell r="D242">
            <v>36</v>
          </cell>
          <cell r="E242">
            <v>31.75</v>
          </cell>
          <cell r="F242">
            <v>18.41</v>
          </cell>
          <cell r="G242">
            <v>20.32</v>
          </cell>
        </row>
        <row r="242">
          <cell r="J242">
            <v>0.0118773956</v>
          </cell>
        </row>
        <row r="243">
          <cell r="A243" t="str">
            <v>27694（2）</v>
          </cell>
          <cell r="B243" t="str">
            <v>侏罗纪棘龙</v>
          </cell>
        </row>
        <row r="243">
          <cell r="D243">
            <v>2</v>
          </cell>
          <cell r="E243">
            <v>41</v>
          </cell>
          <cell r="F243">
            <v>41</v>
          </cell>
          <cell r="G243">
            <v>35</v>
          </cell>
        </row>
        <row r="243">
          <cell r="J243">
            <v>0.058835</v>
          </cell>
        </row>
        <row r="244">
          <cell r="A244" t="str">
            <v>27694（3）</v>
          </cell>
          <cell r="B244" t="str">
            <v>侏罗纪棘龙</v>
          </cell>
        </row>
        <row r="244">
          <cell r="D244">
            <v>3</v>
          </cell>
          <cell r="E244">
            <v>60</v>
          </cell>
          <cell r="F244">
            <v>44</v>
          </cell>
          <cell r="G244">
            <v>35</v>
          </cell>
        </row>
        <row r="244">
          <cell r="J244">
            <v>0.0924</v>
          </cell>
        </row>
        <row r="245">
          <cell r="A245" t="str">
            <v>33490（36）</v>
          </cell>
          <cell r="B245" t="str">
            <v>搪胶小鸭</v>
          </cell>
          <cell r="C245" t="str">
            <v>搪胶小鸭</v>
          </cell>
          <cell r="D245">
            <v>36</v>
          </cell>
          <cell r="E245">
            <v>33.02</v>
          </cell>
          <cell r="F245">
            <v>18.41</v>
          </cell>
          <cell r="G245">
            <v>20.3</v>
          </cell>
        </row>
        <row r="245">
          <cell r="J245">
            <v>0.01234033346</v>
          </cell>
        </row>
        <row r="246">
          <cell r="A246" t="str">
            <v>58725(18)</v>
          </cell>
          <cell r="B246" t="str">
            <v>搪胶小鸭</v>
          </cell>
        </row>
        <row r="246">
          <cell r="D246">
            <v>18</v>
          </cell>
          <cell r="E246">
            <v>49.53</v>
          </cell>
          <cell r="F246">
            <v>15.25</v>
          </cell>
          <cell r="G246">
            <v>11.45</v>
          </cell>
        </row>
        <row r="246">
          <cell r="J246">
            <v>0.008648557125</v>
          </cell>
        </row>
        <row r="247">
          <cell r="A247" t="str">
            <v>D70950/470764</v>
          </cell>
          <cell r="B247" t="str">
            <v>15个装</v>
          </cell>
        </row>
        <row r="247">
          <cell r="D247">
            <v>15</v>
          </cell>
          <cell r="E247">
            <v>120.5</v>
          </cell>
          <cell r="F247">
            <v>48.5</v>
          </cell>
          <cell r="G247">
            <v>92</v>
          </cell>
        </row>
        <row r="247">
          <cell r="J247">
            <v>0.537671</v>
          </cell>
        </row>
        <row r="248">
          <cell r="A248">
            <v>14225</v>
          </cell>
          <cell r="B248" t="str">
            <v>8个装纸箱</v>
          </cell>
          <cell r="C248" t="str">
            <v>磁铁肩膀史迪仔</v>
          </cell>
          <cell r="D248">
            <v>8</v>
          </cell>
          <cell r="E248">
            <v>30.48</v>
          </cell>
          <cell r="F248">
            <v>27.67</v>
          </cell>
          <cell r="G248">
            <v>15.24</v>
          </cell>
        </row>
        <row r="248">
          <cell r="J248">
            <v>0.012853135584</v>
          </cell>
        </row>
        <row r="249">
          <cell r="A249" t="str">
            <v>14225（21）</v>
          </cell>
          <cell r="B249" t="str">
            <v>21个装纸箱</v>
          </cell>
        </row>
        <row r="249">
          <cell r="D249">
            <v>21</v>
          </cell>
          <cell r="E249">
            <v>125</v>
          </cell>
          <cell r="F249">
            <v>35</v>
          </cell>
          <cell r="G249">
            <v>16</v>
          </cell>
        </row>
        <row r="249">
          <cell r="J249">
            <v>0.07</v>
          </cell>
        </row>
        <row r="250">
          <cell r="A250">
            <v>46489</v>
          </cell>
          <cell r="B250" t="str">
            <v>史迪仔</v>
          </cell>
        </row>
        <row r="250">
          <cell r="D250">
            <v>12</v>
          </cell>
          <cell r="E250">
            <v>121.5</v>
          </cell>
          <cell r="F250">
            <v>53.5</v>
          </cell>
          <cell r="G250">
            <v>115</v>
          </cell>
        </row>
        <row r="250">
          <cell r="J250">
            <v>0.74752875</v>
          </cell>
        </row>
        <row r="251">
          <cell r="A251" t="str">
            <v>D70950(470764)</v>
          </cell>
        </row>
        <row r="251">
          <cell r="D251">
            <v>15</v>
          </cell>
          <cell r="E251">
            <v>120.5</v>
          </cell>
          <cell r="F251">
            <v>48.5</v>
          </cell>
          <cell r="G251">
            <v>92</v>
          </cell>
        </row>
        <row r="251">
          <cell r="J251">
            <v>0.537671</v>
          </cell>
        </row>
        <row r="252">
          <cell r="A252" t="str">
            <v>D70850(470724)</v>
          </cell>
        </row>
        <row r="252">
          <cell r="D252">
            <v>12</v>
          </cell>
          <cell r="E252">
            <v>119</v>
          </cell>
          <cell r="F252">
            <v>49</v>
          </cell>
          <cell r="G252">
            <v>111</v>
          </cell>
        </row>
        <row r="252">
          <cell r="J252">
            <v>0.647241</v>
          </cell>
        </row>
        <row r="253">
          <cell r="A253">
            <v>33410</v>
          </cell>
        </row>
        <row r="253">
          <cell r="C253" t="str">
            <v>搪胶小鸭</v>
          </cell>
          <cell r="D253">
            <v>400</v>
          </cell>
          <cell r="E253">
            <v>52.83</v>
          </cell>
          <cell r="F253">
            <v>52.32</v>
          </cell>
          <cell r="G253">
            <v>113</v>
          </cell>
        </row>
        <row r="253">
          <cell r="J253">
            <v>0.3123394128</v>
          </cell>
        </row>
        <row r="254">
          <cell r="A254" t="str">
            <v>14265（18）</v>
          </cell>
          <cell r="B254" t="str">
            <v>钥匙扣系列</v>
          </cell>
          <cell r="C254" t="str">
            <v>钥匙扣系列</v>
          </cell>
          <cell r="D254">
            <v>18</v>
          </cell>
          <cell r="E254">
            <v>42.48</v>
          </cell>
          <cell r="F254">
            <v>22.8</v>
          </cell>
          <cell r="G254">
            <v>15.5</v>
          </cell>
        </row>
        <row r="254">
          <cell r="J254">
            <v>0.015012432</v>
          </cell>
        </row>
        <row r="255">
          <cell r="A255" t="str">
            <v>卡板</v>
          </cell>
        </row>
        <row r="255">
          <cell r="E255">
            <v>107</v>
          </cell>
          <cell r="F255">
            <v>48</v>
          </cell>
          <cell r="G255">
            <v>12</v>
          </cell>
        </row>
        <row r="255">
          <cell r="J255">
            <v>0.061632</v>
          </cell>
        </row>
        <row r="256">
          <cell r="A256">
            <v>14746</v>
          </cell>
        </row>
        <row r="256">
          <cell r="C256" t="str">
            <v>坐姿米奇</v>
          </cell>
          <cell r="D256">
            <v>12</v>
          </cell>
          <cell r="E256">
            <v>61.5</v>
          </cell>
          <cell r="F256">
            <v>51</v>
          </cell>
          <cell r="G256">
            <v>34.5</v>
          </cell>
        </row>
        <row r="256">
          <cell r="J256">
            <v>0.10820925</v>
          </cell>
        </row>
        <row r="257">
          <cell r="A257">
            <v>33611</v>
          </cell>
          <cell r="B257" t="str">
            <v>18个装纸箱</v>
          </cell>
          <cell r="C257" t="str">
            <v>搪胶小鸭</v>
          </cell>
          <cell r="D257">
            <v>18</v>
          </cell>
          <cell r="E257">
            <v>32.39</v>
          </cell>
          <cell r="F257">
            <v>17.78</v>
          </cell>
          <cell r="G257">
            <v>9.53</v>
          </cell>
        </row>
        <row r="257">
          <cell r="J257">
            <v>0.005488271726</v>
          </cell>
        </row>
        <row r="258">
          <cell r="A258">
            <v>33612</v>
          </cell>
          <cell r="B258" t="str">
            <v>18个装纸箱</v>
          </cell>
          <cell r="C258" t="str">
            <v>搪胶小鸭</v>
          </cell>
          <cell r="D258">
            <v>18</v>
          </cell>
          <cell r="E258">
            <v>32.39</v>
          </cell>
          <cell r="F258">
            <v>17.78</v>
          </cell>
          <cell r="G258">
            <v>9.53</v>
          </cell>
        </row>
        <row r="258">
          <cell r="J258">
            <v>0.005488271726</v>
          </cell>
        </row>
        <row r="259">
          <cell r="A259">
            <v>33613</v>
          </cell>
          <cell r="B259" t="str">
            <v>18个装纸箱</v>
          </cell>
          <cell r="C259" t="str">
            <v>搪胶小鸭</v>
          </cell>
          <cell r="D259">
            <v>18</v>
          </cell>
          <cell r="E259">
            <v>32.39</v>
          </cell>
          <cell r="F259">
            <v>17.78</v>
          </cell>
          <cell r="G259">
            <v>9.53</v>
          </cell>
        </row>
        <row r="259">
          <cell r="J259">
            <v>0.005488271726</v>
          </cell>
        </row>
        <row r="260">
          <cell r="A260">
            <v>33614</v>
          </cell>
          <cell r="B260" t="str">
            <v>18个装纸箱</v>
          </cell>
          <cell r="C260" t="str">
            <v>搪胶小鸭</v>
          </cell>
          <cell r="D260">
            <v>18</v>
          </cell>
          <cell r="E260">
            <v>32.39</v>
          </cell>
          <cell r="F260">
            <v>17.78</v>
          </cell>
          <cell r="G260">
            <v>9.53</v>
          </cell>
        </row>
        <row r="260">
          <cell r="J260">
            <v>0.005488271726</v>
          </cell>
        </row>
        <row r="261">
          <cell r="A261">
            <v>41502</v>
          </cell>
          <cell r="B261" t="str">
            <v>4个装纸箱</v>
          </cell>
          <cell r="C261" t="str">
            <v>梅根头</v>
          </cell>
          <cell r="D261">
            <v>18</v>
          </cell>
          <cell r="E261">
            <v>43.18</v>
          </cell>
          <cell r="F261">
            <v>35.56</v>
          </cell>
          <cell r="G261">
            <v>36.2</v>
          </cell>
        </row>
        <row r="261">
          <cell r="J261">
            <v>0.05558440496</v>
          </cell>
        </row>
        <row r="262">
          <cell r="A262" t="str">
            <v>14747(12)</v>
          </cell>
          <cell r="B262" t="str">
            <v>12个装纸箱</v>
          </cell>
        </row>
        <row r="262">
          <cell r="D262">
            <v>12</v>
          </cell>
          <cell r="E262">
            <v>60.96</v>
          </cell>
          <cell r="F262">
            <v>51.8</v>
          </cell>
          <cell r="G262">
            <v>33.02</v>
          </cell>
        </row>
        <row r="262">
          <cell r="J262">
            <v>0.10426817856</v>
          </cell>
        </row>
        <row r="263">
          <cell r="A263" t="str">
            <v>14746(12)</v>
          </cell>
          <cell r="B263" t="str">
            <v>12个装纸箱</v>
          </cell>
        </row>
        <row r="263">
          <cell r="D263">
            <v>12</v>
          </cell>
          <cell r="E263">
            <v>60.96</v>
          </cell>
          <cell r="F263">
            <v>51.8</v>
          </cell>
          <cell r="G263">
            <v>33.02</v>
          </cell>
        </row>
        <row r="263">
          <cell r="J263">
            <v>0.10426817856</v>
          </cell>
        </row>
        <row r="264">
          <cell r="A264">
            <v>58770</v>
          </cell>
          <cell r="B264" t="str">
            <v>12个装纸箱</v>
          </cell>
          <cell r="C264" t="str">
            <v>搪胶小鸭</v>
          </cell>
          <cell r="D264">
            <v>12</v>
          </cell>
          <cell r="E264">
            <v>22.54</v>
          </cell>
          <cell r="F264">
            <v>18.42</v>
          </cell>
          <cell r="G264">
            <v>11.11</v>
          </cell>
        </row>
        <row r="264">
          <cell r="J264">
            <v>0.004612725348</v>
          </cell>
        </row>
        <row r="265">
          <cell r="A265">
            <v>11783</v>
          </cell>
          <cell r="B265" t="str">
            <v>24个装纸箱</v>
          </cell>
          <cell r="C265" t="str">
            <v>搪胶小鸭</v>
          </cell>
          <cell r="D265">
            <v>24</v>
          </cell>
          <cell r="E265">
            <v>25.72</v>
          </cell>
          <cell r="F265">
            <v>19.69</v>
          </cell>
          <cell r="G265">
            <v>28.26</v>
          </cell>
        </row>
        <row r="265">
          <cell r="J265">
            <v>0.014311621368</v>
          </cell>
        </row>
        <row r="266">
          <cell r="A266">
            <v>11781</v>
          </cell>
          <cell r="B266" t="str">
            <v>24个装纸箱</v>
          </cell>
          <cell r="C266" t="str">
            <v>搪胶小鸭</v>
          </cell>
          <cell r="D266">
            <v>24</v>
          </cell>
          <cell r="E266">
            <v>25.72</v>
          </cell>
          <cell r="F266">
            <v>19.69</v>
          </cell>
          <cell r="G266">
            <v>28.26</v>
          </cell>
        </row>
        <row r="266">
          <cell r="J266">
            <v>0.014311621368</v>
          </cell>
        </row>
        <row r="267">
          <cell r="A267">
            <v>11782</v>
          </cell>
          <cell r="B267" t="str">
            <v>24个装纸箱</v>
          </cell>
          <cell r="C267" t="str">
            <v>搪胶小鸭</v>
          </cell>
          <cell r="D267">
            <v>24</v>
          </cell>
          <cell r="E267">
            <v>25.72</v>
          </cell>
          <cell r="F267">
            <v>19.69</v>
          </cell>
          <cell r="G267">
            <v>28.26</v>
          </cell>
        </row>
        <row r="267">
          <cell r="J267">
            <v>0.014311621368</v>
          </cell>
        </row>
        <row r="268">
          <cell r="A268">
            <v>45586</v>
          </cell>
          <cell r="B268" t="str">
            <v>24个装纸箱</v>
          </cell>
        </row>
        <row r="268">
          <cell r="D268">
            <v>24</v>
          </cell>
          <cell r="E268">
            <v>25.72</v>
          </cell>
          <cell r="F268">
            <v>19.69</v>
          </cell>
          <cell r="G268">
            <v>28.26</v>
          </cell>
        </row>
        <row r="268">
          <cell r="J268">
            <v>0.014311621368</v>
          </cell>
        </row>
        <row r="269">
          <cell r="A269">
            <v>570974</v>
          </cell>
          <cell r="B269" t="str">
            <v>1个装纸箱</v>
          </cell>
          <cell r="C269" t="str">
            <v>蓝球</v>
          </cell>
          <cell r="D269">
            <v>1</v>
          </cell>
          <cell r="E269">
            <v>59.05</v>
          </cell>
          <cell r="F269">
            <v>26.04</v>
          </cell>
          <cell r="G269">
            <v>55.88</v>
          </cell>
        </row>
        <row r="269">
          <cell r="J269">
            <v>0.08592455256</v>
          </cell>
        </row>
        <row r="270">
          <cell r="A270">
            <v>570975</v>
          </cell>
          <cell r="B270" t="str">
            <v>1个装纸箱</v>
          </cell>
          <cell r="C270" t="str">
            <v>棒球</v>
          </cell>
          <cell r="D270">
            <v>1</v>
          </cell>
          <cell r="E270">
            <v>30.48</v>
          </cell>
          <cell r="F270">
            <v>11.795</v>
          </cell>
          <cell r="G270">
            <v>53.34</v>
          </cell>
        </row>
        <row r="270">
          <cell r="J270">
            <v>0.019176348744</v>
          </cell>
        </row>
        <row r="271">
          <cell r="A271">
            <v>25250</v>
          </cell>
          <cell r="B271" t="str">
            <v>6个装纸箱</v>
          </cell>
          <cell r="C271" t="str">
            <v>磁铁公仔</v>
          </cell>
          <cell r="D271">
            <v>6</v>
          </cell>
          <cell r="E271">
            <v>32.4</v>
          </cell>
          <cell r="F271">
            <v>21</v>
          </cell>
          <cell r="G271">
            <v>17.8</v>
          </cell>
        </row>
        <row r="271">
          <cell r="J271">
            <v>0.01211112</v>
          </cell>
        </row>
        <row r="272">
          <cell r="A272">
            <v>45188</v>
          </cell>
          <cell r="B272" t="str">
            <v>6个装纸箱</v>
          </cell>
        </row>
        <row r="272">
          <cell r="D272">
            <v>6</v>
          </cell>
          <cell r="E272">
            <v>32.4</v>
          </cell>
          <cell r="F272">
            <v>21</v>
          </cell>
          <cell r="G272">
            <v>17.8</v>
          </cell>
        </row>
        <row r="272">
          <cell r="J272">
            <v>0.01211112</v>
          </cell>
        </row>
        <row r="273">
          <cell r="A273">
            <v>11884</v>
          </cell>
        </row>
        <row r="273">
          <cell r="D273">
            <v>8</v>
          </cell>
          <cell r="E273">
            <v>25.72</v>
          </cell>
          <cell r="F273">
            <v>19.69</v>
          </cell>
          <cell r="G273">
            <v>28.26</v>
          </cell>
        </row>
        <row r="273">
          <cell r="J273">
            <v>0.014311621368</v>
          </cell>
        </row>
        <row r="274">
          <cell r="A274">
            <v>46097</v>
          </cell>
          <cell r="B274" t="str">
            <v>纸箱（10个装）</v>
          </cell>
          <cell r="C274" t="str">
            <v>小熊维尼历险记系列</v>
          </cell>
          <cell r="D274">
            <v>10</v>
          </cell>
          <cell r="E274">
            <v>40.01</v>
          </cell>
          <cell r="F274">
            <v>26.67</v>
          </cell>
          <cell r="G274">
            <v>20.96</v>
          </cell>
        </row>
        <row r="274">
          <cell r="J274">
            <v>0.022365718032</v>
          </cell>
        </row>
        <row r="275">
          <cell r="A275">
            <v>570989</v>
          </cell>
          <cell r="B275" t="str">
            <v>纸箱（27个装）</v>
          </cell>
          <cell r="C275" t="str">
            <v>盲盒系列</v>
          </cell>
          <cell r="D275">
            <v>27</v>
          </cell>
          <cell r="E275">
            <v>31.115</v>
          </cell>
          <cell r="F275">
            <v>22.59</v>
          </cell>
          <cell r="G275">
            <v>15.875</v>
          </cell>
        </row>
        <row r="275">
          <cell r="J275">
            <v>0.01115834461875</v>
          </cell>
        </row>
        <row r="276">
          <cell r="A276" t="str">
            <v>14225（6）</v>
          </cell>
          <cell r="B276" t="str">
            <v>纸箱（6个装）</v>
          </cell>
        </row>
        <row r="276">
          <cell r="D276">
            <v>6</v>
          </cell>
          <cell r="E276">
            <v>32.39</v>
          </cell>
          <cell r="F276">
            <v>20.32</v>
          </cell>
          <cell r="G276">
            <v>17.15</v>
          </cell>
        </row>
        <row r="276">
          <cell r="J276">
            <v>0.01128752632</v>
          </cell>
        </row>
        <row r="277">
          <cell r="A277" t="str">
            <v>33769（72）</v>
          </cell>
          <cell r="B277" t="str">
            <v>纸箱（24个装）</v>
          </cell>
          <cell r="C277" t="str">
            <v>搪胶小鸭</v>
          </cell>
          <cell r="D277">
            <v>72</v>
          </cell>
          <cell r="E277">
            <v>25.4</v>
          </cell>
          <cell r="F277">
            <v>24.765</v>
          </cell>
          <cell r="G277">
            <v>31.75</v>
          </cell>
        </row>
        <row r="277">
          <cell r="J277">
            <v>0.01997173425</v>
          </cell>
        </row>
        <row r="278">
          <cell r="A278">
            <v>28481</v>
          </cell>
          <cell r="B278" t="str">
            <v>骰子</v>
          </cell>
          <cell r="C278" t="str">
            <v>骰子</v>
          </cell>
          <cell r="D278">
            <v>4</v>
          </cell>
          <cell r="E278">
            <v>23.81</v>
          </cell>
          <cell r="F278">
            <v>17.78</v>
          </cell>
          <cell r="G278">
            <v>23.81</v>
          </cell>
        </row>
        <row r="278">
          <cell r="J278">
            <v>0.010079768258</v>
          </cell>
        </row>
        <row r="279">
          <cell r="A279">
            <v>28483</v>
          </cell>
          <cell r="B279" t="str">
            <v>振动球</v>
          </cell>
          <cell r="C279" t="str">
            <v>振动球</v>
          </cell>
          <cell r="D279">
            <v>1</v>
          </cell>
          <cell r="E279">
            <v>16.83</v>
          </cell>
          <cell r="F279">
            <v>17.15</v>
          </cell>
          <cell r="G279">
            <v>20</v>
          </cell>
        </row>
        <row r="279">
          <cell r="J279">
            <v>0.00577269</v>
          </cell>
        </row>
        <row r="280">
          <cell r="A280">
            <v>82165</v>
          </cell>
          <cell r="B280" t="str">
            <v>纸箱（8个装）</v>
          </cell>
        </row>
        <row r="280">
          <cell r="D280">
            <v>8</v>
          </cell>
          <cell r="E280">
            <v>25.72</v>
          </cell>
          <cell r="F280">
            <v>19.69</v>
          </cell>
          <cell r="G280">
            <v>28.26</v>
          </cell>
        </row>
        <row r="280">
          <cell r="J280">
            <v>0.014311621368</v>
          </cell>
        </row>
        <row r="281">
          <cell r="A281">
            <v>571299</v>
          </cell>
          <cell r="B281" t="str">
            <v>自卸车</v>
          </cell>
          <cell r="C281" t="str">
            <v>自卸车</v>
          </cell>
          <cell r="D281">
            <v>1</v>
          </cell>
          <cell r="E281">
            <v>42</v>
          </cell>
          <cell r="F281">
            <v>22</v>
          </cell>
          <cell r="G281">
            <v>29</v>
          </cell>
        </row>
        <row r="281">
          <cell r="J281">
            <v>0.026796</v>
          </cell>
        </row>
        <row r="282">
          <cell r="A282" t="str">
            <v>14878（8）</v>
          </cell>
          <cell r="B282" t="str">
            <v>8个装纸箱</v>
          </cell>
        </row>
        <row r="282">
          <cell r="D282">
            <v>8</v>
          </cell>
          <cell r="E282">
            <v>57.785</v>
          </cell>
          <cell r="F282">
            <v>57.15</v>
          </cell>
          <cell r="G282">
            <v>25.4</v>
          </cell>
        </row>
        <row r="282">
          <cell r="J282">
            <v>0.08388128385</v>
          </cell>
        </row>
        <row r="283">
          <cell r="A283">
            <v>21150</v>
          </cell>
          <cell r="B283" t="str">
            <v>纸箱（12个装）</v>
          </cell>
          <cell r="C283" t="str">
            <v>豆袋系列</v>
          </cell>
          <cell r="D283">
            <v>12</v>
          </cell>
          <cell r="E283">
            <v>41.91</v>
          </cell>
          <cell r="F283">
            <v>32.75</v>
          </cell>
          <cell r="G283">
            <v>12.065</v>
          </cell>
        </row>
        <row r="283">
          <cell r="J283">
            <v>0.0165598459125</v>
          </cell>
        </row>
        <row r="284">
          <cell r="A284" t="str">
            <v>33735（12）</v>
          </cell>
          <cell r="B284" t="str">
            <v>纸箱（12个装）</v>
          </cell>
          <cell r="C284" t="str">
            <v>搪胶小鸭</v>
          </cell>
          <cell r="D284">
            <v>12</v>
          </cell>
          <cell r="E284">
            <v>22.5</v>
          </cell>
          <cell r="F284">
            <v>19.5</v>
          </cell>
          <cell r="G284">
            <v>11.3</v>
          </cell>
        </row>
        <row r="284">
          <cell r="J284">
            <v>0.004957875</v>
          </cell>
        </row>
        <row r="285">
          <cell r="A285" t="str">
            <v>33735（18）</v>
          </cell>
          <cell r="B285" t="str">
            <v>纸箱（18个装）</v>
          </cell>
          <cell r="C285" t="str">
            <v>搪胶小鸭</v>
          </cell>
          <cell r="D285">
            <v>18</v>
          </cell>
          <cell r="E285">
            <v>32.5</v>
          </cell>
          <cell r="F285">
            <v>18.3</v>
          </cell>
          <cell r="G285">
            <v>10.7</v>
          </cell>
        </row>
        <row r="285">
          <cell r="J285">
            <v>0.006363825</v>
          </cell>
        </row>
        <row r="286">
          <cell r="A286" t="str">
            <v>33475（192）</v>
          </cell>
          <cell r="B286" t="str">
            <v>纸箱（192个装）</v>
          </cell>
          <cell r="C286" t="str">
            <v>搪胶小鸭</v>
          </cell>
          <cell r="D286">
            <v>192</v>
          </cell>
          <cell r="E286">
            <v>32.7</v>
          </cell>
          <cell r="F286">
            <v>27.8</v>
          </cell>
          <cell r="G286">
            <v>41.6</v>
          </cell>
        </row>
        <row r="286">
          <cell r="J286">
            <v>0.037816896</v>
          </cell>
        </row>
        <row r="287">
          <cell r="A287" t="str">
            <v>33735（36）</v>
          </cell>
          <cell r="B287" t="str">
            <v>纸箱（36个装）</v>
          </cell>
          <cell r="C287" t="str">
            <v>搪胶小鸭</v>
          </cell>
          <cell r="D287">
            <v>36</v>
          </cell>
          <cell r="E287">
            <v>39.3</v>
          </cell>
          <cell r="F287">
            <v>35</v>
          </cell>
          <cell r="G287">
            <v>14.1</v>
          </cell>
        </row>
        <row r="287">
          <cell r="J287">
            <v>0.01939455</v>
          </cell>
        </row>
        <row r="288">
          <cell r="A288">
            <v>46133</v>
          </cell>
        </row>
        <row r="288">
          <cell r="C288" t="str">
            <v>小美人鱼系列</v>
          </cell>
          <cell r="D288">
            <v>2</v>
          </cell>
          <cell r="E288">
            <v>40.01</v>
          </cell>
          <cell r="F288">
            <v>26.67</v>
          </cell>
          <cell r="G288">
            <v>20.96</v>
          </cell>
        </row>
        <row r="288">
          <cell r="J288">
            <v>0.022365718032</v>
          </cell>
        </row>
        <row r="289">
          <cell r="A289">
            <v>46099</v>
          </cell>
        </row>
        <row r="289">
          <cell r="C289" t="str">
            <v>米奇老鼠系列</v>
          </cell>
          <cell r="D289">
            <v>2</v>
          </cell>
          <cell r="E289">
            <v>40.01</v>
          </cell>
          <cell r="F289">
            <v>26.67</v>
          </cell>
          <cell r="G289">
            <v>20.96</v>
          </cell>
        </row>
        <row r="289">
          <cell r="J289">
            <v>0.022365718032</v>
          </cell>
        </row>
        <row r="290">
          <cell r="A290" t="str">
            <v>33475（48）</v>
          </cell>
          <cell r="B290" t="str">
            <v>48个装纸箱</v>
          </cell>
          <cell r="C290" t="str">
            <v>搪胶小鸭</v>
          </cell>
          <cell r="D290">
            <v>48</v>
          </cell>
          <cell r="E290">
            <v>34.925</v>
          </cell>
          <cell r="F290">
            <v>22.225</v>
          </cell>
          <cell r="G290">
            <v>19.05</v>
          </cell>
        </row>
        <row r="290">
          <cell r="J290">
            <v>0.01478676478125</v>
          </cell>
        </row>
        <row r="291">
          <cell r="A291" t="str">
            <v>33490（48）</v>
          </cell>
          <cell r="B291" t="str">
            <v>48个装纸箱</v>
          </cell>
          <cell r="C291" t="str">
            <v>搪胶小鸭</v>
          </cell>
          <cell r="D291">
            <v>48</v>
          </cell>
          <cell r="E291">
            <v>34.925</v>
          </cell>
          <cell r="F291">
            <v>22.225</v>
          </cell>
          <cell r="G291">
            <v>19.05</v>
          </cell>
        </row>
        <row r="291">
          <cell r="J291">
            <v>0.01478676478125</v>
          </cell>
        </row>
        <row r="292">
          <cell r="A292" t="str">
            <v>33658（8）</v>
          </cell>
          <cell r="B292" t="str">
            <v>8个装纸箱</v>
          </cell>
          <cell r="C292" t="str">
            <v>我爱纽约组合小鸭</v>
          </cell>
          <cell r="D292">
            <v>8</v>
          </cell>
          <cell r="E292">
            <v>33</v>
          </cell>
          <cell r="F292">
            <v>16.7</v>
          </cell>
          <cell r="G292">
            <v>14.3</v>
          </cell>
        </row>
        <row r="292">
          <cell r="J292">
            <v>0.00788073</v>
          </cell>
        </row>
        <row r="293">
          <cell r="A293" t="str">
            <v>33708（8）</v>
          </cell>
          <cell r="B293" t="str">
            <v>8个装纸箱</v>
          </cell>
          <cell r="C293" t="str">
            <v>搪胶小鸭</v>
          </cell>
          <cell r="D293">
            <v>8</v>
          </cell>
          <cell r="E293">
            <v>33</v>
          </cell>
          <cell r="F293">
            <v>16.7</v>
          </cell>
          <cell r="G293">
            <v>14.3</v>
          </cell>
        </row>
        <row r="293">
          <cell r="J293">
            <v>0.00788073</v>
          </cell>
        </row>
        <row r="294">
          <cell r="A294">
            <v>33429</v>
          </cell>
        </row>
        <row r="294">
          <cell r="C294" t="str">
            <v>搪胶小鸭</v>
          </cell>
        </row>
        <row r="295">
          <cell r="A295">
            <v>33477</v>
          </cell>
        </row>
        <row r="295">
          <cell r="C295" t="str">
            <v>搪小鸭外星史迪仔</v>
          </cell>
        </row>
        <row r="296">
          <cell r="A296">
            <v>33476</v>
          </cell>
        </row>
        <row r="296">
          <cell r="C296" t="str">
            <v>搪小鸭天使</v>
          </cell>
        </row>
        <row r="297">
          <cell r="A297">
            <v>46462</v>
          </cell>
          <cell r="B297" t="str">
            <v>纸箱（2个装）</v>
          </cell>
          <cell r="C297" t="str">
            <v>史迪仔系列</v>
          </cell>
          <cell r="D297">
            <v>2</v>
          </cell>
          <cell r="E297">
            <v>40.01</v>
          </cell>
          <cell r="F297">
            <v>26.67</v>
          </cell>
          <cell r="G297">
            <v>20.96</v>
          </cell>
        </row>
        <row r="297">
          <cell r="J297">
            <v>0.022365718032</v>
          </cell>
        </row>
        <row r="298">
          <cell r="A298">
            <v>46496</v>
          </cell>
          <cell r="B298" t="str">
            <v>纸箱（2个装）</v>
          </cell>
          <cell r="C298" t="str">
            <v>米妮系列</v>
          </cell>
          <cell r="D298">
            <v>2</v>
          </cell>
          <cell r="E298">
            <v>40.01</v>
          </cell>
          <cell r="F298">
            <v>26.67</v>
          </cell>
          <cell r="G298">
            <v>20.96</v>
          </cell>
        </row>
        <row r="298">
          <cell r="J298">
            <v>0.022365718032</v>
          </cell>
        </row>
        <row r="299">
          <cell r="A299">
            <v>571412</v>
          </cell>
        </row>
        <row r="299">
          <cell r="C299" t="str">
            <v> 金属货车（黄色）</v>
          </cell>
          <cell r="D299">
            <v>2</v>
          </cell>
          <cell r="E299">
            <v>41</v>
          </cell>
          <cell r="F299">
            <v>38</v>
          </cell>
          <cell r="G299">
            <v>24</v>
          </cell>
        </row>
        <row r="299">
          <cell r="J299">
            <v>0.037392</v>
          </cell>
        </row>
        <row r="300">
          <cell r="A300">
            <v>571388</v>
          </cell>
        </row>
        <row r="300">
          <cell r="C300" t="str">
            <v>翰迪尔娃娃（咖色头发）</v>
          </cell>
          <cell r="D300">
            <v>4</v>
          </cell>
          <cell r="E300">
            <v>27.94</v>
          </cell>
          <cell r="F300">
            <v>16.51</v>
          </cell>
          <cell r="G300">
            <v>33</v>
          </cell>
        </row>
        <row r="300">
          <cell r="J300">
            <v>0.0152225502</v>
          </cell>
        </row>
        <row r="301">
          <cell r="A301">
            <v>33610</v>
          </cell>
        </row>
        <row r="301">
          <cell r="C301" t="str">
            <v>搪果鸭</v>
          </cell>
          <cell r="D301">
            <v>12</v>
          </cell>
          <cell r="E301">
            <v>22.7</v>
          </cell>
          <cell r="F301">
            <v>18.2</v>
          </cell>
          <cell r="G301">
            <v>11.1</v>
          </cell>
        </row>
        <row r="301">
          <cell r="J301">
            <v>0.004585854</v>
          </cell>
        </row>
        <row r="302">
          <cell r="A302">
            <v>33813</v>
          </cell>
        </row>
        <row r="302">
          <cell r="C302" t="str">
            <v>搪胶小鸭</v>
          </cell>
          <cell r="D302">
            <v>84</v>
          </cell>
          <cell r="E302">
            <v>29.6</v>
          </cell>
          <cell r="F302">
            <v>21.1</v>
          </cell>
          <cell r="G302">
            <v>30.4</v>
          </cell>
        </row>
        <row r="302">
          <cell r="J302">
            <v>0.018986624</v>
          </cell>
        </row>
        <row r="303">
          <cell r="A303">
            <v>33812</v>
          </cell>
        </row>
        <row r="303">
          <cell r="C303" t="str">
            <v>搪胶小鸭</v>
          </cell>
          <cell r="D303">
            <v>60</v>
          </cell>
          <cell r="E303">
            <v>32.2</v>
          </cell>
          <cell r="F303">
            <v>26.4</v>
          </cell>
          <cell r="G303">
            <v>17.9</v>
          </cell>
        </row>
        <row r="303">
          <cell r="J303">
            <v>0.015216432</v>
          </cell>
        </row>
        <row r="304">
          <cell r="A304">
            <v>33807</v>
          </cell>
        </row>
        <row r="304">
          <cell r="C304" t="str">
            <v>搪胶小鸭</v>
          </cell>
          <cell r="D304">
            <v>96</v>
          </cell>
          <cell r="E304">
            <v>32.5</v>
          </cell>
          <cell r="F304">
            <v>20.7</v>
          </cell>
          <cell r="G304">
            <v>33</v>
          </cell>
        </row>
        <row r="304">
          <cell r="J304">
            <v>0.02220075</v>
          </cell>
        </row>
        <row r="305">
          <cell r="A305">
            <v>33808</v>
          </cell>
        </row>
        <row r="305">
          <cell r="C305" t="str">
            <v>搪胶小鸭</v>
          </cell>
          <cell r="D305">
            <v>96</v>
          </cell>
          <cell r="E305">
            <v>32.5</v>
          </cell>
          <cell r="F305">
            <v>20.7</v>
          </cell>
          <cell r="G305">
            <v>33</v>
          </cell>
        </row>
        <row r="305">
          <cell r="J305">
            <v>0.02220075</v>
          </cell>
        </row>
        <row r="306">
          <cell r="A306">
            <v>46462</v>
          </cell>
        </row>
        <row r="306">
          <cell r="C306" t="str">
            <v>史迪仔系列</v>
          </cell>
          <cell r="D306">
            <v>2</v>
          </cell>
          <cell r="E306">
            <v>40.01</v>
          </cell>
          <cell r="F306">
            <v>26.67</v>
          </cell>
          <cell r="G306">
            <v>20.96</v>
          </cell>
        </row>
        <row r="306">
          <cell r="J306">
            <v>0.022365718032</v>
          </cell>
        </row>
        <row r="307">
          <cell r="A307">
            <v>46911</v>
          </cell>
        </row>
        <row r="307">
          <cell r="C307" t="str">
            <v> 蜘蛛侠系列</v>
          </cell>
          <cell r="D307">
            <v>2</v>
          </cell>
          <cell r="E307">
            <v>40.01</v>
          </cell>
          <cell r="F307">
            <v>26.67</v>
          </cell>
          <cell r="G307">
            <v>20.96</v>
          </cell>
        </row>
        <row r="307">
          <cell r="J307">
            <v>0.022365718032</v>
          </cell>
        </row>
        <row r="308">
          <cell r="A308">
            <v>46857</v>
          </cell>
        </row>
        <row r="308">
          <cell r="C308" t="str">
            <v>33477外星史迪仔</v>
          </cell>
        </row>
        <row r="309">
          <cell r="A309">
            <v>46886</v>
          </cell>
        </row>
        <row r="309">
          <cell r="C309" t="str">
            <v>33477外星史迪仔</v>
          </cell>
        </row>
        <row r="310">
          <cell r="A310">
            <v>46897</v>
          </cell>
        </row>
        <row r="310">
          <cell r="C310" t="str">
            <v>33476天使</v>
          </cell>
        </row>
        <row r="311">
          <cell r="A311" t="str">
            <v>46913-1</v>
          </cell>
        </row>
        <row r="311">
          <cell r="C311" t="str">
            <v>33476天使</v>
          </cell>
        </row>
        <row r="312">
          <cell r="A312" t="str">
            <v>46913-2</v>
          </cell>
        </row>
        <row r="312">
          <cell r="C312" t="str">
            <v>33416史迪仔</v>
          </cell>
        </row>
        <row r="313">
          <cell r="A313">
            <v>46862</v>
          </cell>
        </row>
        <row r="313">
          <cell r="C313" t="str">
            <v>荧光杰克</v>
          </cell>
        </row>
        <row r="314">
          <cell r="A314">
            <v>46094</v>
          </cell>
        </row>
        <row r="314">
          <cell r="C314" t="str">
            <v>漫威系列</v>
          </cell>
          <cell r="D314">
            <v>2</v>
          </cell>
          <cell r="E314">
            <v>40.01</v>
          </cell>
          <cell r="F314">
            <v>26.67</v>
          </cell>
          <cell r="G314">
            <v>20.96</v>
          </cell>
        </row>
        <row r="314">
          <cell r="J314">
            <v>0.022365718032</v>
          </cell>
        </row>
        <row r="315">
          <cell r="A315">
            <v>33776</v>
          </cell>
        </row>
        <row r="315">
          <cell r="C315" t="str">
            <v>搪胶小鸭子系列</v>
          </cell>
          <cell r="D315">
            <v>96</v>
          </cell>
          <cell r="E315">
            <v>54.95</v>
          </cell>
          <cell r="F315">
            <v>34.95</v>
          </cell>
          <cell r="G315">
            <v>42.9</v>
          </cell>
        </row>
        <row r="315">
          <cell r="J315">
            <v>0.08238955725</v>
          </cell>
        </row>
        <row r="316">
          <cell r="A316">
            <v>671509</v>
          </cell>
        </row>
        <row r="316">
          <cell r="C316" t="str">
            <v>绿色铁皮勾车</v>
          </cell>
          <cell r="D316">
            <v>2</v>
          </cell>
          <cell r="E316">
            <v>40.32</v>
          </cell>
          <cell r="F316">
            <v>37.47</v>
          </cell>
          <cell r="G316">
            <v>23.81</v>
          </cell>
        </row>
        <row r="316">
          <cell r="J316">
            <v>0.035971919424</v>
          </cell>
        </row>
        <row r="317">
          <cell r="A317">
            <v>33416</v>
          </cell>
        </row>
        <row r="317">
          <cell r="C317" t="str">
            <v>史迪仔</v>
          </cell>
          <cell r="D317">
            <v>1</v>
          </cell>
        </row>
        <row r="318">
          <cell r="A318" t="str">
            <v>33865（36）</v>
          </cell>
        </row>
        <row r="318">
          <cell r="C318" t="str">
            <v>搪胶小鸭子系列</v>
          </cell>
          <cell r="D318">
            <v>36</v>
          </cell>
          <cell r="E318">
            <v>32.1</v>
          </cell>
          <cell r="F318">
            <v>17.3</v>
          </cell>
          <cell r="G318">
            <v>18.5</v>
          </cell>
        </row>
        <row r="318">
          <cell r="J318">
            <v>0.010273605</v>
          </cell>
        </row>
        <row r="319">
          <cell r="A319" t="str">
            <v>33782（48）</v>
          </cell>
        </row>
        <row r="319">
          <cell r="C319" t="str">
            <v>搪胶小鸭子系列</v>
          </cell>
          <cell r="D319">
            <v>48</v>
          </cell>
          <cell r="E319">
            <v>37.15</v>
          </cell>
          <cell r="F319">
            <v>33</v>
          </cell>
          <cell r="G319">
            <v>33.34</v>
          </cell>
        </row>
        <row r="319">
          <cell r="J319">
            <v>0.040873173</v>
          </cell>
        </row>
        <row r="320">
          <cell r="A320">
            <v>46440</v>
          </cell>
        </row>
        <row r="320">
          <cell r="C320" t="str">
            <v>混装桶</v>
          </cell>
          <cell r="D320">
            <v>6</v>
          </cell>
          <cell r="E320">
            <v>41.3</v>
          </cell>
          <cell r="F320">
            <v>29.2</v>
          </cell>
          <cell r="G320">
            <v>65</v>
          </cell>
        </row>
        <row r="320">
          <cell r="J320">
            <v>0.0783874</v>
          </cell>
        </row>
        <row r="321">
          <cell r="A321" t="str">
            <v>470026-2L</v>
          </cell>
        </row>
        <row r="321">
          <cell r="C321" t="str">
            <v>（470725/320630）混装</v>
          </cell>
          <cell r="D321">
            <v>4</v>
          </cell>
          <cell r="E321">
            <v>25</v>
          </cell>
          <cell r="F321">
            <v>20.5</v>
          </cell>
          <cell r="G321">
            <v>20</v>
          </cell>
        </row>
        <row r="321">
          <cell r="J321">
            <v>0.01025</v>
          </cell>
        </row>
        <row r="322">
          <cell r="A322">
            <v>261731</v>
          </cell>
        </row>
        <row r="322">
          <cell r="C322" t="str">
            <v>酷乐</v>
          </cell>
          <cell r="D322">
            <v>10</v>
          </cell>
          <cell r="E322">
            <v>52.705</v>
          </cell>
          <cell r="F322">
            <v>41.275</v>
          </cell>
          <cell r="G322">
            <v>36.195</v>
          </cell>
        </row>
        <row r="322">
          <cell r="J322">
            <v>0.078738562280625</v>
          </cell>
        </row>
        <row r="323">
          <cell r="A323">
            <v>261732</v>
          </cell>
        </row>
        <row r="323">
          <cell r="C323" t="str">
            <v>欧诺</v>
          </cell>
          <cell r="D323">
            <v>10</v>
          </cell>
          <cell r="E323">
            <v>52.705</v>
          </cell>
          <cell r="F323">
            <v>41.275</v>
          </cell>
          <cell r="G323">
            <v>36.195</v>
          </cell>
        </row>
        <row r="323">
          <cell r="J323">
            <v>0.078738562280625</v>
          </cell>
        </row>
        <row r="324">
          <cell r="A324">
            <v>261733</v>
          </cell>
        </row>
        <row r="324">
          <cell r="C324" t="str">
            <v>安吉拉</v>
          </cell>
          <cell r="D324">
            <v>10</v>
          </cell>
          <cell r="E324">
            <v>52.705</v>
          </cell>
          <cell r="F324">
            <v>41.275</v>
          </cell>
          <cell r="G324">
            <v>36.195</v>
          </cell>
        </row>
        <row r="324">
          <cell r="J324">
            <v>0.078738562280625</v>
          </cell>
        </row>
        <row r="325">
          <cell r="A325">
            <v>261734</v>
          </cell>
        </row>
        <row r="325">
          <cell r="C325" t="str">
            <v>麦迪</v>
          </cell>
          <cell r="D325">
            <v>10</v>
          </cell>
          <cell r="E325">
            <v>52.705</v>
          </cell>
          <cell r="F325">
            <v>41.275</v>
          </cell>
          <cell r="G325">
            <v>36.195</v>
          </cell>
        </row>
        <row r="325">
          <cell r="J325">
            <v>0.078738562280625</v>
          </cell>
        </row>
        <row r="326">
          <cell r="A326">
            <v>261735</v>
          </cell>
        </row>
        <row r="326">
          <cell r="C326" t="str">
            <v>恩妮</v>
          </cell>
          <cell r="D326">
            <v>10</v>
          </cell>
          <cell r="E326">
            <v>52.705</v>
          </cell>
          <cell r="F326">
            <v>41.275</v>
          </cell>
          <cell r="G326">
            <v>36.195</v>
          </cell>
        </row>
        <row r="326">
          <cell r="J326">
            <v>0.078738562280625</v>
          </cell>
        </row>
        <row r="327">
          <cell r="A327">
            <v>261736</v>
          </cell>
        </row>
        <row r="327">
          <cell r="C327" t="str">
            <v>滨妮</v>
          </cell>
          <cell r="D327">
            <v>10</v>
          </cell>
          <cell r="E327">
            <v>52.705</v>
          </cell>
          <cell r="F327">
            <v>41.275</v>
          </cell>
          <cell r="G327">
            <v>36.195</v>
          </cell>
        </row>
        <row r="327">
          <cell r="J327">
            <v>0.078738562280625</v>
          </cell>
        </row>
        <row r="328">
          <cell r="A328">
            <v>261737</v>
          </cell>
        </row>
        <row r="328">
          <cell r="C328" t="str">
            <v>克拉</v>
          </cell>
          <cell r="D328">
            <v>10</v>
          </cell>
          <cell r="E328">
            <v>52.705</v>
          </cell>
          <cell r="F328">
            <v>41.275</v>
          </cell>
          <cell r="G328">
            <v>36.195</v>
          </cell>
        </row>
        <row r="328">
          <cell r="J328">
            <v>0.078738562280625</v>
          </cell>
        </row>
        <row r="329">
          <cell r="A329">
            <v>261740</v>
          </cell>
        </row>
        <row r="329">
          <cell r="C329" t="str">
            <v>安然</v>
          </cell>
          <cell r="D329">
            <v>10</v>
          </cell>
          <cell r="E329">
            <v>52.705</v>
          </cell>
          <cell r="F329">
            <v>41.275</v>
          </cell>
          <cell r="G329">
            <v>36.195</v>
          </cell>
        </row>
        <row r="329">
          <cell r="J329">
            <v>0.078738562280625</v>
          </cell>
        </row>
        <row r="330">
          <cell r="A330">
            <v>261741</v>
          </cell>
        </row>
        <row r="330">
          <cell r="C330" t="str">
            <v>欧曼</v>
          </cell>
          <cell r="D330">
            <v>10</v>
          </cell>
          <cell r="E330">
            <v>52.705</v>
          </cell>
          <cell r="F330">
            <v>41.275</v>
          </cell>
          <cell r="G330">
            <v>36.195</v>
          </cell>
        </row>
        <row r="330">
          <cell r="J330">
            <v>0.078738562280625</v>
          </cell>
        </row>
        <row r="331">
          <cell r="A331">
            <v>261742</v>
          </cell>
        </row>
        <row r="331">
          <cell r="C331" t="str">
            <v>吉娜</v>
          </cell>
          <cell r="D331">
            <v>10</v>
          </cell>
          <cell r="E331">
            <v>52.705</v>
          </cell>
          <cell r="F331">
            <v>41.275</v>
          </cell>
          <cell r="G331">
            <v>36.195</v>
          </cell>
        </row>
        <row r="331">
          <cell r="J331">
            <v>0.078738562280625</v>
          </cell>
        </row>
        <row r="332">
          <cell r="A332">
            <v>261743</v>
          </cell>
        </row>
        <row r="332">
          <cell r="C332" t="str">
            <v>妮塔</v>
          </cell>
          <cell r="D332">
            <v>10</v>
          </cell>
          <cell r="E332">
            <v>52.705</v>
          </cell>
          <cell r="F332">
            <v>41.275</v>
          </cell>
          <cell r="G332">
            <v>36.195</v>
          </cell>
        </row>
        <row r="332">
          <cell r="J332">
            <v>0.078738562280625</v>
          </cell>
        </row>
        <row r="333">
          <cell r="A333">
            <v>261744</v>
          </cell>
        </row>
        <row r="333">
          <cell r="C333" t="str">
            <v>恩诺</v>
          </cell>
          <cell r="D333">
            <v>10</v>
          </cell>
          <cell r="E333">
            <v>52.705</v>
          </cell>
          <cell r="F333">
            <v>41.275</v>
          </cell>
          <cell r="G333">
            <v>36.195</v>
          </cell>
        </row>
        <row r="333">
          <cell r="J333">
            <v>0.078738562280625</v>
          </cell>
        </row>
        <row r="334">
          <cell r="A334">
            <v>261745</v>
          </cell>
        </row>
        <row r="334">
          <cell r="C334" t="str">
            <v>酷咪</v>
          </cell>
          <cell r="D334">
            <v>10</v>
          </cell>
          <cell r="E334">
            <v>52.705</v>
          </cell>
          <cell r="F334">
            <v>41.275</v>
          </cell>
          <cell r="G334">
            <v>36.195</v>
          </cell>
        </row>
        <row r="334">
          <cell r="J334">
            <v>0.078738562280625</v>
          </cell>
        </row>
        <row r="335">
          <cell r="A335">
            <v>261746</v>
          </cell>
        </row>
        <row r="335">
          <cell r="C335" t="str">
            <v>酷拉</v>
          </cell>
          <cell r="D335">
            <v>10</v>
          </cell>
          <cell r="E335">
            <v>52.705</v>
          </cell>
          <cell r="F335">
            <v>41.275</v>
          </cell>
          <cell r="G335">
            <v>36.195</v>
          </cell>
        </row>
        <row r="335">
          <cell r="J335">
            <v>0.078738562280625</v>
          </cell>
        </row>
        <row r="336">
          <cell r="A336">
            <v>262791</v>
          </cell>
        </row>
        <row r="336">
          <cell r="C336" t="str">
            <v>云朵</v>
          </cell>
          <cell r="D336">
            <v>20</v>
          </cell>
          <cell r="E336">
            <v>33.655</v>
          </cell>
          <cell r="F336">
            <v>30.48</v>
          </cell>
          <cell r="G336">
            <v>29.845</v>
          </cell>
        </row>
        <row r="336">
          <cell r="J336">
            <v>0.030615132318</v>
          </cell>
        </row>
        <row r="337">
          <cell r="A337">
            <v>262792</v>
          </cell>
        </row>
        <row r="337">
          <cell r="C337" t="str">
            <v>苹果</v>
          </cell>
          <cell r="D337">
            <v>20</v>
          </cell>
          <cell r="E337">
            <v>33.655</v>
          </cell>
          <cell r="F337">
            <v>30.48</v>
          </cell>
          <cell r="G337">
            <v>29.845</v>
          </cell>
        </row>
        <row r="337">
          <cell r="J337">
            <v>0.030615132318</v>
          </cell>
        </row>
        <row r="338">
          <cell r="A338">
            <v>262793</v>
          </cell>
        </row>
        <row r="338">
          <cell r="C338" t="str">
            <v>爱心</v>
          </cell>
          <cell r="D338">
            <v>20</v>
          </cell>
          <cell r="E338">
            <v>33.655</v>
          </cell>
          <cell r="F338">
            <v>30.48</v>
          </cell>
          <cell r="G338">
            <v>29.845</v>
          </cell>
        </row>
        <row r="338">
          <cell r="J338">
            <v>0.030615132318</v>
          </cell>
        </row>
        <row r="339">
          <cell r="A339">
            <v>262794</v>
          </cell>
        </row>
        <row r="339">
          <cell r="C339" t="str">
            <v>樱花粉</v>
          </cell>
          <cell r="D339">
            <v>20</v>
          </cell>
          <cell r="E339">
            <v>33.655</v>
          </cell>
          <cell r="F339">
            <v>30.48</v>
          </cell>
          <cell r="G339">
            <v>29.845</v>
          </cell>
        </row>
        <row r="339">
          <cell r="J339">
            <v>0.030615132318</v>
          </cell>
        </row>
        <row r="340">
          <cell r="A340">
            <v>262795</v>
          </cell>
        </row>
        <row r="340">
          <cell r="C340" t="str">
            <v>芋泥紫</v>
          </cell>
          <cell r="D340">
            <v>20</v>
          </cell>
          <cell r="E340">
            <v>67.31</v>
          </cell>
          <cell r="F340">
            <v>31.115</v>
          </cell>
          <cell r="G340">
            <v>31.115</v>
          </cell>
        </row>
        <row r="340">
          <cell r="J340">
            <v>0.06516572047475</v>
          </cell>
        </row>
        <row r="341">
          <cell r="A341">
            <v>262796</v>
          </cell>
        </row>
        <row r="341">
          <cell r="C341" t="str">
            <v>薄荷绿</v>
          </cell>
          <cell r="D341">
            <v>20</v>
          </cell>
          <cell r="E341">
            <v>67.31</v>
          </cell>
          <cell r="F341">
            <v>31.115</v>
          </cell>
          <cell r="G341">
            <v>31.115</v>
          </cell>
        </row>
        <row r="341">
          <cell r="J341">
            <v>0.06516572047475</v>
          </cell>
        </row>
        <row r="342">
          <cell r="A342">
            <v>262797</v>
          </cell>
        </row>
        <row r="342">
          <cell r="C342" t="str">
            <v>芒果黄</v>
          </cell>
          <cell r="D342">
            <v>20</v>
          </cell>
          <cell r="E342">
            <v>67.31</v>
          </cell>
          <cell r="F342">
            <v>31.115</v>
          </cell>
          <cell r="G342">
            <v>31.115</v>
          </cell>
        </row>
        <row r="342">
          <cell r="J342">
            <v>0.06516572047475</v>
          </cell>
        </row>
        <row r="343">
          <cell r="A343">
            <v>268011</v>
          </cell>
        </row>
        <row r="343">
          <cell r="C343" t="str">
            <v>15"咖咖</v>
          </cell>
          <cell r="D343">
            <v>4</v>
          </cell>
          <cell r="E343">
            <v>53.34</v>
          </cell>
          <cell r="F343">
            <v>33.655</v>
          </cell>
          <cell r="G343">
            <v>34.925</v>
          </cell>
        </row>
        <row r="343">
          <cell r="J343">
            <v>0.0626958826725</v>
          </cell>
        </row>
        <row r="344">
          <cell r="A344">
            <v>268012</v>
          </cell>
        </row>
        <row r="344">
          <cell r="C344" t="str">
            <v>15"莓紫</v>
          </cell>
          <cell r="D344">
            <v>4</v>
          </cell>
          <cell r="E344">
            <v>53.34</v>
          </cell>
          <cell r="F344">
            <v>33.655</v>
          </cell>
          <cell r="G344">
            <v>34.925</v>
          </cell>
        </row>
        <row r="344">
          <cell r="J344">
            <v>0.0626958826725</v>
          </cell>
        </row>
        <row r="345">
          <cell r="A345">
            <v>264721</v>
          </cell>
        </row>
        <row r="345">
          <cell r="C345" t="str">
            <v>13.5"黄色大眼</v>
          </cell>
          <cell r="D345">
            <v>8</v>
          </cell>
          <cell r="E345">
            <v>49.53</v>
          </cell>
          <cell r="F345">
            <v>38.735</v>
          </cell>
          <cell r="G345">
            <v>30.48</v>
          </cell>
        </row>
        <row r="345">
          <cell r="J345">
            <v>0.058477237884</v>
          </cell>
        </row>
        <row r="346">
          <cell r="A346">
            <v>264722</v>
          </cell>
        </row>
        <row r="346">
          <cell r="C346" t="str">
            <v>13.5"粉色妞妞</v>
          </cell>
          <cell r="D346">
            <v>8</v>
          </cell>
          <cell r="E346">
            <v>49.53</v>
          </cell>
          <cell r="F346">
            <v>38.735</v>
          </cell>
          <cell r="G346">
            <v>30.48</v>
          </cell>
        </row>
        <row r="346">
          <cell r="J346">
            <v>0.058477237884</v>
          </cell>
        </row>
        <row r="347">
          <cell r="A347">
            <v>260781</v>
          </cell>
        </row>
        <row r="347">
          <cell r="C347" t="str">
            <v>绿紫金家族</v>
          </cell>
          <cell r="D347">
            <v>20</v>
          </cell>
          <cell r="E347">
            <v>34.925</v>
          </cell>
          <cell r="F347">
            <v>32.385</v>
          </cell>
          <cell r="G347">
            <v>32.385</v>
          </cell>
        </row>
        <row r="347">
          <cell r="J347">
            <v>0.036628928758125</v>
          </cell>
        </row>
        <row r="348">
          <cell r="A348">
            <v>260782</v>
          </cell>
        </row>
        <row r="348">
          <cell r="C348" t="str">
            <v>红黄肤家族</v>
          </cell>
          <cell r="D348">
            <v>20</v>
          </cell>
          <cell r="E348">
            <v>34.925</v>
          </cell>
          <cell r="F348">
            <v>32.385</v>
          </cell>
          <cell r="G348">
            <v>32.385</v>
          </cell>
        </row>
        <row r="348">
          <cell r="J348">
            <v>0.036628928758125</v>
          </cell>
        </row>
        <row r="349">
          <cell r="A349">
            <v>260783</v>
          </cell>
        </row>
        <row r="349">
          <cell r="C349" t="str">
            <v>绿紫肤家族</v>
          </cell>
          <cell r="D349">
            <v>20</v>
          </cell>
          <cell r="E349">
            <v>34.925</v>
          </cell>
          <cell r="F349">
            <v>32.385</v>
          </cell>
          <cell r="G349">
            <v>32.385</v>
          </cell>
        </row>
        <row r="349">
          <cell r="J349">
            <v>0.036628928758125</v>
          </cell>
        </row>
        <row r="350">
          <cell r="A350">
            <v>260784</v>
          </cell>
        </row>
        <row r="350">
          <cell r="C350" t="str">
            <v>斑点狗狗</v>
          </cell>
          <cell r="D350">
            <v>20</v>
          </cell>
          <cell r="E350">
            <v>34.925</v>
          </cell>
          <cell r="F350">
            <v>32.385</v>
          </cell>
          <cell r="G350">
            <v>32.385</v>
          </cell>
        </row>
        <row r="350">
          <cell r="J350">
            <v>0.036628928758125</v>
          </cell>
        </row>
        <row r="351">
          <cell r="A351">
            <v>268041</v>
          </cell>
        </row>
        <row r="351">
          <cell r="C351" t="str">
            <v>芭提</v>
          </cell>
          <cell r="D351">
            <v>10</v>
          </cell>
          <cell r="E351">
            <v>55.88</v>
          </cell>
          <cell r="F351">
            <v>22.86</v>
          </cell>
          <cell r="G351">
            <v>23.495</v>
          </cell>
        </row>
        <row r="351">
          <cell r="J351">
            <v>0.030012907716</v>
          </cell>
        </row>
        <row r="352">
          <cell r="A352">
            <v>268042</v>
          </cell>
        </row>
        <row r="352">
          <cell r="C352" t="str">
            <v>芭蕉</v>
          </cell>
          <cell r="D352">
            <v>10</v>
          </cell>
          <cell r="E352">
            <v>55.88</v>
          </cell>
          <cell r="F352">
            <v>22.86</v>
          </cell>
          <cell r="G352">
            <v>23.495</v>
          </cell>
        </row>
        <row r="352">
          <cell r="J352">
            <v>0.030012907716</v>
          </cell>
        </row>
        <row r="353">
          <cell r="A353">
            <v>268043</v>
          </cell>
        </row>
        <row r="353">
          <cell r="C353" t="str">
            <v>芭蒂</v>
          </cell>
          <cell r="D353">
            <v>10</v>
          </cell>
          <cell r="E353">
            <v>55.88</v>
          </cell>
          <cell r="F353">
            <v>22.86</v>
          </cell>
          <cell r="G353">
            <v>23.495</v>
          </cell>
        </row>
        <row r="353">
          <cell r="J353">
            <v>0.030012907716</v>
          </cell>
        </row>
        <row r="354">
          <cell r="A354">
            <v>268044</v>
          </cell>
        </row>
        <row r="354">
          <cell r="C354" t="str">
            <v>芭乐</v>
          </cell>
          <cell r="D354">
            <v>10</v>
          </cell>
          <cell r="E354">
            <v>55.88</v>
          </cell>
          <cell r="F354">
            <v>22.86</v>
          </cell>
          <cell r="G354">
            <v>23.495</v>
          </cell>
        </row>
        <row r="354">
          <cell r="J354">
            <v>0.030012907716</v>
          </cell>
        </row>
        <row r="355">
          <cell r="A355">
            <v>268045</v>
          </cell>
        </row>
        <row r="355">
          <cell r="C355" t="str">
            <v>芭布</v>
          </cell>
          <cell r="D355">
            <v>10</v>
          </cell>
          <cell r="E355">
            <v>55.88</v>
          </cell>
          <cell r="F355">
            <v>22.86</v>
          </cell>
          <cell r="G355">
            <v>23.495</v>
          </cell>
        </row>
        <row r="355">
          <cell r="J355">
            <v>0.030012907716</v>
          </cell>
        </row>
        <row r="356">
          <cell r="A356">
            <v>260771</v>
          </cell>
        </row>
        <row r="356">
          <cell r="C356" t="str">
            <v>小花</v>
          </cell>
          <cell r="D356">
            <v>20</v>
          </cell>
          <cell r="E356">
            <v>40.005</v>
          </cell>
          <cell r="F356">
            <v>26.67</v>
          </cell>
          <cell r="G356">
            <v>20.955</v>
          </cell>
        </row>
        <row r="356">
          <cell r="J356">
            <v>0.02235758834925</v>
          </cell>
        </row>
        <row r="357">
          <cell r="A357">
            <v>260772</v>
          </cell>
        </row>
        <row r="357">
          <cell r="C357" t="str">
            <v>小白</v>
          </cell>
          <cell r="D357">
            <v>20</v>
          </cell>
          <cell r="E357">
            <v>40.005</v>
          </cell>
          <cell r="F357">
            <v>26.67</v>
          </cell>
          <cell r="G357">
            <v>20.955</v>
          </cell>
        </row>
        <row r="357">
          <cell r="J357">
            <v>0.02235758834925</v>
          </cell>
        </row>
        <row r="358">
          <cell r="A358">
            <v>260773</v>
          </cell>
        </row>
        <row r="358">
          <cell r="C358" t="str">
            <v>小紫</v>
          </cell>
          <cell r="D358">
            <v>20</v>
          </cell>
          <cell r="E358">
            <v>40.005</v>
          </cell>
          <cell r="F358">
            <v>26.67</v>
          </cell>
          <cell r="G358">
            <v>20.955</v>
          </cell>
        </row>
        <row r="358">
          <cell r="J358">
            <v>0.02235758834925</v>
          </cell>
        </row>
        <row r="359">
          <cell r="A359">
            <v>260774</v>
          </cell>
        </row>
        <row r="359">
          <cell r="C359" t="str">
            <v>小兰</v>
          </cell>
          <cell r="D359">
            <v>20</v>
          </cell>
          <cell r="E359">
            <v>40.005</v>
          </cell>
          <cell r="F359">
            <v>26.67</v>
          </cell>
          <cell r="G359">
            <v>20.955</v>
          </cell>
        </row>
        <row r="359">
          <cell r="J359">
            <v>0.02235758834925</v>
          </cell>
        </row>
        <row r="360">
          <cell r="A360">
            <v>260775</v>
          </cell>
        </row>
        <row r="360">
          <cell r="C360" t="str">
            <v>小红</v>
          </cell>
          <cell r="D360">
            <v>20</v>
          </cell>
          <cell r="E360">
            <v>40.005</v>
          </cell>
          <cell r="F360">
            <v>26.67</v>
          </cell>
          <cell r="G360">
            <v>20.955</v>
          </cell>
        </row>
        <row r="360">
          <cell r="J360">
            <v>0.02235758834925</v>
          </cell>
        </row>
        <row r="361">
          <cell r="A361">
            <v>260776</v>
          </cell>
        </row>
        <row r="361">
          <cell r="C361" t="str">
            <v>小灰</v>
          </cell>
          <cell r="D361">
            <v>20</v>
          </cell>
          <cell r="E361">
            <v>40.005</v>
          </cell>
          <cell r="F361">
            <v>26.67</v>
          </cell>
          <cell r="G361">
            <v>20.955</v>
          </cell>
        </row>
        <row r="361">
          <cell r="J361">
            <v>0.02235758834925</v>
          </cell>
        </row>
        <row r="362">
          <cell r="A362">
            <v>260777</v>
          </cell>
        </row>
        <row r="362">
          <cell r="C362" t="str">
            <v>小咖</v>
          </cell>
          <cell r="D362">
            <v>20</v>
          </cell>
          <cell r="E362">
            <v>40.005</v>
          </cell>
          <cell r="F362">
            <v>26.67</v>
          </cell>
          <cell r="G362">
            <v>20.955</v>
          </cell>
        </row>
        <row r="362">
          <cell r="J362">
            <v>0.02235758834925</v>
          </cell>
        </row>
        <row r="363">
          <cell r="A363">
            <v>260778</v>
          </cell>
        </row>
        <row r="363">
          <cell r="C363" t="str">
            <v>小樱</v>
          </cell>
          <cell r="D363">
            <v>20</v>
          </cell>
          <cell r="E363">
            <v>40.005</v>
          </cell>
          <cell r="F363">
            <v>26.67</v>
          </cell>
          <cell r="G363">
            <v>20.955</v>
          </cell>
        </row>
        <row r="363">
          <cell r="J363">
            <v>0.02235758834925</v>
          </cell>
        </row>
        <row r="364">
          <cell r="A364">
            <v>261051</v>
          </cell>
        </row>
        <row r="364">
          <cell r="C364" t="str">
            <v>柠柠</v>
          </cell>
          <cell r="D364">
            <v>20</v>
          </cell>
          <cell r="E364">
            <v>33.02</v>
          </cell>
          <cell r="F364">
            <v>20.32</v>
          </cell>
          <cell r="G364">
            <v>17.78</v>
          </cell>
        </row>
        <row r="364">
          <cell r="J364">
            <v>0.011929782592</v>
          </cell>
        </row>
        <row r="365">
          <cell r="A365">
            <v>261052</v>
          </cell>
        </row>
        <row r="365">
          <cell r="C365" t="str">
            <v>橙橙</v>
          </cell>
          <cell r="D365">
            <v>20</v>
          </cell>
          <cell r="E365">
            <v>33.02</v>
          </cell>
          <cell r="F365">
            <v>20.32</v>
          </cell>
          <cell r="G365">
            <v>17.78</v>
          </cell>
        </row>
        <row r="365">
          <cell r="J365">
            <v>0.011929782592</v>
          </cell>
        </row>
        <row r="366">
          <cell r="A366">
            <v>261053</v>
          </cell>
        </row>
        <row r="366">
          <cell r="C366" t="str">
            <v>兰兰</v>
          </cell>
          <cell r="D366">
            <v>20</v>
          </cell>
          <cell r="E366">
            <v>33.02</v>
          </cell>
          <cell r="F366">
            <v>20.32</v>
          </cell>
          <cell r="G366">
            <v>17.78</v>
          </cell>
        </row>
        <row r="366">
          <cell r="J366">
            <v>0.011929782592</v>
          </cell>
        </row>
        <row r="367">
          <cell r="A367">
            <v>261054</v>
          </cell>
        </row>
        <row r="367">
          <cell r="C367" t="str">
            <v>桃桃</v>
          </cell>
          <cell r="D367">
            <v>20</v>
          </cell>
          <cell r="E367">
            <v>33.02</v>
          </cell>
          <cell r="F367">
            <v>20.32</v>
          </cell>
          <cell r="G367">
            <v>17.78</v>
          </cell>
        </row>
        <row r="367">
          <cell r="J367">
            <v>0.011929782592</v>
          </cell>
        </row>
        <row r="368">
          <cell r="A368">
            <v>261055</v>
          </cell>
        </row>
        <row r="368">
          <cell r="C368" t="str">
            <v>紫紫</v>
          </cell>
          <cell r="D368">
            <v>20</v>
          </cell>
          <cell r="E368">
            <v>33.02</v>
          </cell>
          <cell r="F368">
            <v>20.32</v>
          </cell>
          <cell r="G368">
            <v>17.78</v>
          </cell>
        </row>
        <row r="368">
          <cell r="J368">
            <v>0.011929782592</v>
          </cell>
        </row>
        <row r="369">
          <cell r="A369">
            <v>261056</v>
          </cell>
        </row>
        <row r="369">
          <cell r="C369" t="str">
            <v>青青</v>
          </cell>
          <cell r="D369">
            <v>20</v>
          </cell>
          <cell r="E369">
            <v>33.02</v>
          </cell>
          <cell r="F369">
            <v>20.32</v>
          </cell>
          <cell r="G369">
            <v>17.78</v>
          </cell>
        </row>
        <row r="369">
          <cell r="J369">
            <v>0.011929782592</v>
          </cell>
        </row>
        <row r="370">
          <cell r="A370">
            <v>261057</v>
          </cell>
        </row>
        <row r="370">
          <cell r="C370" t="str">
            <v>樱樱</v>
          </cell>
          <cell r="D370">
            <v>20</v>
          </cell>
          <cell r="E370">
            <v>33.02</v>
          </cell>
          <cell r="F370">
            <v>20.32</v>
          </cell>
          <cell r="G370">
            <v>17.78</v>
          </cell>
        </row>
        <row r="370">
          <cell r="J370">
            <v>0.011929782592</v>
          </cell>
        </row>
        <row r="371">
          <cell r="A371">
            <v>261058</v>
          </cell>
        </row>
        <row r="371">
          <cell r="C371" t="str">
            <v>莓莓</v>
          </cell>
          <cell r="D371">
            <v>20</v>
          </cell>
          <cell r="E371">
            <v>33.02</v>
          </cell>
          <cell r="F371">
            <v>20.32</v>
          </cell>
          <cell r="G371">
            <v>17.78</v>
          </cell>
        </row>
        <row r="371">
          <cell r="J371">
            <v>0.011929782592</v>
          </cell>
        </row>
        <row r="372">
          <cell r="A372">
            <v>261071</v>
          </cell>
        </row>
        <row r="372">
          <cell r="C372" t="str">
            <v>粉黄水晶狗</v>
          </cell>
          <cell r="D372">
            <v>20</v>
          </cell>
          <cell r="E372">
            <v>32.385</v>
          </cell>
          <cell r="F372">
            <v>22.86</v>
          </cell>
          <cell r="G372">
            <v>17.145</v>
          </cell>
        </row>
        <row r="372">
          <cell r="J372">
            <v>0.0126928052595</v>
          </cell>
        </row>
        <row r="373">
          <cell r="A373">
            <v>261072</v>
          </cell>
        </row>
        <row r="373">
          <cell r="C373" t="str">
            <v>蓝粉水晶狗</v>
          </cell>
          <cell r="D373">
            <v>20</v>
          </cell>
          <cell r="E373">
            <v>32.385</v>
          </cell>
          <cell r="F373">
            <v>22.86</v>
          </cell>
          <cell r="G373">
            <v>17.145</v>
          </cell>
        </row>
        <row r="373">
          <cell r="J373">
            <v>0.0126928052595</v>
          </cell>
        </row>
        <row r="374">
          <cell r="A374">
            <v>261073</v>
          </cell>
        </row>
        <row r="374">
          <cell r="C374" t="str">
            <v>橙绿水晶狗</v>
          </cell>
          <cell r="D374">
            <v>20</v>
          </cell>
          <cell r="E374">
            <v>32.385</v>
          </cell>
          <cell r="F374">
            <v>22.86</v>
          </cell>
          <cell r="G374">
            <v>17.145</v>
          </cell>
        </row>
        <row r="374">
          <cell r="J374">
            <v>0.0126928052595</v>
          </cell>
        </row>
        <row r="375">
          <cell r="A375">
            <v>261074</v>
          </cell>
        </row>
        <row r="375">
          <cell r="C375" t="str">
            <v>粉紫水晶狗</v>
          </cell>
          <cell r="D375">
            <v>20</v>
          </cell>
          <cell r="E375">
            <v>32.385</v>
          </cell>
          <cell r="F375">
            <v>22.86</v>
          </cell>
          <cell r="G375">
            <v>17.145</v>
          </cell>
        </row>
        <row r="375">
          <cell r="J375">
            <v>0.0126928052595</v>
          </cell>
        </row>
        <row r="376">
          <cell r="A376">
            <v>261075</v>
          </cell>
        </row>
        <row r="376">
          <cell r="C376" t="str">
            <v>绿水晶狗</v>
          </cell>
          <cell r="D376">
            <v>20</v>
          </cell>
          <cell r="E376">
            <v>32.385</v>
          </cell>
          <cell r="F376">
            <v>22.86</v>
          </cell>
          <cell r="G376">
            <v>17.145</v>
          </cell>
        </row>
        <row r="376">
          <cell r="J376">
            <v>0.0126928052595</v>
          </cell>
        </row>
        <row r="377">
          <cell r="A377">
            <v>261076</v>
          </cell>
        </row>
        <row r="377">
          <cell r="C377" t="str">
            <v>黑白水晶狗</v>
          </cell>
          <cell r="D377">
            <v>20</v>
          </cell>
          <cell r="E377">
            <v>32.385</v>
          </cell>
          <cell r="F377">
            <v>22.86</v>
          </cell>
          <cell r="G377">
            <v>17.145</v>
          </cell>
        </row>
        <row r="377">
          <cell r="J377">
            <v>0.0126928052595</v>
          </cell>
        </row>
        <row r="378">
          <cell r="A378">
            <v>261077</v>
          </cell>
        </row>
        <row r="378">
          <cell r="C378" t="str">
            <v>红绿水晶狗</v>
          </cell>
          <cell r="D378">
            <v>20</v>
          </cell>
          <cell r="E378">
            <v>32.385</v>
          </cell>
          <cell r="F378">
            <v>22.86</v>
          </cell>
          <cell r="G378">
            <v>17.145</v>
          </cell>
        </row>
        <row r="378">
          <cell r="J378">
            <v>0.0126928052595</v>
          </cell>
        </row>
        <row r="379">
          <cell r="A379">
            <v>261078</v>
          </cell>
        </row>
        <row r="379">
          <cell r="C379" t="str">
            <v>粉蓝水晶狗</v>
          </cell>
          <cell r="D379">
            <v>20</v>
          </cell>
          <cell r="E379">
            <v>32.385</v>
          </cell>
          <cell r="F379">
            <v>22.86</v>
          </cell>
          <cell r="G379">
            <v>17.145</v>
          </cell>
        </row>
        <row r="379">
          <cell r="J379">
            <v>0.0126928052595</v>
          </cell>
        </row>
        <row r="380">
          <cell r="A380">
            <v>261079</v>
          </cell>
        </row>
        <row r="380">
          <cell r="C380" t="str">
            <v>蓝白水晶狗</v>
          </cell>
          <cell r="D380">
            <v>20</v>
          </cell>
          <cell r="E380">
            <v>32.385</v>
          </cell>
          <cell r="F380">
            <v>22.86</v>
          </cell>
          <cell r="G380">
            <v>17.145</v>
          </cell>
        </row>
        <row r="380">
          <cell r="J380">
            <v>0.0126928052595</v>
          </cell>
        </row>
        <row r="381">
          <cell r="A381">
            <v>261080</v>
          </cell>
        </row>
        <row r="381">
          <cell r="C381" t="str">
            <v>橙红水晶狗</v>
          </cell>
          <cell r="D381">
            <v>20</v>
          </cell>
          <cell r="E381">
            <v>32.385</v>
          </cell>
          <cell r="F381">
            <v>22.86</v>
          </cell>
          <cell r="G381">
            <v>17.145</v>
          </cell>
        </row>
        <row r="381">
          <cell r="J381">
            <v>0.0126928052595</v>
          </cell>
        </row>
        <row r="382">
          <cell r="A382">
            <v>261081</v>
          </cell>
        </row>
        <row r="382">
          <cell r="C382" t="str">
            <v>蓝紫水晶狗</v>
          </cell>
          <cell r="D382">
            <v>20</v>
          </cell>
          <cell r="E382">
            <v>32.385</v>
          </cell>
          <cell r="F382">
            <v>22.86</v>
          </cell>
          <cell r="G382">
            <v>17.145</v>
          </cell>
        </row>
        <row r="382">
          <cell r="J382">
            <v>0.0126928052595</v>
          </cell>
        </row>
        <row r="383">
          <cell r="A383">
            <v>261082</v>
          </cell>
        </row>
        <row r="383">
          <cell r="C383" t="str">
            <v>黄水晶狗</v>
          </cell>
          <cell r="D383">
            <v>20</v>
          </cell>
          <cell r="E383">
            <v>32.385</v>
          </cell>
          <cell r="F383">
            <v>22.86</v>
          </cell>
          <cell r="G383">
            <v>17.145</v>
          </cell>
        </row>
        <row r="383">
          <cell r="J383">
            <v>0.0126928052595</v>
          </cell>
        </row>
        <row r="384">
          <cell r="A384">
            <v>263711</v>
          </cell>
        </row>
        <row r="384">
          <cell r="C384" t="str">
            <v>大眼妹</v>
          </cell>
          <cell r="D384">
            <v>4</v>
          </cell>
          <cell r="E384">
            <v>60.96</v>
          </cell>
          <cell r="F384">
            <v>35.56</v>
          </cell>
          <cell r="G384">
            <v>36.195</v>
          </cell>
        </row>
        <row r="384">
          <cell r="J384">
            <v>0.078461262432</v>
          </cell>
        </row>
        <row r="385">
          <cell r="A385">
            <v>263712</v>
          </cell>
        </row>
        <row r="385">
          <cell r="C385" t="str">
            <v>皮皮</v>
          </cell>
          <cell r="D385">
            <v>4</v>
          </cell>
          <cell r="E385">
            <v>60.96</v>
          </cell>
          <cell r="F385">
            <v>35.56</v>
          </cell>
          <cell r="G385">
            <v>36.195</v>
          </cell>
        </row>
        <row r="385">
          <cell r="J385">
            <v>0.078461262432</v>
          </cell>
        </row>
        <row r="386">
          <cell r="A386">
            <v>263713</v>
          </cell>
        </row>
        <row r="386">
          <cell r="C386" t="str">
            <v>爱心抱枕</v>
          </cell>
          <cell r="D386">
            <v>4</v>
          </cell>
          <cell r="E386">
            <v>60.96</v>
          </cell>
          <cell r="F386">
            <v>35.56</v>
          </cell>
          <cell r="G386">
            <v>36.195</v>
          </cell>
        </row>
        <row r="386">
          <cell r="J386">
            <v>0.078461262432</v>
          </cell>
        </row>
        <row r="387">
          <cell r="A387">
            <v>263714</v>
          </cell>
        </row>
        <row r="387">
          <cell r="C387" t="str">
            <v>彩发粉爱心</v>
          </cell>
          <cell r="D387">
            <v>4</v>
          </cell>
          <cell r="E387">
            <v>60.96</v>
          </cell>
          <cell r="F387">
            <v>35.56</v>
          </cell>
          <cell r="G387">
            <v>36.195</v>
          </cell>
        </row>
        <row r="387">
          <cell r="J387">
            <v>0.078461262432</v>
          </cell>
        </row>
        <row r="388">
          <cell r="A388">
            <v>263715</v>
          </cell>
        </row>
        <row r="388">
          <cell r="C388" t="str">
            <v>彩发黄爱心</v>
          </cell>
          <cell r="D388">
            <v>4</v>
          </cell>
          <cell r="E388">
            <v>60.96</v>
          </cell>
          <cell r="F388">
            <v>35.56</v>
          </cell>
          <cell r="G388">
            <v>36.195</v>
          </cell>
        </row>
        <row r="388">
          <cell r="J388">
            <v>0.078461262432</v>
          </cell>
        </row>
        <row r="389">
          <cell r="A389">
            <v>263717</v>
          </cell>
        </row>
        <row r="389">
          <cell r="C389" t="str">
            <v>米色皮皮妹</v>
          </cell>
          <cell r="D389">
            <v>4</v>
          </cell>
          <cell r="E389">
            <v>60.96</v>
          </cell>
          <cell r="F389">
            <v>35.56</v>
          </cell>
          <cell r="G389">
            <v>36.195</v>
          </cell>
        </row>
        <row r="389">
          <cell r="J389">
            <v>0.078461262432</v>
          </cell>
        </row>
        <row r="390">
          <cell r="A390">
            <v>263718</v>
          </cell>
        </row>
        <row r="390">
          <cell r="C390" t="str">
            <v>浅紫色大眼妹</v>
          </cell>
          <cell r="D390">
            <v>4</v>
          </cell>
          <cell r="E390">
            <v>60.96</v>
          </cell>
          <cell r="F390">
            <v>35.56</v>
          </cell>
          <cell r="G390">
            <v>36.195</v>
          </cell>
        </row>
        <row r="390">
          <cell r="J390">
            <v>0.078461262432</v>
          </cell>
        </row>
        <row r="391">
          <cell r="A391">
            <v>263719</v>
          </cell>
        </row>
        <row r="391">
          <cell r="C391" t="str">
            <v>深紫色大眼妹</v>
          </cell>
          <cell r="D391">
            <v>4</v>
          </cell>
          <cell r="E391">
            <v>60.96</v>
          </cell>
          <cell r="F391">
            <v>35.56</v>
          </cell>
          <cell r="G391">
            <v>36.195</v>
          </cell>
        </row>
        <row r="391">
          <cell r="J391">
            <v>0.078461262432</v>
          </cell>
        </row>
        <row r="392">
          <cell r="A392">
            <v>263716</v>
          </cell>
        </row>
        <row r="392">
          <cell r="C392" t="str">
            <v>南瓜</v>
          </cell>
          <cell r="D392">
            <v>4</v>
          </cell>
          <cell r="E392">
            <v>64.77</v>
          </cell>
          <cell r="F392">
            <v>29.21</v>
          </cell>
          <cell r="G392">
            <v>30.48</v>
          </cell>
        </row>
        <row r="392">
          <cell r="J392">
            <v>0.057666078216</v>
          </cell>
        </row>
        <row r="393">
          <cell r="A393">
            <v>268031</v>
          </cell>
        </row>
        <row r="393">
          <cell r="C393" t="str">
            <v>彩云咩咩</v>
          </cell>
          <cell r="D393">
            <v>4</v>
          </cell>
          <cell r="E393">
            <v>43.815</v>
          </cell>
          <cell r="F393">
            <v>27.94</v>
          </cell>
          <cell r="G393">
            <v>24.765</v>
          </cell>
        </row>
        <row r="393">
          <cell r="J393">
            <v>0.0303170925915</v>
          </cell>
        </row>
        <row r="394">
          <cell r="A394">
            <v>268032</v>
          </cell>
        </row>
        <row r="394">
          <cell r="C394" t="str">
            <v>黑云咩咩</v>
          </cell>
          <cell r="D394">
            <v>4</v>
          </cell>
          <cell r="E394">
            <v>43.815</v>
          </cell>
          <cell r="F394">
            <v>27.94</v>
          </cell>
          <cell r="G394">
            <v>24.765</v>
          </cell>
        </row>
        <row r="394">
          <cell r="J394">
            <v>0.0303170925915</v>
          </cell>
        </row>
        <row r="395">
          <cell r="A395">
            <v>268033</v>
          </cell>
        </row>
        <row r="395">
          <cell r="C395" t="str">
            <v>霓虹咪咪</v>
          </cell>
          <cell r="D395">
            <v>4</v>
          </cell>
          <cell r="E395">
            <v>43.815</v>
          </cell>
          <cell r="F395">
            <v>27.94</v>
          </cell>
          <cell r="G395">
            <v>24.765</v>
          </cell>
        </row>
        <row r="395">
          <cell r="J395">
            <v>0.0303170925915</v>
          </cell>
        </row>
        <row r="396">
          <cell r="A396">
            <v>268034</v>
          </cell>
        </row>
        <row r="396">
          <cell r="C396" t="str">
            <v>青空羊咪咪</v>
          </cell>
          <cell r="D396">
            <v>4</v>
          </cell>
          <cell r="E396">
            <v>43.815</v>
          </cell>
          <cell r="F396">
            <v>27.94</v>
          </cell>
          <cell r="G396">
            <v>24.765</v>
          </cell>
        </row>
        <row r="396">
          <cell r="J396">
            <v>0.0303170925915</v>
          </cell>
        </row>
        <row r="397">
          <cell r="A397">
            <v>268035</v>
          </cell>
        </row>
        <row r="397">
          <cell r="C397" t="str">
            <v>红桃咪咪</v>
          </cell>
          <cell r="D397">
            <v>4</v>
          </cell>
          <cell r="E397">
            <v>43.815</v>
          </cell>
          <cell r="F397">
            <v>27.94</v>
          </cell>
          <cell r="G397">
            <v>24.765</v>
          </cell>
        </row>
        <row r="397">
          <cell r="J397">
            <v>0.0303170925915</v>
          </cell>
        </row>
        <row r="398">
          <cell r="A398">
            <v>268036</v>
          </cell>
        </row>
        <row r="398">
          <cell r="C398" t="str">
            <v>焦糖咪咪</v>
          </cell>
          <cell r="D398">
            <v>4</v>
          </cell>
          <cell r="E398">
            <v>43.815</v>
          </cell>
          <cell r="F398">
            <v>27.94</v>
          </cell>
          <cell r="G398">
            <v>24.765</v>
          </cell>
        </row>
        <row r="398">
          <cell r="J398">
            <v>0.0303170925915</v>
          </cell>
        </row>
        <row r="399">
          <cell r="A399">
            <v>268037</v>
          </cell>
        </row>
        <row r="399">
          <cell r="C399" t="str">
            <v>芋泥羊咪咪</v>
          </cell>
          <cell r="D399">
            <v>4</v>
          </cell>
          <cell r="E399">
            <v>43.815</v>
          </cell>
          <cell r="F399">
            <v>27.94</v>
          </cell>
          <cell r="G399">
            <v>24.765</v>
          </cell>
        </row>
        <row r="399">
          <cell r="J399">
            <v>0.0303170925915</v>
          </cell>
        </row>
        <row r="400">
          <cell r="A400">
            <v>268038</v>
          </cell>
        </row>
        <row r="400">
          <cell r="C400" t="str">
            <v>紫霞咩咩</v>
          </cell>
          <cell r="D400">
            <v>4</v>
          </cell>
          <cell r="E400">
            <v>43.815</v>
          </cell>
          <cell r="F400">
            <v>27.94</v>
          </cell>
          <cell r="G400">
            <v>24.765</v>
          </cell>
        </row>
        <row r="400">
          <cell r="J400">
            <v>0.0303170925915</v>
          </cell>
        </row>
        <row r="401">
          <cell r="A401">
            <v>265741</v>
          </cell>
        </row>
        <row r="401">
          <cell r="C401" t="str">
            <v>生气</v>
          </cell>
          <cell r="D401">
            <v>40</v>
          </cell>
          <cell r="E401">
            <v>40.64</v>
          </cell>
          <cell r="F401">
            <v>21.59</v>
          </cell>
          <cell r="G401">
            <v>22.225</v>
          </cell>
        </row>
        <row r="401">
          <cell r="J401">
            <v>0.01950060616</v>
          </cell>
        </row>
        <row r="402">
          <cell r="A402">
            <v>265742</v>
          </cell>
        </row>
        <row r="402">
          <cell r="C402" t="str">
            <v>开心</v>
          </cell>
          <cell r="D402">
            <v>40</v>
          </cell>
          <cell r="E402">
            <v>40.64</v>
          </cell>
          <cell r="F402">
            <v>21.59</v>
          </cell>
          <cell r="G402">
            <v>22.225</v>
          </cell>
        </row>
        <row r="402">
          <cell r="J402">
            <v>0.01950060616</v>
          </cell>
        </row>
        <row r="403">
          <cell r="A403">
            <v>265743</v>
          </cell>
        </row>
        <row r="403">
          <cell r="C403" t="str">
            <v>委屈</v>
          </cell>
          <cell r="D403">
            <v>40</v>
          </cell>
          <cell r="E403">
            <v>40.64</v>
          </cell>
          <cell r="F403">
            <v>21.59</v>
          </cell>
          <cell r="G403">
            <v>22.225</v>
          </cell>
        </row>
        <row r="403">
          <cell r="J403">
            <v>0.01950060616</v>
          </cell>
        </row>
        <row r="404">
          <cell r="A404">
            <v>265744</v>
          </cell>
        </row>
        <row r="404">
          <cell r="C404" t="str">
            <v>睡觉</v>
          </cell>
          <cell r="D404">
            <v>40</v>
          </cell>
          <cell r="E404">
            <v>40.64</v>
          </cell>
          <cell r="F404">
            <v>21.59</v>
          </cell>
          <cell r="G404">
            <v>22.225</v>
          </cell>
        </row>
        <row r="404">
          <cell r="J404">
            <v>0.01950060616</v>
          </cell>
        </row>
        <row r="405">
          <cell r="A405">
            <v>265745</v>
          </cell>
        </row>
        <row r="405">
          <cell r="C405" t="str">
            <v>惊讶</v>
          </cell>
          <cell r="D405">
            <v>40</v>
          </cell>
          <cell r="E405">
            <v>40.64</v>
          </cell>
          <cell r="F405">
            <v>21.59</v>
          </cell>
          <cell r="G405">
            <v>22.225</v>
          </cell>
        </row>
        <row r="405">
          <cell r="J405">
            <v>0.01950060616</v>
          </cell>
        </row>
        <row r="406">
          <cell r="A406">
            <v>265746</v>
          </cell>
        </row>
        <row r="406">
          <cell r="C406" t="str">
            <v>吐舌</v>
          </cell>
          <cell r="D406">
            <v>40</v>
          </cell>
          <cell r="E406">
            <v>40.64</v>
          </cell>
          <cell r="F406">
            <v>21.59</v>
          </cell>
          <cell r="G406">
            <v>22.225</v>
          </cell>
        </row>
        <row r="406">
          <cell r="J406">
            <v>0.01950060616</v>
          </cell>
        </row>
        <row r="407">
          <cell r="A407">
            <v>265747</v>
          </cell>
        </row>
        <row r="407">
          <cell r="C407" t="str">
            <v>微笑</v>
          </cell>
          <cell r="D407">
            <v>40</v>
          </cell>
          <cell r="E407">
            <v>40.64</v>
          </cell>
          <cell r="F407">
            <v>21.59</v>
          </cell>
          <cell r="G407">
            <v>22.225</v>
          </cell>
        </row>
        <row r="407">
          <cell r="J407">
            <v>0.01950060616</v>
          </cell>
        </row>
        <row r="408">
          <cell r="A408">
            <v>265748</v>
          </cell>
        </row>
        <row r="408">
          <cell r="C408" t="str">
            <v>流泪</v>
          </cell>
          <cell r="D408">
            <v>40</v>
          </cell>
          <cell r="E408">
            <v>40.64</v>
          </cell>
          <cell r="F408">
            <v>21.59</v>
          </cell>
          <cell r="G408">
            <v>22.225</v>
          </cell>
        </row>
        <row r="408">
          <cell r="J408">
            <v>0.01950060616</v>
          </cell>
        </row>
        <row r="409">
          <cell r="A409">
            <v>265749</v>
          </cell>
        </row>
        <row r="409">
          <cell r="C409" t="str">
            <v>害羞</v>
          </cell>
          <cell r="D409">
            <v>40</v>
          </cell>
          <cell r="E409">
            <v>40.64</v>
          </cell>
          <cell r="F409">
            <v>21.59</v>
          </cell>
          <cell r="G409">
            <v>22.225</v>
          </cell>
        </row>
        <row r="409">
          <cell r="J409">
            <v>0.01950060616</v>
          </cell>
        </row>
        <row r="410">
          <cell r="A410">
            <v>265750</v>
          </cell>
        </row>
        <row r="410">
          <cell r="C410" t="str">
            <v>咪咪</v>
          </cell>
          <cell r="D410">
            <v>40</v>
          </cell>
          <cell r="E410">
            <v>43.815</v>
          </cell>
          <cell r="F410">
            <v>34.925</v>
          </cell>
          <cell r="G410">
            <v>33.02</v>
          </cell>
        </row>
        <row r="410">
          <cell r="J410">
            <v>0.0505284876525</v>
          </cell>
        </row>
        <row r="411">
          <cell r="A411">
            <v>265752</v>
          </cell>
        </row>
        <row r="411">
          <cell r="C411" t="str">
            <v>黄色大头妹</v>
          </cell>
          <cell r="D411">
            <v>40</v>
          </cell>
          <cell r="E411">
            <v>43.815</v>
          </cell>
          <cell r="F411">
            <v>34.925</v>
          </cell>
          <cell r="G411">
            <v>33.02</v>
          </cell>
        </row>
        <row r="411">
          <cell r="J411">
            <v>0.0505284876525</v>
          </cell>
        </row>
        <row r="412">
          <cell r="A412">
            <v>265753</v>
          </cell>
        </row>
        <row r="412">
          <cell r="C412" t="str">
            <v>紫色大头妹</v>
          </cell>
          <cell r="D412">
            <v>40</v>
          </cell>
          <cell r="E412">
            <v>43.815</v>
          </cell>
          <cell r="F412">
            <v>34.925</v>
          </cell>
          <cell r="G412">
            <v>33.02</v>
          </cell>
        </row>
        <row r="412">
          <cell r="J412">
            <v>0.0505284876525</v>
          </cell>
        </row>
        <row r="413">
          <cell r="A413">
            <v>265754</v>
          </cell>
        </row>
        <row r="413">
          <cell r="C413" t="str">
            <v>紫牛</v>
          </cell>
          <cell r="D413">
            <v>40</v>
          </cell>
          <cell r="E413">
            <v>43.815</v>
          </cell>
          <cell r="F413">
            <v>34.925</v>
          </cell>
          <cell r="G413">
            <v>33.02</v>
          </cell>
        </row>
        <row r="413">
          <cell r="J413">
            <v>0.0505284876525</v>
          </cell>
        </row>
        <row r="414">
          <cell r="A414">
            <v>265755</v>
          </cell>
        </row>
        <row r="414">
          <cell r="C414" t="str">
            <v>青蛙</v>
          </cell>
          <cell r="D414">
            <v>40</v>
          </cell>
          <cell r="E414">
            <v>43.815</v>
          </cell>
          <cell r="F414">
            <v>34.925</v>
          </cell>
          <cell r="G414">
            <v>33.02</v>
          </cell>
        </row>
        <row r="414">
          <cell r="J414">
            <v>0.0505284876525</v>
          </cell>
        </row>
        <row r="415">
          <cell r="A415">
            <v>267751</v>
          </cell>
        </row>
        <row r="415">
          <cell r="C415" t="str">
            <v>粉黄小鸭</v>
          </cell>
          <cell r="D415">
            <v>20</v>
          </cell>
          <cell r="E415">
            <v>41.91</v>
          </cell>
          <cell r="F415">
            <v>17.78</v>
          </cell>
          <cell r="G415">
            <v>25.4</v>
          </cell>
        </row>
        <row r="415">
          <cell r="J415">
            <v>0.01892705892</v>
          </cell>
        </row>
        <row r="416">
          <cell r="A416">
            <v>267752</v>
          </cell>
        </row>
        <row r="416">
          <cell r="C416" t="str">
            <v>爱心鸭</v>
          </cell>
          <cell r="D416">
            <v>20</v>
          </cell>
          <cell r="E416">
            <v>41.91</v>
          </cell>
          <cell r="F416">
            <v>17.78</v>
          </cell>
          <cell r="G416">
            <v>25.4</v>
          </cell>
        </row>
        <row r="416">
          <cell r="J416">
            <v>0.01892705892</v>
          </cell>
        </row>
        <row r="417">
          <cell r="A417">
            <v>267753</v>
          </cell>
        </row>
        <row r="417">
          <cell r="C417" t="str">
            <v>绿小鸭</v>
          </cell>
          <cell r="D417">
            <v>20</v>
          </cell>
          <cell r="E417">
            <v>41.91</v>
          </cell>
          <cell r="F417">
            <v>17.78</v>
          </cell>
          <cell r="G417">
            <v>25.4</v>
          </cell>
        </row>
        <row r="417">
          <cell r="J417">
            <v>0.01892705892</v>
          </cell>
        </row>
        <row r="418">
          <cell r="A418">
            <v>267754</v>
          </cell>
        </row>
        <row r="418">
          <cell r="C418" t="str">
            <v>紫黄小鸭</v>
          </cell>
          <cell r="D418">
            <v>20</v>
          </cell>
          <cell r="E418">
            <v>41.91</v>
          </cell>
          <cell r="F418">
            <v>17.78</v>
          </cell>
          <cell r="G418">
            <v>25.4</v>
          </cell>
        </row>
        <row r="418">
          <cell r="J418">
            <v>0.01892705892</v>
          </cell>
        </row>
        <row r="419">
          <cell r="A419">
            <v>267755</v>
          </cell>
        </row>
        <row r="419">
          <cell r="C419" t="str">
            <v>胖绿小鸭</v>
          </cell>
          <cell r="D419">
            <v>20</v>
          </cell>
          <cell r="E419">
            <v>41.91</v>
          </cell>
          <cell r="F419">
            <v>17.78</v>
          </cell>
          <cell r="G419">
            <v>25.4</v>
          </cell>
        </row>
        <row r="419">
          <cell r="J419">
            <v>0.01892705892</v>
          </cell>
        </row>
        <row r="420">
          <cell r="A420">
            <v>267756</v>
          </cell>
        </row>
        <row r="420">
          <cell r="C420" t="str">
            <v>黄绿小鸭</v>
          </cell>
          <cell r="D420">
            <v>20</v>
          </cell>
          <cell r="E420">
            <v>41.91</v>
          </cell>
          <cell r="F420">
            <v>17.78</v>
          </cell>
          <cell r="G420">
            <v>25.4</v>
          </cell>
        </row>
        <row r="420">
          <cell r="J420">
            <v>0.01892705892</v>
          </cell>
        </row>
        <row r="421">
          <cell r="A421">
            <v>267757</v>
          </cell>
        </row>
        <row r="421">
          <cell r="C421" t="str">
            <v>蓝小鸭</v>
          </cell>
          <cell r="D421">
            <v>20</v>
          </cell>
          <cell r="E421">
            <v>41.91</v>
          </cell>
          <cell r="F421">
            <v>17.78</v>
          </cell>
          <cell r="G421">
            <v>25.4</v>
          </cell>
        </row>
        <row r="421">
          <cell r="J421">
            <v>0.01892705892</v>
          </cell>
        </row>
        <row r="422">
          <cell r="A422">
            <v>267758</v>
          </cell>
        </row>
        <row r="422">
          <cell r="C422" t="str">
            <v>橙小鸭</v>
          </cell>
          <cell r="D422">
            <v>20</v>
          </cell>
          <cell r="E422">
            <v>41.91</v>
          </cell>
          <cell r="F422">
            <v>17.78</v>
          </cell>
          <cell r="G422">
            <v>25.4</v>
          </cell>
        </row>
        <row r="422">
          <cell r="J422">
            <v>0.01892705892</v>
          </cell>
        </row>
        <row r="423">
          <cell r="A423">
            <v>267759</v>
          </cell>
        </row>
        <row r="423">
          <cell r="C423" t="str">
            <v>黄小鸭</v>
          </cell>
          <cell r="D423">
            <v>20</v>
          </cell>
          <cell r="E423">
            <v>41.91</v>
          </cell>
          <cell r="F423">
            <v>17.78</v>
          </cell>
          <cell r="G423">
            <v>25.4</v>
          </cell>
        </row>
        <row r="423">
          <cell r="J423">
            <v>0.01892705892</v>
          </cell>
        </row>
        <row r="424">
          <cell r="A424">
            <v>267760</v>
          </cell>
        </row>
        <row r="424">
          <cell r="C424" t="str">
            <v>粉小鸭</v>
          </cell>
          <cell r="D424">
            <v>20</v>
          </cell>
          <cell r="E424">
            <v>41.91</v>
          </cell>
          <cell r="F424">
            <v>17.78</v>
          </cell>
          <cell r="G424">
            <v>25.4</v>
          </cell>
        </row>
        <row r="424">
          <cell r="J424">
            <v>0.01892705892</v>
          </cell>
        </row>
        <row r="425">
          <cell r="A425">
            <v>267761</v>
          </cell>
        </row>
        <row r="425">
          <cell r="C425" t="str">
            <v>米小鸭</v>
          </cell>
          <cell r="D425">
            <v>20</v>
          </cell>
          <cell r="E425">
            <v>41.91</v>
          </cell>
          <cell r="F425">
            <v>17.78</v>
          </cell>
          <cell r="G425">
            <v>25.4</v>
          </cell>
        </row>
        <row r="425">
          <cell r="J425">
            <v>0.01892705892</v>
          </cell>
        </row>
        <row r="426">
          <cell r="A426">
            <v>267762</v>
          </cell>
        </row>
        <row r="426">
          <cell r="C426" t="str">
            <v>枣黑小鸭</v>
          </cell>
          <cell r="D426">
            <v>20</v>
          </cell>
          <cell r="E426">
            <v>41.91</v>
          </cell>
          <cell r="F426">
            <v>17.78</v>
          </cell>
          <cell r="G426">
            <v>25.4</v>
          </cell>
        </row>
        <row r="426">
          <cell r="J426">
            <v>0.01892705892</v>
          </cell>
        </row>
        <row r="427">
          <cell r="A427">
            <v>267763</v>
          </cell>
        </row>
        <row r="427">
          <cell r="C427" t="str">
            <v>黑枣红小鸭</v>
          </cell>
          <cell r="D427">
            <v>20</v>
          </cell>
          <cell r="E427">
            <v>41.91</v>
          </cell>
          <cell r="F427">
            <v>17.78</v>
          </cell>
          <cell r="G427">
            <v>25.4</v>
          </cell>
        </row>
        <row r="427">
          <cell r="J427">
            <v>0.01892705892</v>
          </cell>
        </row>
        <row r="428">
          <cell r="A428">
            <v>267764</v>
          </cell>
        </row>
        <row r="428">
          <cell r="C428" t="str">
            <v>枣灰小鸭</v>
          </cell>
          <cell r="D428">
            <v>20</v>
          </cell>
          <cell r="E428">
            <v>41.91</v>
          </cell>
          <cell r="F428">
            <v>17.78</v>
          </cell>
          <cell r="G428">
            <v>25.4</v>
          </cell>
        </row>
        <row r="428">
          <cell r="J428">
            <v>0.01892705892</v>
          </cell>
        </row>
        <row r="429">
          <cell r="A429">
            <v>267765</v>
          </cell>
        </row>
        <row r="429">
          <cell r="C429" t="str">
            <v>黑红小鸭</v>
          </cell>
          <cell r="D429">
            <v>20</v>
          </cell>
          <cell r="E429">
            <v>41.91</v>
          </cell>
          <cell r="F429">
            <v>17.78</v>
          </cell>
          <cell r="G429">
            <v>25.4</v>
          </cell>
        </row>
        <row r="429">
          <cell r="J429">
            <v>0.01892705892</v>
          </cell>
        </row>
        <row r="430">
          <cell r="A430">
            <v>267766</v>
          </cell>
        </row>
        <row r="430">
          <cell r="C430" t="str">
            <v>蓝兰小鸭</v>
          </cell>
          <cell r="D430">
            <v>20</v>
          </cell>
          <cell r="E430">
            <v>41.91</v>
          </cell>
          <cell r="F430">
            <v>17.78</v>
          </cell>
          <cell r="G430">
            <v>25.4</v>
          </cell>
        </row>
        <row r="430">
          <cell r="J430">
            <v>0.01892705892</v>
          </cell>
        </row>
        <row r="431">
          <cell r="A431">
            <v>267767</v>
          </cell>
        </row>
        <row r="431">
          <cell r="C431" t="str">
            <v>闪金小鸭</v>
          </cell>
          <cell r="D431">
            <v>20</v>
          </cell>
          <cell r="E431">
            <v>41.91</v>
          </cell>
          <cell r="F431">
            <v>17.78</v>
          </cell>
          <cell r="G431">
            <v>25.4</v>
          </cell>
        </row>
        <row r="431">
          <cell r="J431">
            <v>0.01892705892</v>
          </cell>
        </row>
        <row r="432">
          <cell r="A432">
            <v>266021</v>
          </cell>
        </row>
        <row r="432">
          <cell r="C432" t="str">
            <v>黄色圆球</v>
          </cell>
          <cell r="D432">
            <v>20</v>
          </cell>
          <cell r="E432">
            <v>35.56</v>
          </cell>
          <cell r="F432">
            <v>19.05</v>
          </cell>
          <cell r="G432">
            <v>18.415</v>
          </cell>
        </row>
        <row r="432">
          <cell r="J432">
            <v>0.01247465247</v>
          </cell>
        </row>
        <row r="433">
          <cell r="A433">
            <v>266022</v>
          </cell>
        </row>
        <row r="433">
          <cell r="C433" t="str">
            <v>粉色圆球</v>
          </cell>
          <cell r="D433">
            <v>20</v>
          </cell>
          <cell r="E433">
            <v>35.56</v>
          </cell>
          <cell r="F433">
            <v>19.05</v>
          </cell>
          <cell r="G433">
            <v>18.415</v>
          </cell>
        </row>
        <row r="433">
          <cell r="J433">
            <v>0.01247465247</v>
          </cell>
        </row>
        <row r="434">
          <cell r="A434">
            <v>266023</v>
          </cell>
        </row>
        <row r="434">
          <cell r="C434" t="str">
            <v>橙色全球</v>
          </cell>
          <cell r="D434">
            <v>20</v>
          </cell>
          <cell r="E434">
            <v>35.56</v>
          </cell>
          <cell r="F434">
            <v>19.05</v>
          </cell>
          <cell r="G434">
            <v>18.415</v>
          </cell>
        </row>
        <row r="434">
          <cell r="J434">
            <v>0.01247465247</v>
          </cell>
        </row>
        <row r="435">
          <cell r="A435">
            <v>269060</v>
          </cell>
        </row>
        <row r="435">
          <cell r="C435" t="str">
            <v>爱心</v>
          </cell>
          <cell r="D435">
            <v>27</v>
          </cell>
          <cell r="E435">
            <v>25.4</v>
          </cell>
          <cell r="F435">
            <v>25.4</v>
          </cell>
          <cell r="G435">
            <v>34.29</v>
          </cell>
        </row>
        <row r="435">
          <cell r="J435">
            <v>0.0221225364</v>
          </cell>
        </row>
        <row r="436">
          <cell r="A436">
            <v>268082</v>
          </cell>
        </row>
        <row r="436">
          <cell r="C436" t="str">
            <v>7.5"腊肠狗</v>
          </cell>
          <cell r="D436">
            <v>6</v>
          </cell>
          <cell r="E436">
            <v>53.34</v>
          </cell>
          <cell r="F436">
            <v>25.4</v>
          </cell>
          <cell r="G436">
            <v>17.78</v>
          </cell>
        </row>
        <row r="436">
          <cell r="J436">
            <v>0.02408898408</v>
          </cell>
        </row>
        <row r="437">
          <cell r="A437">
            <v>268083</v>
          </cell>
        </row>
        <row r="437">
          <cell r="C437" t="str">
            <v>5"灰灰狗</v>
          </cell>
          <cell r="D437">
            <v>6</v>
          </cell>
          <cell r="E437">
            <v>53.34</v>
          </cell>
          <cell r="F437">
            <v>25.4</v>
          </cell>
          <cell r="G437">
            <v>17.78</v>
          </cell>
        </row>
        <row r="437">
          <cell r="J437">
            <v>0.02408898408</v>
          </cell>
        </row>
        <row r="438">
          <cell r="A438">
            <v>266710</v>
          </cell>
        </row>
        <row r="438">
          <cell r="C438" t="str">
            <v>Q BABY</v>
          </cell>
          <cell r="D438">
            <v>27</v>
          </cell>
          <cell r="E438">
            <v>20.32</v>
          </cell>
          <cell r="F438">
            <v>16.51</v>
          </cell>
          <cell r="G438">
            <v>34.29</v>
          </cell>
        </row>
        <row r="438">
          <cell r="J438">
            <v>0.011503718928</v>
          </cell>
        </row>
        <row r="439">
          <cell r="A439">
            <v>671930</v>
          </cell>
        </row>
        <row r="439">
          <cell r="C439" t="str">
            <v>UNO 踢踏包</v>
          </cell>
          <cell r="D439">
            <v>12</v>
          </cell>
          <cell r="E439">
            <v>12.75</v>
          </cell>
          <cell r="F439">
            <v>20.05</v>
          </cell>
          <cell r="G439">
            <v>19.05</v>
          </cell>
        </row>
        <row r="439">
          <cell r="J439">
            <v>0.004869894375</v>
          </cell>
        </row>
        <row r="440">
          <cell r="A440">
            <v>671933</v>
          </cell>
        </row>
        <row r="440">
          <cell r="C440" t="str">
            <v>8号球 踢踏包</v>
          </cell>
          <cell r="D440">
            <v>12</v>
          </cell>
          <cell r="E440">
            <v>12.75</v>
          </cell>
          <cell r="F440">
            <v>20.05</v>
          </cell>
          <cell r="G440">
            <v>19.05</v>
          </cell>
        </row>
        <row r="440">
          <cell r="J440">
            <v>0.004869894375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235"/>
  <sheetViews>
    <sheetView workbookViewId="0">
      <pane ySplit="3" topLeftCell="A1225" activePane="bottomLeft" state="frozen"/>
      <selection/>
      <selection pane="bottomLeft" activeCell="A3" sqref="$A3:$XFD3"/>
    </sheetView>
  </sheetViews>
  <sheetFormatPr defaultColWidth="9" defaultRowHeight="20.1" customHeight="1"/>
  <cols>
    <col min="1" max="1" width="11.5083333333333" style="2" customWidth="1"/>
    <col min="2" max="2" width="13" style="3" customWidth="1"/>
    <col min="3" max="3" width="19.375" style="4" customWidth="1"/>
    <col min="4" max="4" width="15.25" style="5" customWidth="1"/>
    <col min="5" max="5" width="24" style="6" customWidth="1"/>
    <col min="6" max="6" width="14.375" style="6" customWidth="1"/>
    <col min="7" max="7" width="18" style="6" customWidth="1"/>
    <col min="8" max="8" width="12.625" style="6" customWidth="1"/>
    <col min="9" max="9" width="13.875" style="7"/>
    <col min="10" max="10" width="6.375" style="7" customWidth="1"/>
    <col min="11" max="11" width="8.375" style="7" customWidth="1"/>
    <col min="12" max="12" width="6.875" style="8" customWidth="1"/>
    <col min="13" max="13" width="6.625" style="5" customWidth="1"/>
    <col min="14" max="14" width="7.125" style="8" customWidth="1"/>
    <col min="15" max="15" width="23.125" style="6" customWidth="1"/>
    <col min="16" max="16" width="15.875" style="9" customWidth="1"/>
    <col min="17" max="17" width="6.50833333333333" style="8" customWidth="1"/>
    <col min="18" max="18" width="5.875" style="8" customWidth="1"/>
    <col min="19" max="19" width="5.375" style="8" customWidth="1"/>
    <col min="20" max="20" width="11.5083333333333" style="10" customWidth="1"/>
    <col min="21" max="21" width="7.125" style="11" customWidth="1"/>
    <col min="22" max="22" width="10.375" style="12"/>
    <col min="23" max="24" width="9" style="1"/>
    <col min="25" max="25" width="7.625" style="1" customWidth="1"/>
    <col min="26" max="26" width="9" style="1" hidden="1" customWidth="1"/>
    <col min="27" max="16381" width="9" style="1"/>
    <col min="16382" max="16382" width="12.625" style="1"/>
    <col min="16383" max="16384" width="9" style="1"/>
  </cols>
  <sheetData>
    <row r="1" ht="39" customHeight="1" spans="1:28">
      <c r="A1" s="13" t="s">
        <v>0</v>
      </c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6"/>
    </row>
    <row r="2" ht="39" customHeight="1" spans="1:28">
      <c r="A2" s="17" t="s">
        <v>1</v>
      </c>
      <c r="B2" s="18"/>
      <c r="C2" s="18"/>
      <c r="D2" s="19"/>
      <c r="E2" s="18"/>
      <c r="F2" s="20"/>
      <c r="G2" s="21" t="s">
        <v>2</v>
      </c>
      <c r="H2" s="21"/>
      <c r="I2" s="22" t="s">
        <v>3</v>
      </c>
      <c r="J2" s="23"/>
      <c r="K2" s="22" t="s">
        <v>4</v>
      </c>
      <c r="L2" s="24"/>
      <c r="M2" s="24"/>
      <c r="N2" s="24"/>
      <c r="O2" s="24"/>
      <c r="P2" s="23"/>
      <c r="Q2" s="25" t="s">
        <v>5</v>
      </c>
      <c r="R2" s="25"/>
      <c r="S2" s="26"/>
      <c r="T2" s="27" t="s">
        <v>6</v>
      </c>
      <c r="U2" s="28" t="s">
        <v>7</v>
      </c>
    </row>
    <row r="3" ht="30.95" customHeight="1" spans="1:28">
      <c r="A3" s="29" t="s">
        <v>8</v>
      </c>
      <c r="B3" s="30" t="s">
        <v>9</v>
      </c>
      <c r="C3" s="31" t="s">
        <v>10</v>
      </c>
      <c r="D3" s="32" t="s">
        <v>11</v>
      </c>
      <c r="E3" s="33" t="s">
        <v>12</v>
      </c>
      <c r="F3" s="33" t="s">
        <v>13</v>
      </c>
      <c r="G3" s="33" t="s">
        <v>14</v>
      </c>
      <c r="H3" s="33" t="s">
        <v>15</v>
      </c>
      <c r="I3" s="34" t="s">
        <v>16</v>
      </c>
      <c r="J3" s="34" t="s">
        <v>17</v>
      </c>
      <c r="K3" s="34" t="s">
        <v>18</v>
      </c>
      <c r="L3" s="35" t="s">
        <v>19</v>
      </c>
      <c r="M3" s="32" t="s">
        <v>20</v>
      </c>
      <c r="N3" s="36" t="s">
        <v>21</v>
      </c>
      <c r="O3" s="33" t="s">
        <v>22</v>
      </c>
      <c r="P3" s="37" t="s">
        <v>23</v>
      </c>
      <c r="Q3" s="38" t="s">
        <v>24</v>
      </c>
      <c r="R3" s="38" t="s">
        <v>25</v>
      </c>
      <c r="S3" s="39" t="s">
        <v>26</v>
      </c>
      <c r="T3" s="27"/>
      <c r="U3" s="28"/>
      <c r="AA3"/>
      <c r="AB3"/>
    </row>
    <row r="4" ht="29.1" customHeight="1" spans="1:28">
      <c r="A4" s="40">
        <v>46028</v>
      </c>
      <c r="B4" s="41" t="s">
        <v>27</v>
      </c>
      <c r="C4" s="42" t="s">
        <v>28</v>
      </c>
      <c r="D4" s="43"/>
      <c r="E4" s="44" t="s">
        <v>29</v>
      </c>
      <c r="F4" s="44" t="s">
        <v>30</v>
      </c>
      <c r="G4" s="44" t="s">
        <v>31</v>
      </c>
      <c r="H4" s="44"/>
      <c r="I4" s="45">
        <f>+L4*3</f>
        <v>765</v>
      </c>
      <c r="J4" s="45" t="s">
        <v>32</v>
      </c>
      <c r="K4" s="45" t="s">
        <v>33</v>
      </c>
      <c r="L4" s="46">
        <v>255</v>
      </c>
      <c r="M4" s="43">
        <f t="shared" ref="M4:M13" si="0">+U4</f>
        <v>19.283139578805</v>
      </c>
      <c r="N4" s="46" t="s">
        <v>34</v>
      </c>
      <c r="O4" s="44"/>
      <c r="P4" s="47" t="s">
        <v>35</v>
      </c>
      <c r="Q4" s="8">
        <f>VLOOKUP($F4,[1]装箱单!$A:$E,5,0)</f>
        <v>48.26</v>
      </c>
      <c r="R4" s="8">
        <f>VLOOKUP($F4,[1]装箱单!$A:$F,6,0)</f>
        <v>36.83</v>
      </c>
      <c r="S4" s="8">
        <f>VLOOKUP($F4,[1]装箱单!$A:$G,7,0)</f>
        <v>42.545</v>
      </c>
      <c r="T4" s="10">
        <f>VLOOKUP($F4,[1]装箱单!$A:$J,10,0)</f>
        <v>0.075620155211</v>
      </c>
      <c r="U4" s="11">
        <f t="shared" ref="U4:U13" si="1">+T4*L4</f>
        <v>19.283139578805</v>
      </c>
    </row>
    <row r="5" ht="29.1" customHeight="1" spans="1:28">
      <c r="A5" s="40">
        <v>46028</v>
      </c>
      <c r="B5" s="41" t="s">
        <v>27</v>
      </c>
      <c r="C5" s="42" t="s">
        <v>28</v>
      </c>
      <c r="D5" s="43"/>
      <c r="E5" s="44" t="s">
        <v>36</v>
      </c>
      <c r="F5" s="44" t="s">
        <v>37</v>
      </c>
      <c r="G5" s="44" t="s">
        <v>31</v>
      </c>
      <c r="H5" s="44"/>
      <c r="I5" s="45">
        <f>+L5*12</f>
        <v>324</v>
      </c>
      <c r="J5" s="45" t="s">
        <v>32</v>
      </c>
      <c r="K5" s="45" t="s">
        <v>33</v>
      </c>
      <c r="L5" s="46">
        <v>27</v>
      </c>
      <c r="M5" s="43">
        <f t="shared" si="0"/>
        <v>2.81524082112</v>
      </c>
      <c r="N5" s="46" t="s">
        <v>34</v>
      </c>
      <c r="O5" s="44"/>
      <c r="P5" s="48"/>
      <c r="Q5" s="8">
        <f>VLOOKUP($F5,[1]装箱单!$A:$E,5,0)</f>
        <v>60.96</v>
      </c>
      <c r="R5" s="8">
        <f>VLOOKUP($F5,[1]装箱单!$A:$F,6,0)</f>
        <v>51.8</v>
      </c>
      <c r="S5" s="8">
        <f>VLOOKUP($F5,[1]装箱单!$A:$G,7,0)</f>
        <v>33.02</v>
      </c>
      <c r="T5" s="10">
        <f>VLOOKUP($F5,[1]装箱单!$A:$J,10,0)</f>
        <v>0.10426817856</v>
      </c>
      <c r="U5" s="11">
        <f t="shared" si="1"/>
        <v>2.81524082112</v>
      </c>
    </row>
    <row r="6" ht="29.1" customHeight="1" spans="1:28">
      <c r="A6" s="40">
        <v>46028</v>
      </c>
      <c r="B6" s="41" t="s">
        <v>38</v>
      </c>
      <c r="C6" s="42" t="s">
        <v>39</v>
      </c>
      <c r="D6" s="43"/>
      <c r="E6" s="44">
        <v>954188898</v>
      </c>
      <c r="F6" s="44">
        <v>28483</v>
      </c>
      <c r="G6" s="44" t="s">
        <v>31</v>
      </c>
      <c r="H6" s="44"/>
      <c r="I6" s="45">
        <v>1542</v>
      </c>
      <c r="J6" s="45" t="s">
        <v>32</v>
      </c>
      <c r="K6" s="45" t="s">
        <v>33</v>
      </c>
      <c r="L6" s="46">
        <v>1542</v>
      </c>
      <c r="M6" s="43">
        <f t="shared" si="0"/>
        <v>8.90148798</v>
      </c>
      <c r="N6" s="46" t="s">
        <v>34</v>
      </c>
      <c r="O6" s="44"/>
      <c r="P6" s="48"/>
      <c r="Q6" s="8">
        <f>VLOOKUP($F6,[1]装箱单!$A:$E,5,0)</f>
        <v>16.83</v>
      </c>
      <c r="R6" s="8">
        <f>VLOOKUP($F6,[1]装箱单!$A:$F,6,0)</f>
        <v>17.15</v>
      </c>
      <c r="S6" s="8">
        <f>VLOOKUP($F6,[1]装箱单!$A:$G,7,0)</f>
        <v>20</v>
      </c>
      <c r="T6" s="10">
        <f>VLOOKUP($F6,[1]装箱单!$A:$J,10,0)</f>
        <v>0.00577269</v>
      </c>
      <c r="U6" s="11">
        <f t="shared" si="1"/>
        <v>8.90148798</v>
      </c>
    </row>
    <row r="7" ht="29.1" customHeight="1" spans="1:28">
      <c r="A7" s="40">
        <v>46028</v>
      </c>
      <c r="B7" s="41" t="s">
        <v>40</v>
      </c>
      <c r="C7" s="42" t="s">
        <v>41</v>
      </c>
      <c r="D7" s="43"/>
      <c r="E7" s="44">
        <v>954188464</v>
      </c>
      <c r="F7" s="44">
        <v>28483</v>
      </c>
      <c r="G7" s="44" t="s">
        <v>31</v>
      </c>
      <c r="H7" s="44"/>
      <c r="I7" s="45">
        <v>1800</v>
      </c>
      <c r="J7" s="45" t="s">
        <v>32</v>
      </c>
      <c r="K7" s="45" t="s">
        <v>33</v>
      </c>
      <c r="L7" s="46">
        <v>1800</v>
      </c>
      <c r="M7" s="43">
        <f t="shared" si="0"/>
        <v>10.390842</v>
      </c>
      <c r="N7" s="46" t="s">
        <v>34</v>
      </c>
      <c r="O7" s="44"/>
      <c r="P7" s="48"/>
      <c r="Q7" s="8">
        <f>VLOOKUP($F7,[1]装箱单!$A:$E,5,0)</f>
        <v>16.83</v>
      </c>
      <c r="R7" s="8">
        <f>VLOOKUP($F7,[1]装箱单!$A:$F,6,0)</f>
        <v>17.15</v>
      </c>
      <c r="S7" s="8">
        <f>VLOOKUP($F7,[1]装箱单!$A:$G,7,0)</f>
        <v>20</v>
      </c>
      <c r="T7" s="10">
        <f>VLOOKUP($F7,[1]装箱单!$A:$J,10,0)</f>
        <v>0.00577269</v>
      </c>
      <c r="U7" s="11">
        <f t="shared" si="1"/>
        <v>10.390842</v>
      </c>
    </row>
    <row r="8" ht="29.1" customHeight="1" spans="1:28">
      <c r="A8" s="40">
        <v>46028</v>
      </c>
      <c r="B8" s="41" t="s">
        <v>40</v>
      </c>
      <c r="C8" s="42" t="s">
        <v>42</v>
      </c>
      <c r="D8" s="43"/>
      <c r="E8" s="44">
        <v>954188459</v>
      </c>
      <c r="F8" s="44">
        <v>28483</v>
      </c>
      <c r="G8" s="44" t="s">
        <v>31</v>
      </c>
      <c r="H8" s="44"/>
      <c r="I8" s="45">
        <v>1800</v>
      </c>
      <c r="J8" s="45" t="s">
        <v>32</v>
      </c>
      <c r="K8" s="45" t="s">
        <v>33</v>
      </c>
      <c r="L8" s="46">
        <v>1800</v>
      </c>
      <c r="M8" s="43">
        <f t="shared" si="0"/>
        <v>10.390842</v>
      </c>
      <c r="N8" s="46" t="s">
        <v>34</v>
      </c>
      <c r="O8" s="44"/>
      <c r="P8" s="48"/>
      <c r="Q8" s="8">
        <f>VLOOKUP($F8,[1]装箱单!$A:$E,5,0)</f>
        <v>16.83</v>
      </c>
      <c r="R8" s="8">
        <f>VLOOKUP($F8,[1]装箱单!$A:$F,6,0)</f>
        <v>17.15</v>
      </c>
      <c r="S8" s="8">
        <f>VLOOKUP($F8,[1]装箱单!$A:$G,7,0)</f>
        <v>20</v>
      </c>
      <c r="T8" s="10">
        <f>VLOOKUP($F8,[1]装箱单!$A:$J,10,0)</f>
        <v>0.00577269</v>
      </c>
      <c r="U8" s="11">
        <f t="shared" si="1"/>
        <v>10.390842</v>
      </c>
    </row>
    <row r="9" ht="29.1" customHeight="1" spans="1:28">
      <c r="A9" s="40">
        <v>46028</v>
      </c>
      <c r="B9" s="41" t="s">
        <v>43</v>
      </c>
      <c r="C9" s="42" t="s">
        <v>44</v>
      </c>
      <c r="D9" s="43"/>
      <c r="E9" s="44">
        <v>25000352</v>
      </c>
      <c r="F9" s="44" t="s">
        <v>45</v>
      </c>
      <c r="G9" s="44" t="s">
        <v>31</v>
      </c>
      <c r="H9" s="44"/>
      <c r="I9" s="45">
        <v>152766</v>
      </c>
      <c r="J9" s="45" t="s">
        <v>32</v>
      </c>
      <c r="K9" s="45" t="s">
        <v>33</v>
      </c>
      <c r="L9" s="46">
        <v>8487</v>
      </c>
      <c r="M9" s="43">
        <f t="shared" si="0"/>
        <v>49.1652979998525</v>
      </c>
      <c r="N9" s="46" t="s">
        <v>34</v>
      </c>
      <c r="O9" s="44"/>
      <c r="P9" s="48"/>
      <c r="Q9" s="8">
        <f>VLOOKUP($F9,[1]装箱单!$A:$E,5,0)</f>
        <v>32.385</v>
      </c>
      <c r="R9" s="8">
        <f>VLOOKUP($F9,[1]装箱单!$A:$F,6,0)</f>
        <v>18.78</v>
      </c>
      <c r="S9" s="8">
        <f>VLOOKUP($F9,[1]装箱单!$A:$G,7,0)</f>
        <v>9.525</v>
      </c>
      <c r="T9" s="10">
        <f>VLOOKUP($F9,[1]装箱单!$A:$J,10,0)</f>
        <v>0.0057930126075</v>
      </c>
      <c r="U9" s="11">
        <f t="shared" si="1"/>
        <v>49.1652979998525</v>
      </c>
    </row>
    <row r="10" ht="29.1" customHeight="1" spans="1:28">
      <c r="A10" s="40">
        <v>46028</v>
      </c>
      <c r="B10" s="41" t="s">
        <v>38</v>
      </c>
      <c r="C10" s="42" t="s">
        <v>46</v>
      </c>
      <c r="D10" s="43"/>
      <c r="E10" s="44">
        <v>954188907</v>
      </c>
      <c r="F10" s="44">
        <v>28481</v>
      </c>
      <c r="G10" s="44" t="s">
        <v>31</v>
      </c>
      <c r="H10" s="44"/>
      <c r="I10" s="45">
        <f>+L10*4</f>
        <v>2388</v>
      </c>
      <c r="J10" s="45" t="s">
        <v>47</v>
      </c>
      <c r="K10" s="45" t="s">
        <v>33</v>
      </c>
      <c r="L10" s="46">
        <v>597</v>
      </c>
      <c r="M10" s="43">
        <f t="shared" si="0"/>
        <v>6.017621650026</v>
      </c>
      <c r="N10" s="46" t="s">
        <v>34</v>
      </c>
      <c r="O10" s="44"/>
      <c r="P10" s="48"/>
      <c r="Q10" s="8">
        <f>VLOOKUP($F10,[1]装箱单!$A:$E,5,0)</f>
        <v>23.81</v>
      </c>
      <c r="R10" s="8">
        <f>VLOOKUP($F10,[1]装箱单!$A:$F,6,0)</f>
        <v>17.78</v>
      </c>
      <c r="S10" s="8">
        <f>VLOOKUP($F10,[1]装箱单!$A:$G,7,0)</f>
        <v>23.81</v>
      </c>
      <c r="T10" s="10">
        <f>VLOOKUP($F10,[1]装箱单!$A:$J,10,0)</f>
        <v>0.010079768258</v>
      </c>
      <c r="U10" s="11">
        <f t="shared" si="1"/>
        <v>6.017621650026</v>
      </c>
    </row>
    <row r="11" ht="29.1" customHeight="1" spans="1:28">
      <c r="A11" s="40">
        <v>46028</v>
      </c>
      <c r="B11" s="41" t="s">
        <v>40</v>
      </c>
      <c r="C11" s="42" t="s">
        <v>41</v>
      </c>
      <c r="D11" s="43"/>
      <c r="E11" s="44">
        <v>954188464</v>
      </c>
      <c r="F11" s="44">
        <v>28481</v>
      </c>
      <c r="G11" s="44" t="s">
        <v>31</v>
      </c>
      <c r="H11" s="44"/>
      <c r="I11" s="45">
        <f>+L11*4</f>
        <v>1440</v>
      </c>
      <c r="J11" s="45" t="s">
        <v>47</v>
      </c>
      <c r="K11" s="45" t="s">
        <v>33</v>
      </c>
      <c r="L11" s="46">
        <v>360</v>
      </c>
      <c r="M11" s="43">
        <f t="shared" si="0"/>
        <v>3.62871657288</v>
      </c>
      <c r="N11" s="46" t="s">
        <v>34</v>
      </c>
      <c r="O11" s="44"/>
      <c r="P11" s="48"/>
      <c r="Q11" s="8">
        <f>VLOOKUP($F11,[1]装箱单!$A:$E,5,0)</f>
        <v>23.81</v>
      </c>
      <c r="R11" s="8">
        <f>VLOOKUP($F11,[1]装箱单!$A:$F,6,0)</f>
        <v>17.78</v>
      </c>
      <c r="S11" s="8">
        <f>VLOOKUP($F11,[1]装箱单!$A:$G,7,0)</f>
        <v>23.81</v>
      </c>
      <c r="T11" s="10">
        <f>VLOOKUP($F11,[1]装箱单!$A:$J,10,0)</f>
        <v>0.010079768258</v>
      </c>
      <c r="U11" s="11">
        <f t="shared" si="1"/>
        <v>3.62871657288</v>
      </c>
    </row>
    <row r="12" ht="29.1" customHeight="1" spans="1:28">
      <c r="A12" s="40">
        <v>46028</v>
      </c>
      <c r="B12" s="41" t="s">
        <v>40</v>
      </c>
      <c r="C12" s="42" t="s">
        <v>42</v>
      </c>
      <c r="D12" s="43"/>
      <c r="E12" s="44">
        <v>954188459</v>
      </c>
      <c r="F12" s="44">
        <v>28481</v>
      </c>
      <c r="G12" s="44" t="s">
        <v>31</v>
      </c>
      <c r="H12" s="44"/>
      <c r="I12" s="45">
        <f>+L12*4</f>
        <v>1440</v>
      </c>
      <c r="J12" s="45" t="s">
        <v>47</v>
      </c>
      <c r="K12" s="45" t="s">
        <v>33</v>
      </c>
      <c r="L12" s="46">
        <v>360</v>
      </c>
      <c r="M12" s="43">
        <f t="shared" si="0"/>
        <v>3.62871657288</v>
      </c>
      <c r="N12" s="46" t="s">
        <v>34</v>
      </c>
      <c r="O12" s="44"/>
      <c r="P12" s="48"/>
      <c r="Q12" s="8">
        <f>VLOOKUP($F12,[1]装箱单!$A:$E,5,0)</f>
        <v>23.81</v>
      </c>
      <c r="R12" s="8">
        <f>VLOOKUP($F12,[1]装箱单!$A:$F,6,0)</f>
        <v>17.78</v>
      </c>
      <c r="S12" s="8">
        <f>VLOOKUP($F12,[1]装箱单!$A:$G,7,0)</f>
        <v>23.81</v>
      </c>
      <c r="T12" s="10">
        <f>VLOOKUP($F12,[1]装箱单!$A:$J,10,0)</f>
        <v>0.010079768258</v>
      </c>
      <c r="U12" s="11">
        <f t="shared" si="1"/>
        <v>3.62871657288</v>
      </c>
    </row>
    <row r="13" ht="29.1" customHeight="1" spans="1:28">
      <c r="A13" s="40">
        <v>46028</v>
      </c>
      <c r="B13" s="41" t="s">
        <v>48</v>
      </c>
      <c r="C13" s="42" t="s">
        <v>49</v>
      </c>
      <c r="D13" s="43"/>
      <c r="E13" s="44" t="s">
        <v>50</v>
      </c>
      <c r="F13" s="44" t="s">
        <v>51</v>
      </c>
      <c r="G13" s="44" t="s">
        <v>31</v>
      </c>
      <c r="H13" s="44"/>
      <c r="I13" s="45">
        <v>31824</v>
      </c>
      <c r="J13" s="45" t="s">
        <v>32</v>
      </c>
      <c r="K13" s="45" t="s">
        <v>33</v>
      </c>
      <c r="L13" s="46">
        <v>12</v>
      </c>
      <c r="M13" s="43">
        <f t="shared" si="0"/>
        <v>0.490478076</v>
      </c>
      <c r="N13" s="46" t="s">
        <v>34</v>
      </c>
      <c r="O13" s="44"/>
      <c r="P13" s="48"/>
      <c r="Q13" s="8">
        <f>VLOOKUP($F13,[1]装箱单!$A:$E,5,0)</f>
        <v>37.15</v>
      </c>
      <c r="R13" s="8">
        <f>VLOOKUP($F13,[1]装箱单!$A:$F,6,0)</f>
        <v>33</v>
      </c>
      <c r="S13" s="8">
        <f>VLOOKUP($F13,[1]装箱单!$A:$G,7,0)</f>
        <v>33.34</v>
      </c>
      <c r="T13" s="10">
        <f>VLOOKUP($F13,[1]装箱单!$A:$J,10,0)</f>
        <v>0.040873173</v>
      </c>
      <c r="U13" s="11">
        <f t="shared" si="1"/>
        <v>0.490478076</v>
      </c>
    </row>
    <row r="14" ht="29.1" customHeight="1" spans="1:28">
      <c r="A14" s="40"/>
      <c r="B14" s="41"/>
      <c r="C14" s="42"/>
      <c r="D14" s="43"/>
      <c r="E14" s="44"/>
      <c r="F14" s="44"/>
      <c r="G14" s="44"/>
      <c r="H14" s="44"/>
      <c r="I14" s="45"/>
      <c r="J14" s="45"/>
      <c r="K14" s="45"/>
      <c r="L14" s="46"/>
      <c r="M14" s="43">
        <f>SUM(M4:M13)</f>
        <v>114.712383251563</v>
      </c>
      <c r="N14" s="46"/>
      <c r="O14" s="44"/>
      <c r="P14" s="51"/>
    </row>
    <row r="15" ht="29.1" customHeight="1" spans="1:28">
      <c r="A15" s="40">
        <v>46029</v>
      </c>
      <c r="B15" s="41" t="s">
        <v>52</v>
      </c>
      <c r="C15" s="42">
        <v>43384</v>
      </c>
      <c r="D15" s="43"/>
      <c r="E15" s="44"/>
      <c r="F15" s="44">
        <v>320916</v>
      </c>
      <c r="G15" s="44" t="s">
        <v>31</v>
      </c>
      <c r="H15" s="44"/>
      <c r="I15" s="45">
        <f>+L15*2</f>
        <v>3000</v>
      </c>
      <c r="J15" s="45" t="s">
        <v>32</v>
      </c>
      <c r="K15" s="45" t="s">
        <v>33</v>
      </c>
      <c r="L15" s="46">
        <v>1500</v>
      </c>
      <c r="M15" s="43">
        <f>+U15</f>
        <v>38.7144387</v>
      </c>
      <c r="N15" s="46" t="s">
        <v>34</v>
      </c>
      <c r="O15" s="44"/>
      <c r="P15" s="47" t="s">
        <v>53</v>
      </c>
      <c r="Q15" s="8">
        <f>VLOOKUP($F15,[1]装箱单!$A:$E,5,0)</f>
        <v>38.1</v>
      </c>
      <c r="R15" s="8">
        <f>VLOOKUP($F15,[1]装箱单!$A:$F,6,0)</f>
        <v>30.48</v>
      </c>
      <c r="S15" s="8">
        <f>VLOOKUP($F15,[1]装箱单!$A:$G,7,0)</f>
        <v>22.225</v>
      </c>
      <c r="T15" s="10">
        <f>VLOOKUP($F15,[1]装箱单!$A:$J,10,0)</f>
        <v>0.0258096258</v>
      </c>
      <c r="U15" s="11">
        <f>+T15*L15</f>
        <v>38.7144387</v>
      </c>
    </row>
    <row r="16" ht="29.1" customHeight="1" spans="1:28">
      <c r="A16" s="40">
        <v>46029</v>
      </c>
      <c r="B16" s="41" t="s">
        <v>52</v>
      </c>
      <c r="C16" s="42">
        <v>43721</v>
      </c>
      <c r="D16" s="43"/>
      <c r="E16" s="44"/>
      <c r="F16" s="44">
        <v>470194</v>
      </c>
      <c r="G16" s="44" t="s">
        <v>31</v>
      </c>
      <c r="H16" s="44"/>
      <c r="I16" s="45">
        <f>+L16*2</f>
        <v>3000</v>
      </c>
      <c r="J16" s="45" t="s">
        <v>32</v>
      </c>
      <c r="K16" s="45" t="s">
        <v>33</v>
      </c>
      <c r="L16" s="46">
        <v>1500</v>
      </c>
      <c r="M16" s="43">
        <f>+U16</f>
        <v>60.8369751</v>
      </c>
      <c r="N16" s="46" t="s">
        <v>34</v>
      </c>
      <c r="O16" s="44"/>
      <c r="P16" s="48"/>
      <c r="Q16" s="8">
        <f>VLOOKUP($F16,[1]装箱单!$A:$E,5,0)</f>
        <v>41.91</v>
      </c>
      <c r="R16" s="8">
        <f>VLOOKUP($F16,[1]装箱单!$A:$F,6,0)</f>
        <v>31.75</v>
      </c>
      <c r="S16" s="8">
        <f>VLOOKUP($F16,[1]装箱单!$A:$G,7,0)</f>
        <v>30.48</v>
      </c>
      <c r="T16" s="10">
        <f>VLOOKUP($F16,[1]装箱单!$A:$J,10,0)</f>
        <v>0.0405579834</v>
      </c>
      <c r="U16" s="11">
        <f>+T16*L16</f>
        <v>60.8369751</v>
      </c>
    </row>
    <row r="17" ht="29.1" customHeight="1" spans="1:21">
      <c r="A17" s="40">
        <v>46029</v>
      </c>
      <c r="B17" s="41" t="s">
        <v>52</v>
      </c>
      <c r="C17" s="42">
        <v>43730</v>
      </c>
      <c r="D17" s="43"/>
      <c r="E17" s="44"/>
      <c r="F17" s="44">
        <v>320398</v>
      </c>
      <c r="G17" s="44" t="s">
        <v>31</v>
      </c>
      <c r="H17" s="44"/>
      <c r="I17" s="45">
        <f>+L17*4</f>
        <v>8000</v>
      </c>
      <c r="J17" s="45" t="s">
        <v>47</v>
      </c>
      <c r="K17" s="45" t="s">
        <v>33</v>
      </c>
      <c r="L17" s="46">
        <v>2000</v>
      </c>
      <c r="M17" s="43">
        <f>+U17</f>
        <v>20.58</v>
      </c>
      <c r="N17" s="46" t="s">
        <v>34</v>
      </c>
      <c r="O17" s="44"/>
      <c r="P17" s="48"/>
      <c r="Q17" s="8">
        <f>VLOOKUP($F17,[1]装箱单!$A:$E,5,0)</f>
        <v>24.5</v>
      </c>
      <c r="R17" s="8">
        <f>VLOOKUP($F17,[1]装箱单!$A:$F,6,0)</f>
        <v>21</v>
      </c>
      <c r="S17" s="8">
        <f>VLOOKUP($F17,[1]装箱单!$A:$G,7,0)</f>
        <v>20</v>
      </c>
      <c r="T17" s="10">
        <f>VLOOKUP($F17,[1]装箱单!$A:$J,10,0)</f>
        <v>0.01029</v>
      </c>
      <c r="U17" s="11">
        <f>+T17*L17</f>
        <v>20.58</v>
      </c>
    </row>
    <row r="18" ht="29.1" customHeight="1" spans="1:21">
      <c r="A18" s="40">
        <v>46029</v>
      </c>
      <c r="B18" s="41" t="s">
        <v>52</v>
      </c>
      <c r="C18" s="42">
        <v>43721</v>
      </c>
      <c r="D18" s="43"/>
      <c r="E18" s="44"/>
      <c r="F18" s="44">
        <v>320635</v>
      </c>
      <c r="G18" s="44" t="s">
        <v>31</v>
      </c>
      <c r="H18" s="44"/>
      <c r="I18" s="45">
        <f>+L18*2</f>
        <v>2596</v>
      </c>
      <c r="J18" s="45" t="s">
        <v>32</v>
      </c>
      <c r="K18" s="45" t="s">
        <v>33</v>
      </c>
      <c r="L18" s="46">
        <f>1500-202</f>
        <v>1298</v>
      </c>
      <c r="M18" s="43">
        <f>+U18</f>
        <v>20.491184008152</v>
      </c>
      <c r="N18" s="46" t="s">
        <v>34</v>
      </c>
      <c r="O18" s="44"/>
      <c r="P18" s="48"/>
      <c r="Q18" s="8">
        <f>VLOOKUP($F18,[1]装箱单!$A:$E,5,0)</f>
        <v>35.18</v>
      </c>
      <c r="R18" s="8">
        <f>VLOOKUP($F18,[1]装箱单!$A:$F,6,0)</f>
        <v>27.18</v>
      </c>
      <c r="S18" s="8">
        <f>VLOOKUP($F18,[1]装箱单!$A:$G,7,0)</f>
        <v>16.51</v>
      </c>
      <c r="T18" s="10">
        <f>VLOOKUP($F18,[1]装箱单!$A:$J,10,0)</f>
        <v>0.015786736524</v>
      </c>
      <c r="U18" s="11">
        <f>+T18*L18</f>
        <v>20.491184008152</v>
      </c>
    </row>
    <row r="19" ht="29.1" customHeight="1" spans="1:21">
      <c r="A19" s="40"/>
      <c r="B19" s="41"/>
      <c r="C19" s="42"/>
      <c r="D19" s="43"/>
      <c r="E19" s="44"/>
      <c r="F19" s="44"/>
      <c r="G19" s="44"/>
      <c r="H19" s="44"/>
      <c r="I19" s="45"/>
      <c r="J19" s="45"/>
      <c r="K19" s="45"/>
      <c r="L19" s="46"/>
      <c r="M19" s="43">
        <f>SUM(M15:M18)</f>
        <v>140.622597808152</v>
      </c>
      <c r="N19" s="46"/>
      <c r="O19" s="44"/>
      <c r="P19" s="51"/>
    </row>
    <row r="20" ht="29.1" customHeight="1" spans="1:21">
      <c r="A20" s="40">
        <v>46029</v>
      </c>
      <c r="B20" s="41" t="s">
        <v>54</v>
      </c>
      <c r="C20" s="42" t="s">
        <v>55</v>
      </c>
      <c r="D20" s="43"/>
      <c r="E20" s="44">
        <v>953742268</v>
      </c>
      <c r="F20" s="44" t="s">
        <v>56</v>
      </c>
      <c r="G20" s="44" t="s">
        <v>31</v>
      </c>
      <c r="H20" s="44"/>
      <c r="I20" s="45">
        <v>1122</v>
      </c>
      <c r="J20" s="45" t="s">
        <v>32</v>
      </c>
      <c r="K20" s="45" t="s">
        <v>33</v>
      </c>
      <c r="L20" s="46">
        <v>1122</v>
      </c>
      <c r="M20" s="43">
        <f t="shared" ref="M20:M25" si="2">+U20</f>
        <v>18.199328407722</v>
      </c>
      <c r="N20" s="46" t="s">
        <v>57</v>
      </c>
      <c r="O20" s="44"/>
      <c r="P20" s="47" t="s">
        <v>58</v>
      </c>
      <c r="Q20" s="8">
        <f>VLOOKUP($F20,[1]装箱单!$A:$E,5,0)</f>
        <v>26.67</v>
      </c>
      <c r="R20" s="8">
        <f>VLOOKUP($F20,[1]装箱单!$A:$F,6,0)</f>
        <v>18.78</v>
      </c>
      <c r="S20" s="8">
        <f>VLOOKUP($F20,[1]装箱单!$A:$G,7,0)</f>
        <v>32.385</v>
      </c>
      <c r="T20" s="10">
        <f>VLOOKUP($F20,[1]装箱单!$A:$J,10,0)</f>
        <v>0.016220435301</v>
      </c>
      <c r="U20" s="11">
        <f t="shared" ref="U20:U25" si="3">+T20*L20</f>
        <v>18.199328407722</v>
      </c>
    </row>
    <row r="21" ht="29.1" customHeight="1" spans="1:21">
      <c r="A21" s="40">
        <v>46029</v>
      </c>
      <c r="B21" s="41" t="s">
        <v>54</v>
      </c>
      <c r="C21" s="42" t="s">
        <v>59</v>
      </c>
      <c r="D21" s="43"/>
      <c r="E21" s="44">
        <v>953742276</v>
      </c>
      <c r="F21" s="44" t="s">
        <v>56</v>
      </c>
      <c r="G21" s="44" t="s">
        <v>31</v>
      </c>
      <c r="H21" s="44"/>
      <c r="I21" s="45">
        <v>924</v>
      </c>
      <c r="J21" s="45" t="s">
        <v>32</v>
      </c>
      <c r="K21" s="45" t="s">
        <v>33</v>
      </c>
      <c r="L21" s="46">
        <v>924</v>
      </c>
      <c r="M21" s="43">
        <f t="shared" si="2"/>
        <v>14.987682218124</v>
      </c>
      <c r="N21" s="46" t="s">
        <v>57</v>
      </c>
      <c r="O21" s="44"/>
      <c r="P21" s="48"/>
      <c r="Q21" s="8">
        <f>VLOOKUP($F21,[1]装箱单!$A:$E,5,0)</f>
        <v>26.67</v>
      </c>
      <c r="R21" s="8">
        <f>VLOOKUP($F21,[1]装箱单!$A:$F,6,0)</f>
        <v>18.78</v>
      </c>
      <c r="S21" s="8">
        <f>VLOOKUP($F21,[1]装箱单!$A:$G,7,0)</f>
        <v>32.385</v>
      </c>
      <c r="T21" s="10">
        <f>VLOOKUP($F21,[1]装箱单!$A:$J,10,0)</f>
        <v>0.016220435301</v>
      </c>
      <c r="U21" s="11">
        <f t="shared" si="3"/>
        <v>14.987682218124</v>
      </c>
    </row>
    <row r="22" ht="29.1" customHeight="1" spans="1:21">
      <c r="A22" s="40">
        <v>46029</v>
      </c>
      <c r="B22" s="41" t="s">
        <v>54</v>
      </c>
      <c r="C22" s="42" t="s">
        <v>60</v>
      </c>
      <c r="D22" s="43"/>
      <c r="E22" s="44">
        <v>953742289</v>
      </c>
      <c r="F22" s="44" t="s">
        <v>56</v>
      </c>
      <c r="G22" s="44" t="s">
        <v>31</v>
      </c>
      <c r="H22" s="44"/>
      <c r="I22" s="45">
        <v>1056</v>
      </c>
      <c r="J22" s="45" t="s">
        <v>32</v>
      </c>
      <c r="K22" s="45" t="s">
        <v>33</v>
      </c>
      <c r="L22" s="46">
        <f>1056-66</f>
        <v>990</v>
      </c>
      <c r="M22" s="43">
        <f t="shared" si="2"/>
        <v>16.05823094799</v>
      </c>
      <c r="N22" s="46" t="s">
        <v>57</v>
      </c>
      <c r="O22" s="44"/>
      <c r="P22" s="48"/>
      <c r="Q22" s="8">
        <f>VLOOKUP($F22,[1]装箱单!$A:$E,5,0)</f>
        <v>26.67</v>
      </c>
      <c r="R22" s="8">
        <f>VLOOKUP($F22,[1]装箱单!$A:$F,6,0)</f>
        <v>18.78</v>
      </c>
      <c r="S22" s="8">
        <f>VLOOKUP($F22,[1]装箱单!$A:$G,7,0)</f>
        <v>32.385</v>
      </c>
      <c r="T22" s="10">
        <f>VLOOKUP($F22,[1]装箱单!$A:$J,10,0)</f>
        <v>0.016220435301</v>
      </c>
      <c r="U22" s="11">
        <f t="shared" si="3"/>
        <v>16.05823094799</v>
      </c>
    </row>
    <row r="23" ht="29.1" customHeight="1" spans="1:21">
      <c r="A23" s="40">
        <v>46029</v>
      </c>
      <c r="B23" s="41" t="s">
        <v>52</v>
      </c>
      <c r="C23" s="42">
        <v>43721</v>
      </c>
      <c r="D23" s="43"/>
      <c r="E23" s="44"/>
      <c r="F23" s="44">
        <v>320635</v>
      </c>
      <c r="G23" s="44" t="s">
        <v>31</v>
      </c>
      <c r="H23" s="44"/>
      <c r="I23" s="45">
        <f>+L23*2</f>
        <v>404</v>
      </c>
      <c r="J23" s="45" t="s">
        <v>32</v>
      </c>
      <c r="K23" s="45" t="s">
        <v>33</v>
      </c>
      <c r="L23" s="46">
        <v>202</v>
      </c>
      <c r="M23" s="43">
        <f t="shared" si="2"/>
        <v>3.188920777848</v>
      </c>
      <c r="N23" s="46" t="s">
        <v>57</v>
      </c>
      <c r="O23" s="44"/>
      <c r="P23" s="48"/>
      <c r="Q23" s="8">
        <f>VLOOKUP($F23,[1]装箱单!$A:$E,5,0)</f>
        <v>35.18</v>
      </c>
      <c r="R23" s="8">
        <f>VLOOKUP($F23,[1]装箱单!$A:$F,6,0)</f>
        <v>27.18</v>
      </c>
      <c r="S23" s="8">
        <f>VLOOKUP($F23,[1]装箱单!$A:$G,7,0)</f>
        <v>16.51</v>
      </c>
      <c r="T23" s="10">
        <f>VLOOKUP($F23,[1]装箱单!$A:$J,10,0)</f>
        <v>0.015786736524</v>
      </c>
      <c r="U23" s="11">
        <f t="shared" si="3"/>
        <v>3.188920777848</v>
      </c>
    </row>
    <row r="24" ht="29.1" customHeight="1" spans="1:21">
      <c r="A24" s="40">
        <v>46029</v>
      </c>
      <c r="B24" s="41" t="s">
        <v>52</v>
      </c>
      <c r="C24" s="42">
        <v>43649</v>
      </c>
      <c r="D24" s="43"/>
      <c r="E24" s="44"/>
      <c r="F24" s="44" t="s">
        <v>61</v>
      </c>
      <c r="G24" s="44" t="s">
        <v>31</v>
      </c>
      <c r="H24" s="44"/>
      <c r="I24" s="45">
        <f>+L24*4</f>
        <v>6000</v>
      </c>
      <c r="J24" s="45" t="s">
        <v>32</v>
      </c>
      <c r="K24" s="45" t="s">
        <v>33</v>
      </c>
      <c r="L24" s="46">
        <v>1500</v>
      </c>
      <c r="M24" s="43">
        <f t="shared" si="2"/>
        <v>23.8392</v>
      </c>
      <c r="N24" s="46" t="s">
        <v>57</v>
      </c>
      <c r="O24" s="44" t="s">
        <v>62</v>
      </c>
      <c r="P24" s="48"/>
      <c r="Q24" s="8">
        <f>VLOOKUP($F24,[1]装箱单!$A:$E,5,0)</f>
        <v>33</v>
      </c>
      <c r="R24" s="8">
        <f>VLOOKUP($F24,[1]装箱单!$A:$F,6,0)</f>
        <v>17.2</v>
      </c>
      <c r="S24" s="8">
        <f>VLOOKUP($F24,[1]装箱单!$A:$G,7,0)</f>
        <v>28</v>
      </c>
      <c r="T24" s="10">
        <f>VLOOKUP($F24,[1]装箱单!$A:$J,10,0)</f>
        <v>0.0158928</v>
      </c>
      <c r="U24" s="11">
        <f t="shared" si="3"/>
        <v>23.8392</v>
      </c>
    </row>
    <row r="25" ht="29.1" customHeight="1" spans="1:21">
      <c r="A25" s="40">
        <v>46029</v>
      </c>
      <c r="B25" s="41" t="s">
        <v>52</v>
      </c>
      <c r="C25" s="42">
        <v>43721</v>
      </c>
      <c r="D25" s="43"/>
      <c r="E25" s="44"/>
      <c r="F25" s="44" t="s">
        <v>63</v>
      </c>
      <c r="G25" s="44" t="s">
        <v>31</v>
      </c>
      <c r="H25" s="44"/>
      <c r="I25" s="45">
        <f>+L25*4</f>
        <v>6000</v>
      </c>
      <c r="J25" s="45" t="s">
        <v>32</v>
      </c>
      <c r="K25" s="45" t="s">
        <v>33</v>
      </c>
      <c r="L25" s="46">
        <v>1500</v>
      </c>
      <c r="M25" s="43">
        <f t="shared" si="2"/>
        <v>22.8338253</v>
      </c>
      <c r="N25" s="46" t="s">
        <v>57</v>
      </c>
      <c r="O25" s="44" t="s">
        <v>62</v>
      </c>
      <c r="P25" s="48"/>
      <c r="Q25" s="8">
        <f>VLOOKUP($F25,[1]装箱单!$A:$E,5,0)</f>
        <v>27.94</v>
      </c>
      <c r="R25" s="8">
        <f>VLOOKUP($F25,[1]装箱单!$A:$F,6,0)</f>
        <v>16.51</v>
      </c>
      <c r="S25" s="8">
        <f>VLOOKUP($F25,[1]装箱单!$A:$G,7,0)</f>
        <v>33</v>
      </c>
      <c r="T25" s="10">
        <f>VLOOKUP($F25,[1]装箱单!$A:$J,10,0)</f>
        <v>0.0152225502</v>
      </c>
      <c r="U25" s="11">
        <f t="shared" si="3"/>
        <v>22.8338253</v>
      </c>
    </row>
    <row r="26" ht="29.1" customHeight="1" spans="1:21">
      <c r="A26" s="40"/>
      <c r="B26" s="41"/>
      <c r="C26" s="42"/>
      <c r="D26" s="43"/>
      <c r="E26" s="44"/>
      <c r="F26" s="44"/>
      <c r="G26" s="44"/>
      <c r="H26" s="44"/>
      <c r="I26" s="45"/>
      <c r="J26" s="45"/>
      <c r="K26" s="45"/>
      <c r="L26" s="46"/>
      <c r="M26" s="43">
        <f>SUM(M20:M25)</f>
        <v>99.107187651684</v>
      </c>
      <c r="N26" s="46"/>
      <c r="O26" s="44"/>
      <c r="P26" s="51"/>
    </row>
    <row r="27" ht="29.1" customHeight="1" spans="1:21">
      <c r="A27" s="40">
        <v>46030</v>
      </c>
      <c r="B27" s="41" t="s">
        <v>54</v>
      </c>
      <c r="C27" s="42" t="s">
        <v>64</v>
      </c>
      <c r="D27" s="43"/>
      <c r="E27" s="44">
        <v>953742278</v>
      </c>
      <c r="F27" s="44" t="s">
        <v>56</v>
      </c>
      <c r="G27" s="44" t="s">
        <v>31</v>
      </c>
      <c r="H27" s="44"/>
      <c r="I27" s="45">
        <v>858</v>
      </c>
      <c r="J27" s="45" t="s">
        <v>32</v>
      </c>
      <c r="K27" s="45" t="s">
        <v>33</v>
      </c>
      <c r="L27" s="46">
        <v>858</v>
      </c>
      <c r="M27" s="43">
        <f t="shared" ref="M27:M44" si="4">+U27</f>
        <v>13.917133488258</v>
      </c>
      <c r="N27" s="46" t="s">
        <v>34</v>
      </c>
      <c r="O27" s="44"/>
      <c r="P27" s="47" t="s">
        <v>65</v>
      </c>
      <c r="Q27" s="8">
        <f>VLOOKUP($F27,[1]装箱单!$A:$E,5,0)</f>
        <v>26.67</v>
      </c>
      <c r="R27" s="8">
        <f>VLOOKUP($F27,[1]装箱单!$A:$F,6,0)</f>
        <v>18.78</v>
      </c>
      <c r="S27" s="8">
        <f>VLOOKUP($F27,[1]装箱单!$A:$G,7,0)</f>
        <v>32.385</v>
      </c>
      <c r="T27" s="10">
        <f>VLOOKUP($F27,[1]装箱单!$A:$J,10,0)</f>
        <v>0.016220435301</v>
      </c>
      <c r="U27" s="11">
        <f t="shared" ref="U27:U44" si="5">+T27*L27</f>
        <v>13.917133488258</v>
      </c>
    </row>
    <row r="28" ht="29.1" customHeight="1" spans="1:21">
      <c r="A28" s="40">
        <v>46030</v>
      </c>
      <c r="B28" s="41" t="s">
        <v>54</v>
      </c>
      <c r="C28" s="42" t="s">
        <v>60</v>
      </c>
      <c r="D28" s="43"/>
      <c r="E28" s="44">
        <v>953742289</v>
      </c>
      <c r="F28" s="44" t="s">
        <v>56</v>
      </c>
      <c r="G28" s="44" t="s">
        <v>31</v>
      </c>
      <c r="H28" s="44"/>
      <c r="I28" s="45">
        <v>1056</v>
      </c>
      <c r="J28" s="45" t="s">
        <v>32</v>
      </c>
      <c r="K28" s="45" t="s">
        <v>33</v>
      </c>
      <c r="L28" s="46">
        <v>66</v>
      </c>
      <c r="M28" s="43">
        <f t="shared" si="4"/>
        <v>1.070548729866</v>
      </c>
      <c r="N28" s="46" t="s">
        <v>34</v>
      </c>
      <c r="O28" s="44"/>
      <c r="P28" s="48"/>
      <c r="Q28" s="8">
        <f>VLOOKUP($F28,[1]装箱单!$A:$E,5,0)</f>
        <v>26.67</v>
      </c>
      <c r="R28" s="8">
        <f>VLOOKUP($F28,[1]装箱单!$A:$F,6,0)</f>
        <v>18.78</v>
      </c>
      <c r="S28" s="8">
        <f>VLOOKUP($F28,[1]装箱单!$A:$G,7,0)</f>
        <v>32.385</v>
      </c>
      <c r="T28" s="10">
        <f>VLOOKUP($F28,[1]装箱单!$A:$J,10,0)</f>
        <v>0.016220435301</v>
      </c>
      <c r="U28" s="11">
        <f t="shared" si="5"/>
        <v>1.070548729866</v>
      </c>
    </row>
    <row r="29" ht="29.1" customHeight="1" spans="1:21">
      <c r="A29" s="40">
        <v>46030</v>
      </c>
      <c r="B29" s="41" t="s">
        <v>54</v>
      </c>
      <c r="C29" s="42" t="s">
        <v>66</v>
      </c>
      <c r="D29" s="43"/>
      <c r="E29" s="44">
        <v>953742290</v>
      </c>
      <c r="F29" s="44" t="s">
        <v>56</v>
      </c>
      <c r="G29" s="44" t="s">
        <v>31</v>
      </c>
      <c r="H29" s="44"/>
      <c r="I29" s="45">
        <v>1584</v>
      </c>
      <c r="J29" s="45" t="s">
        <v>32</v>
      </c>
      <c r="K29" s="45" t="s">
        <v>33</v>
      </c>
      <c r="L29" s="46">
        <v>1584</v>
      </c>
      <c r="M29" s="43">
        <f t="shared" si="4"/>
        <v>25.693169516784</v>
      </c>
      <c r="N29" s="46" t="s">
        <v>34</v>
      </c>
      <c r="O29" s="44"/>
      <c r="P29" s="48"/>
      <c r="Q29" s="8">
        <f>VLOOKUP($F29,[1]装箱单!$A:$E,5,0)</f>
        <v>26.67</v>
      </c>
      <c r="R29" s="8">
        <f>VLOOKUP($F29,[1]装箱单!$A:$F,6,0)</f>
        <v>18.78</v>
      </c>
      <c r="S29" s="8">
        <f>VLOOKUP($F29,[1]装箱单!$A:$G,7,0)</f>
        <v>32.385</v>
      </c>
      <c r="T29" s="10">
        <f>VLOOKUP($F29,[1]装箱单!$A:$J,10,0)</f>
        <v>0.016220435301</v>
      </c>
      <c r="U29" s="11">
        <f t="shared" si="5"/>
        <v>25.693169516784</v>
      </c>
    </row>
    <row r="30" ht="29.1" customHeight="1" spans="1:21">
      <c r="A30" s="40">
        <v>46030</v>
      </c>
      <c r="B30" s="41" t="s">
        <v>54</v>
      </c>
      <c r="C30" s="42" t="s">
        <v>67</v>
      </c>
      <c r="D30" s="43"/>
      <c r="E30" s="44">
        <v>953742291</v>
      </c>
      <c r="F30" s="44" t="s">
        <v>56</v>
      </c>
      <c r="G30" s="44" t="s">
        <v>31</v>
      </c>
      <c r="H30" s="44"/>
      <c r="I30" s="45">
        <v>1254</v>
      </c>
      <c r="J30" s="45" t="s">
        <v>32</v>
      </c>
      <c r="K30" s="45" t="s">
        <v>33</v>
      </c>
      <c r="L30" s="46">
        <v>1254</v>
      </c>
      <c r="M30" s="43">
        <f t="shared" si="4"/>
        <v>20.340425867454</v>
      </c>
      <c r="N30" s="46" t="s">
        <v>34</v>
      </c>
      <c r="O30" s="44"/>
      <c r="P30" s="48"/>
      <c r="Q30" s="8">
        <f>VLOOKUP($F30,[1]装箱单!$A:$E,5,0)</f>
        <v>26.67</v>
      </c>
      <c r="R30" s="8">
        <f>VLOOKUP($F30,[1]装箱单!$A:$F,6,0)</f>
        <v>18.78</v>
      </c>
      <c r="S30" s="8">
        <f>VLOOKUP($F30,[1]装箱单!$A:$G,7,0)</f>
        <v>32.385</v>
      </c>
      <c r="T30" s="10">
        <f>VLOOKUP($F30,[1]装箱单!$A:$J,10,0)</f>
        <v>0.016220435301</v>
      </c>
      <c r="U30" s="11">
        <f t="shared" si="5"/>
        <v>20.340425867454</v>
      </c>
    </row>
    <row r="31" ht="29.1" customHeight="1" spans="1:21">
      <c r="A31" s="40">
        <v>46030</v>
      </c>
      <c r="B31" s="41" t="s">
        <v>54</v>
      </c>
      <c r="C31" s="42" t="s">
        <v>68</v>
      </c>
      <c r="D31" s="43"/>
      <c r="E31" s="44">
        <v>953742296</v>
      </c>
      <c r="F31" s="44" t="s">
        <v>56</v>
      </c>
      <c r="G31" s="44" t="s">
        <v>31</v>
      </c>
      <c r="H31" s="44"/>
      <c r="I31" s="45">
        <v>924</v>
      </c>
      <c r="J31" s="45" t="s">
        <v>32</v>
      </c>
      <c r="K31" s="45" t="s">
        <v>33</v>
      </c>
      <c r="L31" s="46">
        <v>924</v>
      </c>
      <c r="M31" s="43">
        <f t="shared" si="4"/>
        <v>14.987682218124</v>
      </c>
      <c r="N31" s="46" t="s">
        <v>34</v>
      </c>
      <c r="O31" s="44"/>
      <c r="P31" s="48"/>
      <c r="Q31" s="8">
        <f>VLOOKUP($F31,[1]装箱单!$A:$E,5,0)</f>
        <v>26.67</v>
      </c>
      <c r="R31" s="8">
        <f>VLOOKUP($F31,[1]装箱单!$A:$F,6,0)</f>
        <v>18.78</v>
      </c>
      <c r="S31" s="8">
        <f>VLOOKUP($F31,[1]装箱单!$A:$G,7,0)</f>
        <v>32.385</v>
      </c>
      <c r="T31" s="10">
        <f>VLOOKUP($F31,[1]装箱单!$A:$J,10,0)</f>
        <v>0.016220435301</v>
      </c>
      <c r="U31" s="11">
        <f t="shared" si="5"/>
        <v>14.987682218124</v>
      </c>
    </row>
    <row r="32" ht="29.1" customHeight="1" spans="1:21">
      <c r="A32" s="40">
        <v>46030</v>
      </c>
      <c r="B32" s="41" t="s">
        <v>54</v>
      </c>
      <c r="C32" s="42">
        <v>43670</v>
      </c>
      <c r="D32" s="43"/>
      <c r="E32" s="44" t="s">
        <v>69</v>
      </c>
      <c r="F32" s="44">
        <v>570989</v>
      </c>
      <c r="G32" s="44" t="s">
        <v>31</v>
      </c>
      <c r="H32" s="44"/>
      <c r="I32" s="45">
        <f t="shared" ref="I32:I39" si="6">+L32*27</f>
        <v>6696</v>
      </c>
      <c r="J32" s="45" t="s">
        <v>32</v>
      </c>
      <c r="K32" s="45" t="s">
        <v>33</v>
      </c>
      <c r="L32" s="46">
        <v>248</v>
      </c>
      <c r="M32" s="43">
        <f t="shared" si="4"/>
        <v>2.76726946545</v>
      </c>
      <c r="N32" s="46" t="s">
        <v>34</v>
      </c>
      <c r="O32" s="44"/>
      <c r="P32" s="48"/>
      <c r="Q32" s="8">
        <f>VLOOKUP($F32,[1]装箱单!$A:$E,5,0)</f>
        <v>31.115</v>
      </c>
      <c r="R32" s="8">
        <f>VLOOKUP($F32,[1]装箱单!$A:$F,6,0)</f>
        <v>22.59</v>
      </c>
      <c r="S32" s="8">
        <f>VLOOKUP($F32,[1]装箱单!$A:$G,7,0)</f>
        <v>15.875</v>
      </c>
      <c r="T32" s="10">
        <f>VLOOKUP($F32,[1]装箱单!$A:$J,10,0)</f>
        <v>0.01115834461875</v>
      </c>
      <c r="U32" s="11">
        <f t="shared" si="5"/>
        <v>2.76726946545</v>
      </c>
    </row>
    <row r="33" ht="29.1" customHeight="1" spans="1:21">
      <c r="A33" s="40">
        <v>46030</v>
      </c>
      <c r="B33" s="41" t="s">
        <v>54</v>
      </c>
      <c r="C33" s="42">
        <v>43674</v>
      </c>
      <c r="D33" s="43"/>
      <c r="E33" s="44" t="s">
        <v>70</v>
      </c>
      <c r="F33" s="44">
        <v>570989</v>
      </c>
      <c r="G33" s="44" t="s">
        <v>31</v>
      </c>
      <c r="H33" s="44"/>
      <c r="I33" s="45">
        <f t="shared" si="6"/>
        <v>5994</v>
      </c>
      <c r="J33" s="45" t="s">
        <v>32</v>
      </c>
      <c r="K33" s="45" t="s">
        <v>33</v>
      </c>
      <c r="L33" s="46">
        <v>222</v>
      </c>
      <c r="M33" s="43">
        <f t="shared" si="4"/>
        <v>2.4771525053625</v>
      </c>
      <c r="N33" s="46" t="s">
        <v>34</v>
      </c>
      <c r="O33" s="44"/>
      <c r="P33" s="48"/>
      <c r="Q33" s="8">
        <f>VLOOKUP($F33,[1]装箱单!$A:$E,5,0)</f>
        <v>31.115</v>
      </c>
      <c r="R33" s="8">
        <f>VLOOKUP($F33,[1]装箱单!$A:$F,6,0)</f>
        <v>22.59</v>
      </c>
      <c r="S33" s="8">
        <f>VLOOKUP($F33,[1]装箱单!$A:$G,7,0)</f>
        <v>15.875</v>
      </c>
      <c r="T33" s="10">
        <f>VLOOKUP($F33,[1]装箱单!$A:$J,10,0)</f>
        <v>0.01115834461875</v>
      </c>
      <c r="U33" s="11">
        <f t="shared" si="5"/>
        <v>2.4771525053625</v>
      </c>
    </row>
    <row r="34" ht="29.1" customHeight="1" spans="1:21">
      <c r="A34" s="40">
        <v>46030</v>
      </c>
      <c r="B34" s="41" t="s">
        <v>54</v>
      </c>
      <c r="C34" s="42">
        <v>43683</v>
      </c>
      <c r="D34" s="43"/>
      <c r="E34" s="44" t="s">
        <v>71</v>
      </c>
      <c r="F34" s="44">
        <v>570989</v>
      </c>
      <c r="G34" s="44" t="s">
        <v>31</v>
      </c>
      <c r="H34" s="44"/>
      <c r="I34" s="45">
        <f t="shared" si="6"/>
        <v>216</v>
      </c>
      <c r="J34" s="45" t="s">
        <v>32</v>
      </c>
      <c r="K34" s="45" t="s">
        <v>33</v>
      </c>
      <c r="L34" s="46">
        <v>8</v>
      </c>
      <c r="M34" s="43">
        <f t="shared" si="4"/>
        <v>0.08926675695</v>
      </c>
      <c r="N34" s="46" t="s">
        <v>34</v>
      </c>
      <c r="O34" s="44"/>
      <c r="P34" s="48"/>
      <c r="Q34" s="8">
        <f>VLOOKUP($F34,[1]装箱单!$A:$E,5,0)</f>
        <v>31.115</v>
      </c>
      <c r="R34" s="8">
        <f>VLOOKUP($F34,[1]装箱单!$A:$F,6,0)</f>
        <v>22.59</v>
      </c>
      <c r="S34" s="8">
        <f>VLOOKUP($F34,[1]装箱单!$A:$G,7,0)</f>
        <v>15.875</v>
      </c>
      <c r="T34" s="10">
        <f>VLOOKUP($F34,[1]装箱单!$A:$J,10,0)</f>
        <v>0.01115834461875</v>
      </c>
      <c r="U34" s="11">
        <f t="shared" si="5"/>
        <v>0.08926675695</v>
      </c>
    </row>
    <row r="35" ht="29.1" customHeight="1" spans="1:21">
      <c r="A35" s="40">
        <v>46030</v>
      </c>
      <c r="B35" s="41" t="s">
        <v>54</v>
      </c>
      <c r="C35" s="42">
        <v>43686</v>
      </c>
      <c r="D35" s="43"/>
      <c r="E35" s="44" t="s">
        <v>72</v>
      </c>
      <c r="F35" s="44">
        <v>570989</v>
      </c>
      <c r="G35" s="44" t="s">
        <v>31</v>
      </c>
      <c r="H35" s="44"/>
      <c r="I35" s="45">
        <f t="shared" si="6"/>
        <v>1296</v>
      </c>
      <c r="J35" s="45" t="s">
        <v>32</v>
      </c>
      <c r="K35" s="45" t="s">
        <v>33</v>
      </c>
      <c r="L35" s="46">
        <v>48</v>
      </c>
      <c r="M35" s="43">
        <f t="shared" si="4"/>
        <v>0.5356005417</v>
      </c>
      <c r="N35" s="46" t="s">
        <v>34</v>
      </c>
      <c r="O35" s="44"/>
      <c r="P35" s="48"/>
      <c r="Q35" s="8">
        <f>VLOOKUP($F35,[1]装箱单!$A:$E,5,0)</f>
        <v>31.115</v>
      </c>
      <c r="R35" s="8">
        <f>VLOOKUP($F35,[1]装箱单!$A:$F,6,0)</f>
        <v>22.59</v>
      </c>
      <c r="S35" s="8">
        <f>VLOOKUP($F35,[1]装箱单!$A:$G,7,0)</f>
        <v>15.875</v>
      </c>
      <c r="T35" s="10">
        <f>VLOOKUP($F35,[1]装箱单!$A:$J,10,0)</f>
        <v>0.01115834461875</v>
      </c>
      <c r="U35" s="11">
        <f t="shared" si="5"/>
        <v>0.5356005417</v>
      </c>
    </row>
    <row r="36" ht="29.1" customHeight="1" spans="1:21">
      <c r="A36" s="40">
        <v>46030</v>
      </c>
      <c r="B36" s="41" t="s">
        <v>54</v>
      </c>
      <c r="C36" s="42">
        <v>43690</v>
      </c>
      <c r="D36" s="43"/>
      <c r="E36" s="44" t="s">
        <v>73</v>
      </c>
      <c r="F36" s="44">
        <v>570989</v>
      </c>
      <c r="G36" s="44" t="s">
        <v>31</v>
      </c>
      <c r="H36" s="44"/>
      <c r="I36" s="45">
        <f t="shared" si="6"/>
        <v>4050</v>
      </c>
      <c r="J36" s="45" t="s">
        <v>32</v>
      </c>
      <c r="K36" s="45" t="s">
        <v>33</v>
      </c>
      <c r="L36" s="76">
        <v>150</v>
      </c>
      <c r="M36" s="43">
        <f t="shared" si="4"/>
        <v>1.6737516928125</v>
      </c>
      <c r="N36" s="46" t="s">
        <v>34</v>
      </c>
      <c r="O36" s="44"/>
      <c r="P36" s="48"/>
      <c r="Q36" s="8">
        <f>VLOOKUP($F36,[1]装箱单!$A:$E,5,0)</f>
        <v>31.115</v>
      </c>
      <c r="R36" s="8">
        <f>VLOOKUP($F36,[1]装箱单!$A:$F,6,0)</f>
        <v>22.59</v>
      </c>
      <c r="S36" s="8">
        <f>VLOOKUP($F36,[1]装箱单!$A:$G,7,0)</f>
        <v>15.875</v>
      </c>
      <c r="T36" s="10">
        <f>VLOOKUP($F36,[1]装箱单!$A:$J,10,0)</f>
        <v>0.01115834461875</v>
      </c>
      <c r="U36" s="11">
        <f t="shared" si="5"/>
        <v>1.6737516928125</v>
      </c>
    </row>
    <row r="37" ht="29.1" customHeight="1" spans="1:21">
      <c r="A37" s="40">
        <v>46030</v>
      </c>
      <c r="B37" s="41" t="s">
        <v>54</v>
      </c>
      <c r="C37" s="42">
        <v>43691</v>
      </c>
      <c r="D37" s="43"/>
      <c r="E37" s="44" t="s">
        <v>74</v>
      </c>
      <c r="F37" s="44">
        <v>570989</v>
      </c>
      <c r="G37" s="44" t="s">
        <v>31</v>
      </c>
      <c r="H37" s="44"/>
      <c r="I37" s="45">
        <f t="shared" si="6"/>
        <v>648</v>
      </c>
      <c r="J37" s="45" t="s">
        <v>32</v>
      </c>
      <c r="K37" s="45" t="s">
        <v>33</v>
      </c>
      <c r="L37" s="46">
        <v>24</v>
      </c>
      <c r="M37" s="43">
        <f t="shared" si="4"/>
        <v>0.26780027085</v>
      </c>
      <c r="N37" s="46" t="s">
        <v>34</v>
      </c>
      <c r="O37" s="44"/>
      <c r="P37" s="48"/>
      <c r="Q37" s="8">
        <f>VLOOKUP($F37,[1]装箱单!$A:$E,5,0)</f>
        <v>31.115</v>
      </c>
      <c r="R37" s="8">
        <f>VLOOKUP($F37,[1]装箱单!$A:$F,6,0)</f>
        <v>22.59</v>
      </c>
      <c r="S37" s="8">
        <f>VLOOKUP($F37,[1]装箱单!$A:$G,7,0)</f>
        <v>15.875</v>
      </c>
      <c r="T37" s="10">
        <f>VLOOKUP($F37,[1]装箱单!$A:$J,10,0)</f>
        <v>0.01115834461875</v>
      </c>
      <c r="U37" s="11">
        <f t="shared" si="5"/>
        <v>0.26780027085</v>
      </c>
    </row>
    <row r="38" ht="29.1" customHeight="1" spans="1:21">
      <c r="A38" s="40">
        <v>46030</v>
      </c>
      <c r="B38" s="41" t="s">
        <v>54</v>
      </c>
      <c r="C38" s="42">
        <v>43688</v>
      </c>
      <c r="D38" s="43"/>
      <c r="E38" s="44" t="s">
        <v>75</v>
      </c>
      <c r="F38" s="44">
        <v>570989</v>
      </c>
      <c r="G38" s="44" t="s">
        <v>31</v>
      </c>
      <c r="H38" s="44"/>
      <c r="I38" s="45">
        <f t="shared" si="6"/>
        <v>2160</v>
      </c>
      <c r="J38" s="45" t="s">
        <v>32</v>
      </c>
      <c r="K38" s="45" t="s">
        <v>33</v>
      </c>
      <c r="L38" s="46">
        <v>80</v>
      </c>
      <c r="M38" s="43">
        <f t="shared" si="4"/>
        <v>0.8926675695</v>
      </c>
      <c r="N38" s="46" t="s">
        <v>34</v>
      </c>
      <c r="O38" s="44"/>
      <c r="P38" s="48"/>
      <c r="Q38" s="8">
        <f>VLOOKUP($F38,[1]装箱单!$A:$E,5,0)</f>
        <v>31.115</v>
      </c>
      <c r="R38" s="8">
        <f>VLOOKUP($F38,[1]装箱单!$A:$F,6,0)</f>
        <v>22.59</v>
      </c>
      <c r="S38" s="8">
        <f>VLOOKUP($F38,[1]装箱单!$A:$G,7,0)</f>
        <v>15.875</v>
      </c>
      <c r="T38" s="10">
        <f>VLOOKUP($F38,[1]装箱单!$A:$J,10,0)</f>
        <v>0.01115834461875</v>
      </c>
      <c r="U38" s="11">
        <f t="shared" si="5"/>
        <v>0.8926675695</v>
      </c>
    </row>
    <row r="39" ht="29.1" customHeight="1" spans="1:21">
      <c r="A39" s="40">
        <v>46030</v>
      </c>
      <c r="B39" s="41" t="s">
        <v>54</v>
      </c>
      <c r="C39" s="42">
        <v>43694</v>
      </c>
      <c r="D39" s="43"/>
      <c r="E39" s="44" t="s">
        <v>76</v>
      </c>
      <c r="F39" s="44">
        <v>570989</v>
      </c>
      <c r="G39" s="44" t="s">
        <v>31</v>
      </c>
      <c r="H39" s="44"/>
      <c r="I39" s="45">
        <f t="shared" si="6"/>
        <v>2160</v>
      </c>
      <c r="J39" s="45" t="s">
        <v>32</v>
      </c>
      <c r="K39" s="45" t="s">
        <v>33</v>
      </c>
      <c r="L39" s="46">
        <v>80</v>
      </c>
      <c r="M39" s="43">
        <f t="shared" si="4"/>
        <v>0.8926675695</v>
      </c>
      <c r="N39" s="46" t="s">
        <v>34</v>
      </c>
      <c r="O39" s="44" t="s">
        <v>62</v>
      </c>
      <c r="P39" s="48"/>
      <c r="Q39" s="8">
        <f>VLOOKUP($F39,[1]装箱单!$A:$E,5,0)</f>
        <v>31.115</v>
      </c>
      <c r="R39" s="8">
        <f>VLOOKUP($F39,[1]装箱单!$A:$F,6,0)</f>
        <v>22.59</v>
      </c>
      <c r="S39" s="8">
        <f>VLOOKUP($F39,[1]装箱单!$A:$G,7,0)</f>
        <v>15.875</v>
      </c>
      <c r="T39" s="10">
        <f>VLOOKUP($F39,[1]装箱单!$A:$J,10,0)</f>
        <v>0.01115834461875</v>
      </c>
      <c r="U39" s="11">
        <f t="shared" si="5"/>
        <v>0.8926675695</v>
      </c>
    </row>
    <row r="40" ht="29.1" customHeight="1" spans="1:21">
      <c r="A40" s="40">
        <v>46030</v>
      </c>
      <c r="B40" s="41" t="s">
        <v>77</v>
      </c>
      <c r="C40" s="42" t="s">
        <v>78</v>
      </c>
      <c r="D40" s="43"/>
      <c r="E40" s="44" t="s">
        <v>79</v>
      </c>
      <c r="F40" s="44" t="s">
        <v>80</v>
      </c>
      <c r="G40" s="44" t="s">
        <v>31</v>
      </c>
      <c r="H40" s="44"/>
      <c r="I40" s="45">
        <f>+L40*18</f>
        <v>5994</v>
      </c>
      <c r="J40" s="45" t="s">
        <v>32</v>
      </c>
      <c r="K40" s="45" t="s">
        <v>33</v>
      </c>
      <c r="L40" s="46">
        <v>333</v>
      </c>
      <c r="M40" s="43">
        <f t="shared" si="4"/>
        <v>4.999139856</v>
      </c>
      <c r="N40" s="46" t="s">
        <v>34</v>
      </c>
      <c r="O40" s="44" t="s">
        <v>62</v>
      </c>
      <c r="P40" s="48"/>
      <c r="Q40" s="8">
        <f>VLOOKUP($F40,[1]装箱单!$A:$E,5,0)</f>
        <v>42.48</v>
      </c>
      <c r="R40" s="8">
        <f>VLOOKUP($F40,[1]装箱单!$A:$F,6,0)</f>
        <v>22.8</v>
      </c>
      <c r="S40" s="8">
        <f>VLOOKUP($F40,[1]装箱单!$A:$G,7,0)</f>
        <v>15.5</v>
      </c>
      <c r="T40" s="10">
        <f>VLOOKUP($F40,[1]装箱单!$A:$J,10,0)</f>
        <v>0.015012432</v>
      </c>
      <c r="U40" s="11">
        <f t="shared" si="5"/>
        <v>4.999139856</v>
      </c>
    </row>
    <row r="41" ht="29.1" customHeight="1" spans="1:21">
      <c r="A41" s="40">
        <v>46030</v>
      </c>
      <c r="B41" s="41" t="s">
        <v>27</v>
      </c>
      <c r="C41" s="42" t="s">
        <v>81</v>
      </c>
      <c r="D41" s="43"/>
      <c r="E41" s="44" t="s">
        <v>82</v>
      </c>
      <c r="F41" s="44" t="s">
        <v>83</v>
      </c>
      <c r="G41" s="44" t="s">
        <v>31</v>
      </c>
      <c r="H41" s="44"/>
      <c r="I41" s="45">
        <f>+L41*8</f>
        <v>2328</v>
      </c>
      <c r="J41" s="45" t="s">
        <v>32</v>
      </c>
      <c r="K41" s="45" t="s">
        <v>33</v>
      </c>
      <c r="L41" s="46">
        <v>291</v>
      </c>
      <c r="M41" s="43">
        <f t="shared" si="4"/>
        <v>24.40945360035</v>
      </c>
      <c r="N41" s="46" t="s">
        <v>34</v>
      </c>
      <c r="O41" s="44" t="s">
        <v>84</v>
      </c>
      <c r="P41" s="48"/>
      <c r="Q41" s="8">
        <f>VLOOKUP($F41,[1]装箱单!$A:$E,5,0)</f>
        <v>57.785</v>
      </c>
      <c r="R41" s="8">
        <f>VLOOKUP($F41,[1]装箱单!$A:$F,6,0)</f>
        <v>57.15</v>
      </c>
      <c r="S41" s="8">
        <f>VLOOKUP($F41,[1]装箱单!$A:$G,7,0)</f>
        <v>25.4</v>
      </c>
      <c r="T41" s="10">
        <f>VLOOKUP($F41,[1]装箱单!$A:$J,10,0)</f>
        <v>0.08388128385</v>
      </c>
      <c r="U41" s="11">
        <f t="shared" si="5"/>
        <v>24.40945360035</v>
      </c>
    </row>
    <row r="42" ht="29.1" customHeight="1" spans="1:21">
      <c r="A42" s="40">
        <v>46030</v>
      </c>
      <c r="B42" s="41" t="s">
        <v>27</v>
      </c>
      <c r="C42" s="42" t="s">
        <v>85</v>
      </c>
      <c r="D42" s="43"/>
      <c r="E42" s="44" t="s">
        <v>86</v>
      </c>
      <c r="F42" s="44" t="s">
        <v>87</v>
      </c>
      <c r="G42" s="44" t="s">
        <v>31</v>
      </c>
      <c r="H42" s="44"/>
      <c r="I42" s="45">
        <f>+L42*8</f>
        <v>272</v>
      </c>
      <c r="J42" s="45" t="s">
        <v>32</v>
      </c>
      <c r="K42" s="45" t="s">
        <v>33</v>
      </c>
      <c r="L42" s="46">
        <v>34</v>
      </c>
      <c r="M42" s="43">
        <f t="shared" si="4"/>
        <v>2.8519636509</v>
      </c>
      <c r="N42" s="46" t="s">
        <v>34</v>
      </c>
      <c r="O42" s="44" t="s">
        <v>84</v>
      </c>
      <c r="P42" s="48"/>
      <c r="Q42" s="8">
        <f>VLOOKUP($F42,[1]装箱单!$A:$E,5,0)</f>
        <v>57.785</v>
      </c>
      <c r="R42" s="8">
        <f>VLOOKUP($F42,[1]装箱单!$A:$F,6,0)</f>
        <v>57.15</v>
      </c>
      <c r="S42" s="8">
        <f>VLOOKUP($F42,[1]装箱单!$A:$G,7,0)</f>
        <v>25.4</v>
      </c>
      <c r="T42" s="10">
        <f>VLOOKUP($F42,[1]装箱单!$A:$J,10,0)</f>
        <v>0.08388128385</v>
      </c>
      <c r="U42" s="11">
        <f t="shared" si="5"/>
        <v>2.8519636509</v>
      </c>
    </row>
    <row r="43" ht="29.1" customHeight="1" spans="1:21">
      <c r="A43" s="40">
        <v>46030</v>
      </c>
      <c r="B43" s="41" t="s">
        <v>27</v>
      </c>
      <c r="C43" s="42" t="s">
        <v>85</v>
      </c>
      <c r="D43" s="43"/>
      <c r="E43" s="44" t="s">
        <v>88</v>
      </c>
      <c r="F43" s="44" t="s">
        <v>89</v>
      </c>
      <c r="G43" s="44" t="s">
        <v>31</v>
      </c>
      <c r="H43" s="44"/>
      <c r="I43" s="45">
        <f>+L43*8</f>
        <v>496</v>
      </c>
      <c r="J43" s="45" t="s">
        <v>32</v>
      </c>
      <c r="K43" s="45" t="s">
        <v>33</v>
      </c>
      <c r="L43" s="46">
        <v>62</v>
      </c>
      <c r="M43" s="43">
        <f t="shared" si="4"/>
        <v>5.2006395987</v>
      </c>
      <c r="N43" s="46" t="s">
        <v>34</v>
      </c>
      <c r="O43" s="44" t="s">
        <v>84</v>
      </c>
      <c r="P43" s="48"/>
      <c r="Q43" s="8">
        <f>VLOOKUP($F43,[1]装箱单!$A:$E,5,0)</f>
        <v>57.785</v>
      </c>
      <c r="R43" s="8">
        <f>VLOOKUP($F43,[1]装箱单!$A:$F,6,0)</f>
        <v>57.15</v>
      </c>
      <c r="S43" s="8">
        <f>VLOOKUP($F43,[1]装箱单!$A:$G,7,0)</f>
        <v>25.4</v>
      </c>
      <c r="T43" s="10">
        <f>VLOOKUP($F43,[1]装箱单!$A:$J,10,0)</f>
        <v>0.08388128385</v>
      </c>
      <c r="U43" s="11">
        <f t="shared" si="5"/>
        <v>5.2006395987</v>
      </c>
    </row>
    <row r="44" ht="29.1" customHeight="1" spans="1:21">
      <c r="A44" s="40">
        <v>46030</v>
      </c>
      <c r="B44" s="41" t="s">
        <v>27</v>
      </c>
      <c r="C44" s="42" t="s">
        <v>28</v>
      </c>
      <c r="D44" s="43"/>
      <c r="E44" s="44" t="s">
        <v>86</v>
      </c>
      <c r="F44" s="44" t="s">
        <v>89</v>
      </c>
      <c r="G44" s="44" t="s">
        <v>31</v>
      </c>
      <c r="H44" s="44"/>
      <c r="I44" s="45">
        <f>+L44*8</f>
        <v>480</v>
      </c>
      <c r="J44" s="45" t="s">
        <v>32</v>
      </c>
      <c r="K44" s="45" t="s">
        <v>33</v>
      </c>
      <c r="L44" s="46">
        <v>60</v>
      </c>
      <c r="M44" s="43">
        <f t="shared" si="4"/>
        <v>5.032877031</v>
      </c>
      <c r="N44" s="46" t="s">
        <v>34</v>
      </c>
      <c r="O44" s="44" t="s">
        <v>84</v>
      </c>
      <c r="P44" s="48"/>
      <c r="Q44" s="8">
        <f>VLOOKUP($F44,[1]装箱单!$A:$E,5,0)</f>
        <v>57.785</v>
      </c>
      <c r="R44" s="8">
        <f>VLOOKUP($F44,[1]装箱单!$A:$F,6,0)</f>
        <v>57.15</v>
      </c>
      <c r="S44" s="8">
        <f>VLOOKUP($F44,[1]装箱单!$A:$G,7,0)</f>
        <v>25.4</v>
      </c>
      <c r="T44" s="10">
        <f>VLOOKUP($F44,[1]装箱单!$A:$J,10,0)</f>
        <v>0.08388128385</v>
      </c>
      <c r="U44" s="11">
        <f t="shared" si="5"/>
        <v>5.032877031</v>
      </c>
    </row>
    <row r="45" ht="29.1" customHeight="1" spans="1:21">
      <c r="A45" s="40"/>
      <c r="B45" s="41"/>
      <c r="C45" s="42"/>
      <c r="D45" s="43"/>
      <c r="E45" s="44"/>
      <c r="F45" s="44"/>
      <c r="G45" s="44"/>
      <c r="H45" s="44"/>
      <c r="I45" s="45"/>
      <c r="J45" s="45"/>
      <c r="K45" s="45"/>
      <c r="L45" s="46"/>
      <c r="M45" s="43">
        <f>SUM(M27:M44)</f>
        <v>128.099209929561</v>
      </c>
      <c r="N45" s="46"/>
      <c r="O45" s="44"/>
      <c r="P45" s="51"/>
    </row>
    <row r="46" ht="29.1" customHeight="1" spans="1:21">
      <c r="A46" s="40">
        <v>46032</v>
      </c>
      <c r="B46" s="41" t="s">
        <v>54</v>
      </c>
      <c r="C46" s="42">
        <v>43673</v>
      </c>
      <c r="D46" s="43"/>
      <c r="E46" s="44" t="s">
        <v>90</v>
      </c>
      <c r="F46" s="44">
        <v>570989</v>
      </c>
      <c r="G46" s="44" t="s">
        <v>31</v>
      </c>
      <c r="H46" s="44"/>
      <c r="I46" s="45">
        <f>+L46*27</f>
        <v>9018</v>
      </c>
      <c r="J46" s="45" t="s">
        <v>32</v>
      </c>
      <c r="K46" s="45" t="s">
        <v>33</v>
      </c>
      <c r="L46" s="46">
        <v>334</v>
      </c>
      <c r="M46" s="43">
        <f t="shared" ref="M46:M67" si="7">+U46</f>
        <v>3.7268871026625</v>
      </c>
      <c r="N46" s="46" t="s">
        <v>34</v>
      </c>
      <c r="O46" s="44"/>
      <c r="P46" s="47" t="s">
        <v>91</v>
      </c>
      <c r="Q46" s="8">
        <f>VLOOKUP($F46,[1]装箱单!$A:$E,5,0)</f>
        <v>31.115</v>
      </c>
      <c r="R46" s="8">
        <f>VLOOKUP($F46,[1]装箱单!$A:$F,6,0)</f>
        <v>22.59</v>
      </c>
      <c r="S46" s="8">
        <f>VLOOKUP($F46,[1]装箱单!$A:$G,7,0)</f>
        <v>15.875</v>
      </c>
      <c r="T46" s="10">
        <f>VLOOKUP($F46,[1]装箱单!$A:$J,10,0)</f>
        <v>0.01115834461875</v>
      </c>
      <c r="U46" s="11">
        <f t="shared" ref="U46:U67" si="8">+T46*L46</f>
        <v>3.7268871026625</v>
      </c>
    </row>
    <row r="47" ht="29.1" customHeight="1" spans="1:21">
      <c r="A47" s="40">
        <v>46032</v>
      </c>
      <c r="B47" s="41" t="s">
        <v>54</v>
      </c>
      <c r="C47" s="42">
        <v>43693</v>
      </c>
      <c r="D47" s="43"/>
      <c r="E47" s="44" t="s">
        <v>92</v>
      </c>
      <c r="F47" s="44">
        <v>570989</v>
      </c>
      <c r="G47" s="44" t="s">
        <v>31</v>
      </c>
      <c r="H47" s="44"/>
      <c r="I47" s="45">
        <f>+L47*27</f>
        <v>1296</v>
      </c>
      <c r="J47" s="45" t="s">
        <v>32</v>
      </c>
      <c r="K47" s="45" t="s">
        <v>33</v>
      </c>
      <c r="L47" s="46">
        <v>48</v>
      </c>
      <c r="M47" s="43">
        <f t="shared" si="7"/>
        <v>0.5356005417</v>
      </c>
      <c r="N47" s="46" t="s">
        <v>34</v>
      </c>
      <c r="O47" s="44"/>
      <c r="P47" s="48"/>
      <c r="Q47" s="8">
        <f>VLOOKUP($F47,[1]装箱单!$A:$E,5,0)</f>
        <v>31.115</v>
      </c>
      <c r="R47" s="8">
        <f>VLOOKUP($F47,[1]装箱单!$A:$F,6,0)</f>
        <v>22.59</v>
      </c>
      <c r="S47" s="8">
        <f>VLOOKUP($F47,[1]装箱单!$A:$G,7,0)</f>
        <v>15.875</v>
      </c>
      <c r="T47" s="10">
        <f>VLOOKUP($F47,[1]装箱单!$A:$J,10,0)</f>
        <v>0.01115834461875</v>
      </c>
      <c r="U47" s="11">
        <f t="shared" si="8"/>
        <v>0.5356005417</v>
      </c>
    </row>
    <row r="48" ht="29.1" customHeight="1" spans="1:21">
      <c r="A48" s="40">
        <v>46032</v>
      </c>
      <c r="B48" s="41" t="s">
        <v>54</v>
      </c>
      <c r="C48" s="42">
        <v>43695</v>
      </c>
      <c r="D48" s="43"/>
      <c r="E48" s="44" t="s">
        <v>93</v>
      </c>
      <c r="F48" s="44">
        <v>570989</v>
      </c>
      <c r="G48" s="44" t="s">
        <v>31</v>
      </c>
      <c r="H48" s="44"/>
      <c r="I48" s="45">
        <f>+L48*27</f>
        <v>3024</v>
      </c>
      <c r="J48" s="45" t="s">
        <v>32</v>
      </c>
      <c r="K48" s="45" t="s">
        <v>33</v>
      </c>
      <c r="L48" s="46">
        <v>112</v>
      </c>
      <c r="M48" s="43">
        <f t="shared" si="7"/>
        <v>1.2497345973</v>
      </c>
      <c r="N48" s="46" t="s">
        <v>34</v>
      </c>
      <c r="O48" s="44"/>
      <c r="P48" s="48"/>
      <c r="Q48" s="8">
        <f>VLOOKUP($F48,[1]装箱单!$A:$E,5,0)</f>
        <v>31.115</v>
      </c>
      <c r="R48" s="8">
        <f>VLOOKUP($F48,[1]装箱单!$A:$F,6,0)</f>
        <v>22.59</v>
      </c>
      <c r="S48" s="8">
        <f>VLOOKUP($F48,[1]装箱单!$A:$G,7,0)</f>
        <v>15.875</v>
      </c>
      <c r="T48" s="10">
        <f>VLOOKUP($F48,[1]装箱单!$A:$J,10,0)</f>
        <v>0.01115834461875</v>
      </c>
      <c r="U48" s="11">
        <f t="shared" si="8"/>
        <v>1.2497345973</v>
      </c>
    </row>
    <row r="49" ht="29.1" customHeight="1" spans="1:21">
      <c r="A49" s="40">
        <v>46032</v>
      </c>
      <c r="B49" s="41" t="s">
        <v>54</v>
      </c>
      <c r="C49" s="42">
        <v>43689</v>
      </c>
      <c r="D49" s="43"/>
      <c r="E49" s="44" t="s">
        <v>94</v>
      </c>
      <c r="F49" s="44">
        <v>570989</v>
      </c>
      <c r="G49" s="44" t="s">
        <v>31</v>
      </c>
      <c r="H49" s="44"/>
      <c r="I49" s="45">
        <f>+L49*27</f>
        <v>2376</v>
      </c>
      <c r="J49" s="45" t="s">
        <v>32</v>
      </c>
      <c r="K49" s="45" t="s">
        <v>33</v>
      </c>
      <c r="L49" s="46">
        <v>88</v>
      </c>
      <c r="M49" s="43">
        <f t="shared" si="7"/>
        <v>0.98193432645</v>
      </c>
      <c r="N49" s="46" t="s">
        <v>34</v>
      </c>
      <c r="O49" s="44"/>
      <c r="P49" s="48"/>
      <c r="Q49" s="8">
        <f>VLOOKUP($F49,[1]装箱单!$A:$E,5,0)</f>
        <v>31.115</v>
      </c>
      <c r="R49" s="8">
        <f>VLOOKUP($F49,[1]装箱单!$A:$F,6,0)</f>
        <v>22.59</v>
      </c>
      <c r="S49" s="8">
        <f>VLOOKUP($F49,[1]装箱单!$A:$G,7,0)</f>
        <v>15.875</v>
      </c>
      <c r="T49" s="10">
        <f>VLOOKUP($F49,[1]装箱单!$A:$J,10,0)</f>
        <v>0.01115834461875</v>
      </c>
      <c r="U49" s="11">
        <f t="shared" si="8"/>
        <v>0.98193432645</v>
      </c>
    </row>
    <row r="50" ht="29.1" customHeight="1" spans="1:21">
      <c r="A50" s="40">
        <v>46032</v>
      </c>
      <c r="B50" s="41" t="s">
        <v>54</v>
      </c>
      <c r="C50" s="42">
        <v>43690</v>
      </c>
      <c r="D50" s="43"/>
      <c r="E50" s="44" t="s">
        <v>73</v>
      </c>
      <c r="F50" s="44">
        <v>570989</v>
      </c>
      <c r="G50" s="44" t="s">
        <v>31</v>
      </c>
      <c r="H50" s="44"/>
      <c r="I50" s="45">
        <f>+L50*27</f>
        <v>1998</v>
      </c>
      <c r="J50" s="45" t="s">
        <v>32</v>
      </c>
      <c r="K50" s="45" t="s">
        <v>33</v>
      </c>
      <c r="L50" s="46">
        <v>74</v>
      </c>
      <c r="M50" s="43">
        <f t="shared" si="7"/>
        <v>0.8257175017875</v>
      </c>
      <c r="N50" s="46" t="s">
        <v>34</v>
      </c>
      <c r="O50" s="44"/>
      <c r="P50" s="48"/>
      <c r="Q50" s="8">
        <f>VLOOKUP($F50,[1]装箱单!$A:$E,5,0)</f>
        <v>31.115</v>
      </c>
      <c r="R50" s="8">
        <f>VLOOKUP($F50,[1]装箱单!$A:$F,6,0)</f>
        <v>22.59</v>
      </c>
      <c r="S50" s="8">
        <f>VLOOKUP($F50,[1]装箱单!$A:$G,7,0)</f>
        <v>15.875</v>
      </c>
      <c r="T50" s="10">
        <f>VLOOKUP($F50,[1]装箱单!$A:$J,10,0)</f>
        <v>0.01115834461875</v>
      </c>
      <c r="U50" s="11">
        <f t="shared" si="8"/>
        <v>0.8257175017875</v>
      </c>
    </row>
    <row r="51" ht="29.1" customHeight="1" spans="1:21">
      <c r="A51" s="40">
        <v>46032</v>
      </c>
      <c r="B51" s="41" t="s">
        <v>95</v>
      </c>
      <c r="C51" s="42" t="s">
        <v>96</v>
      </c>
      <c r="D51" s="43"/>
      <c r="E51" s="44" t="s">
        <v>97</v>
      </c>
      <c r="F51" s="44" t="s">
        <v>98</v>
      </c>
      <c r="G51" s="44" t="s">
        <v>31</v>
      </c>
      <c r="H51" s="44"/>
      <c r="I51" s="45">
        <f>+L51*2</f>
        <v>326</v>
      </c>
      <c r="J51" s="45" t="s">
        <v>32</v>
      </c>
      <c r="K51" s="45" t="s">
        <v>33</v>
      </c>
      <c r="L51" s="46">
        <v>163</v>
      </c>
      <c r="M51" s="43">
        <f t="shared" si="7"/>
        <v>6.03357529242</v>
      </c>
      <c r="N51" s="46" t="s">
        <v>34</v>
      </c>
      <c r="O51" s="44"/>
      <c r="P51" s="48"/>
      <c r="Q51" s="8">
        <f>VLOOKUP($F51,[1]装箱单!$A:$E,5,0)</f>
        <v>37.15</v>
      </c>
      <c r="R51" s="8">
        <f>VLOOKUP($F51,[1]装箱单!$A:$F,6,0)</f>
        <v>27.77</v>
      </c>
      <c r="S51" s="8">
        <f>VLOOKUP($F51,[1]装箱单!$A:$G,7,0)</f>
        <v>35.88</v>
      </c>
      <c r="T51" s="10">
        <f>VLOOKUP($F51,[1]装箱单!$A:$J,10,0)</f>
        <v>0.03701579934</v>
      </c>
      <c r="U51" s="11">
        <f t="shared" si="8"/>
        <v>6.03357529242</v>
      </c>
    </row>
    <row r="52" ht="53.1" customHeight="1" spans="1:21">
      <c r="A52" s="40">
        <v>46032</v>
      </c>
      <c r="B52" s="41" t="s">
        <v>99</v>
      </c>
      <c r="C52" s="42" t="s">
        <v>81</v>
      </c>
      <c r="D52" s="119"/>
      <c r="E52" s="120" t="s">
        <v>100</v>
      </c>
      <c r="F52" s="44">
        <v>11781</v>
      </c>
      <c r="G52" s="44" t="s">
        <v>31</v>
      </c>
      <c r="H52" s="44"/>
      <c r="I52" s="45">
        <v>1416</v>
      </c>
      <c r="J52" s="45" t="s">
        <v>32</v>
      </c>
      <c r="K52" s="45" t="s">
        <v>33</v>
      </c>
      <c r="L52" s="46">
        <f>+I52/24</f>
        <v>59</v>
      </c>
      <c r="M52" s="43">
        <f t="shared" si="7"/>
        <v>0.844385660712</v>
      </c>
      <c r="N52" s="46" t="s">
        <v>34</v>
      </c>
      <c r="O52" s="44"/>
      <c r="P52" s="48"/>
      <c r="Q52" s="8">
        <f>VLOOKUP($F52,[1]装箱单!$A:$E,5,0)</f>
        <v>25.72</v>
      </c>
      <c r="R52" s="8">
        <f>VLOOKUP($F52,[1]装箱单!$A:$F,6,0)</f>
        <v>19.69</v>
      </c>
      <c r="S52" s="8">
        <f>VLOOKUP($F52,[1]装箱单!$A:$G,7,0)</f>
        <v>28.26</v>
      </c>
      <c r="T52" s="10">
        <f>VLOOKUP($F52,[1]装箱单!$A:$J,10,0)</f>
        <v>0.014311621368</v>
      </c>
      <c r="U52" s="11">
        <f t="shared" si="8"/>
        <v>0.844385660712</v>
      </c>
    </row>
    <row r="53" ht="53.1" customHeight="1" spans="1:21">
      <c r="A53" s="40">
        <v>46032</v>
      </c>
      <c r="B53" s="41" t="s">
        <v>99</v>
      </c>
      <c r="C53" s="42" t="s">
        <v>28</v>
      </c>
      <c r="D53" s="121"/>
      <c r="E53" s="122"/>
      <c r="F53" s="44">
        <v>11783</v>
      </c>
      <c r="G53" s="44" t="s">
        <v>31</v>
      </c>
      <c r="H53" s="44"/>
      <c r="I53" s="45">
        <v>672</v>
      </c>
      <c r="J53" s="45" t="s">
        <v>32</v>
      </c>
      <c r="K53" s="45" t="s">
        <v>33</v>
      </c>
      <c r="L53" s="46">
        <f>+I53/24</f>
        <v>28</v>
      </c>
      <c r="M53" s="43">
        <f t="shared" si="7"/>
        <v>0.400725398304</v>
      </c>
      <c r="N53" s="46" t="s">
        <v>34</v>
      </c>
      <c r="O53" s="44"/>
      <c r="P53" s="48"/>
      <c r="Q53" s="8">
        <f>VLOOKUP($F53,[1]装箱单!$A:$E,5,0)</f>
        <v>25.72</v>
      </c>
      <c r="R53" s="8">
        <f>VLOOKUP($F53,[1]装箱单!$A:$F,6,0)</f>
        <v>19.69</v>
      </c>
      <c r="S53" s="8">
        <f>VLOOKUP($F53,[1]装箱单!$A:$G,7,0)</f>
        <v>28.26</v>
      </c>
      <c r="T53" s="10">
        <f>VLOOKUP($F53,[1]装箱单!$A:$J,10,0)</f>
        <v>0.014311621368</v>
      </c>
      <c r="U53" s="11">
        <f t="shared" si="8"/>
        <v>0.400725398304</v>
      </c>
    </row>
    <row r="54" ht="29.1" customHeight="1" spans="1:21">
      <c r="A54" s="40">
        <v>46032</v>
      </c>
      <c r="B54" s="41" t="s">
        <v>101</v>
      </c>
      <c r="C54" s="42" t="s">
        <v>28</v>
      </c>
      <c r="D54" s="43"/>
      <c r="E54" s="44" t="s">
        <v>102</v>
      </c>
      <c r="F54" s="44">
        <v>45586</v>
      </c>
      <c r="G54" s="44" t="s">
        <v>31</v>
      </c>
      <c r="H54" s="44"/>
      <c r="I54" s="45">
        <v>384</v>
      </c>
      <c r="J54" s="45" t="s">
        <v>32</v>
      </c>
      <c r="K54" s="45" t="s">
        <v>33</v>
      </c>
      <c r="L54" s="46">
        <f>+I54/24</f>
        <v>16</v>
      </c>
      <c r="M54" s="43">
        <f t="shared" si="7"/>
        <v>0.228985941888</v>
      </c>
      <c r="N54" s="46" t="s">
        <v>34</v>
      </c>
      <c r="O54" s="44"/>
      <c r="P54" s="48"/>
      <c r="Q54" s="8">
        <f>VLOOKUP($F54,[1]装箱单!$A:$E,5,0)</f>
        <v>25.72</v>
      </c>
      <c r="R54" s="8">
        <f>VLOOKUP($F54,[1]装箱单!$A:$F,6,0)</f>
        <v>19.69</v>
      </c>
      <c r="S54" s="8">
        <f>VLOOKUP($F54,[1]装箱单!$A:$G,7,0)</f>
        <v>28.26</v>
      </c>
      <c r="T54" s="10">
        <f>VLOOKUP($F54,[1]装箱单!$A:$J,10,0)</f>
        <v>0.014311621368</v>
      </c>
      <c r="U54" s="11">
        <f t="shared" si="8"/>
        <v>0.228985941888</v>
      </c>
    </row>
    <row r="55" ht="29.1" customHeight="1" spans="1:21">
      <c r="A55" s="40">
        <v>46032</v>
      </c>
      <c r="B55" s="41" t="s">
        <v>38</v>
      </c>
      <c r="C55" s="42" t="s">
        <v>103</v>
      </c>
      <c r="D55" s="43"/>
      <c r="E55" s="44">
        <v>954188921</v>
      </c>
      <c r="F55" s="44">
        <v>28483</v>
      </c>
      <c r="G55" s="44" t="s">
        <v>31</v>
      </c>
      <c r="H55" s="44"/>
      <c r="I55" s="45">
        <v>1046</v>
      </c>
      <c r="J55" s="45" t="s">
        <v>32</v>
      </c>
      <c r="K55" s="45" t="s">
        <v>33</v>
      </c>
      <c r="L55" s="46">
        <v>1046</v>
      </c>
      <c r="M55" s="43">
        <f t="shared" si="7"/>
        <v>6.03823374</v>
      </c>
      <c r="N55" s="46" t="s">
        <v>34</v>
      </c>
      <c r="O55" s="44"/>
      <c r="P55" s="48"/>
      <c r="Q55" s="8">
        <f>VLOOKUP($F55,[1]装箱单!$A:$E,5,0)</f>
        <v>16.83</v>
      </c>
      <c r="R55" s="8">
        <f>VLOOKUP($F55,[1]装箱单!$A:$F,6,0)</f>
        <v>17.15</v>
      </c>
      <c r="S55" s="8">
        <f>VLOOKUP($F55,[1]装箱单!$A:$G,7,0)</f>
        <v>20</v>
      </c>
      <c r="T55" s="10">
        <f>VLOOKUP($F55,[1]装箱单!$A:$J,10,0)</f>
        <v>0.00577269</v>
      </c>
      <c r="U55" s="11">
        <f t="shared" si="8"/>
        <v>6.03823374</v>
      </c>
    </row>
    <row r="56" ht="29.1" customHeight="1" spans="1:21">
      <c r="A56" s="40">
        <v>46032</v>
      </c>
      <c r="B56" s="41" t="s">
        <v>104</v>
      </c>
      <c r="C56" s="42" t="s">
        <v>105</v>
      </c>
      <c r="D56" s="43"/>
      <c r="E56" s="44">
        <v>40531370</v>
      </c>
      <c r="F56" s="44" t="s">
        <v>51</v>
      </c>
      <c r="G56" s="44" t="s">
        <v>31</v>
      </c>
      <c r="H56" s="44"/>
      <c r="I56" s="45">
        <v>9600</v>
      </c>
      <c r="J56" s="45" t="s">
        <v>32</v>
      </c>
      <c r="K56" s="45" t="s">
        <v>33</v>
      </c>
      <c r="L56" s="46">
        <f>+I56/48</f>
        <v>200</v>
      </c>
      <c r="M56" s="43">
        <f t="shared" si="7"/>
        <v>8.1746346</v>
      </c>
      <c r="N56" s="46" t="s">
        <v>34</v>
      </c>
      <c r="O56" s="44"/>
      <c r="P56" s="48"/>
      <c r="Q56" s="8">
        <f>VLOOKUP($F56,[1]装箱单!$A:$E,5,0)</f>
        <v>37.15</v>
      </c>
      <c r="R56" s="8">
        <f>VLOOKUP($F56,[1]装箱单!$A:$F,6,0)</f>
        <v>33</v>
      </c>
      <c r="S56" s="8">
        <f>VLOOKUP($F56,[1]装箱单!$A:$G,7,0)</f>
        <v>33.34</v>
      </c>
      <c r="T56" s="10">
        <f>VLOOKUP($F56,[1]装箱单!$A:$J,10,0)</f>
        <v>0.040873173</v>
      </c>
      <c r="U56" s="11">
        <f t="shared" si="8"/>
        <v>8.1746346</v>
      </c>
    </row>
    <row r="57" ht="29.1" customHeight="1" spans="1:21">
      <c r="A57" s="40">
        <v>46032</v>
      </c>
      <c r="B57" s="41" t="s">
        <v>104</v>
      </c>
      <c r="C57" s="42" t="s">
        <v>106</v>
      </c>
      <c r="D57" s="43"/>
      <c r="E57" s="44">
        <v>40531510</v>
      </c>
      <c r="F57" s="44" t="s">
        <v>51</v>
      </c>
      <c r="G57" s="44" t="s">
        <v>31</v>
      </c>
      <c r="H57" s="44"/>
      <c r="I57" s="45">
        <v>2880</v>
      </c>
      <c r="J57" s="45" t="s">
        <v>32</v>
      </c>
      <c r="K57" s="45" t="s">
        <v>33</v>
      </c>
      <c r="L57" s="46">
        <f>+I57/48</f>
        <v>60</v>
      </c>
      <c r="M57" s="43">
        <f t="shared" si="7"/>
        <v>2.45239038</v>
      </c>
      <c r="N57" s="46" t="s">
        <v>34</v>
      </c>
      <c r="O57" s="44"/>
      <c r="P57" s="48"/>
      <c r="Q57" s="8">
        <f>VLOOKUP($F57,[1]装箱单!$A:$E,5,0)</f>
        <v>37.15</v>
      </c>
      <c r="R57" s="8">
        <f>VLOOKUP($F57,[1]装箱单!$A:$F,6,0)</f>
        <v>33</v>
      </c>
      <c r="S57" s="8">
        <f>VLOOKUP($F57,[1]装箱单!$A:$G,7,0)</f>
        <v>33.34</v>
      </c>
      <c r="T57" s="10">
        <f>VLOOKUP($F57,[1]装箱单!$A:$J,10,0)</f>
        <v>0.040873173</v>
      </c>
      <c r="U57" s="11">
        <f t="shared" si="8"/>
        <v>2.45239038</v>
      </c>
    </row>
    <row r="58" ht="29.1" customHeight="1" spans="1:21">
      <c r="A58" s="40">
        <v>46032</v>
      </c>
      <c r="B58" s="41" t="s">
        <v>104</v>
      </c>
      <c r="C58" s="42" t="s">
        <v>107</v>
      </c>
      <c r="D58" s="43"/>
      <c r="E58" s="44">
        <v>45439922</v>
      </c>
      <c r="F58" s="44" t="s">
        <v>51</v>
      </c>
      <c r="G58" s="44" t="s">
        <v>31</v>
      </c>
      <c r="H58" s="44"/>
      <c r="I58" s="45">
        <v>2880</v>
      </c>
      <c r="J58" s="45" t="s">
        <v>32</v>
      </c>
      <c r="K58" s="45" t="s">
        <v>33</v>
      </c>
      <c r="L58" s="46">
        <f>+I58/48</f>
        <v>60</v>
      </c>
      <c r="M58" s="43">
        <f t="shared" si="7"/>
        <v>2.45239038</v>
      </c>
      <c r="N58" s="46" t="s">
        <v>34</v>
      </c>
      <c r="O58" s="44"/>
      <c r="P58" s="48"/>
      <c r="Q58" s="8">
        <f>VLOOKUP($F58,[1]装箱单!$A:$E,5,0)</f>
        <v>37.15</v>
      </c>
      <c r="R58" s="8">
        <f>VLOOKUP($F58,[1]装箱单!$A:$F,6,0)</f>
        <v>33</v>
      </c>
      <c r="S58" s="8">
        <f>VLOOKUP($F58,[1]装箱单!$A:$G,7,0)</f>
        <v>33.34</v>
      </c>
      <c r="T58" s="10">
        <f>VLOOKUP($F58,[1]装箱单!$A:$J,10,0)</f>
        <v>0.040873173</v>
      </c>
      <c r="U58" s="11">
        <f t="shared" si="8"/>
        <v>2.45239038</v>
      </c>
    </row>
    <row r="59" ht="29.1" customHeight="1" spans="1:21">
      <c r="A59" s="40">
        <v>46032</v>
      </c>
      <c r="B59" s="41" t="s">
        <v>108</v>
      </c>
      <c r="C59" s="42" t="s">
        <v>109</v>
      </c>
      <c r="D59" s="43"/>
      <c r="E59" s="44" t="s">
        <v>110</v>
      </c>
      <c r="F59" s="44" t="s">
        <v>111</v>
      </c>
      <c r="G59" s="44" t="s">
        <v>31</v>
      </c>
      <c r="H59" s="44"/>
      <c r="I59" s="45">
        <v>3600</v>
      </c>
      <c r="J59" s="45" t="s">
        <v>32</v>
      </c>
      <c r="K59" s="45" t="s">
        <v>33</v>
      </c>
      <c r="L59" s="46">
        <v>200</v>
      </c>
      <c r="M59" s="43">
        <f t="shared" si="7"/>
        <v>1.1586025215</v>
      </c>
      <c r="N59" s="46" t="s">
        <v>34</v>
      </c>
      <c r="O59" s="44"/>
      <c r="P59" s="48"/>
      <c r="Q59" s="8">
        <f>VLOOKUP($F59,[1]装箱单!$A:$E,5,0)</f>
        <v>32.385</v>
      </c>
      <c r="R59" s="8">
        <f>VLOOKUP($F59,[1]装箱单!$A:$F,6,0)</f>
        <v>18.78</v>
      </c>
      <c r="S59" s="8">
        <f>VLOOKUP($F59,[1]装箱单!$A:$G,7,0)</f>
        <v>9.525</v>
      </c>
      <c r="T59" s="10">
        <f>VLOOKUP($F59,[1]装箱单!$A:$J,10,0)</f>
        <v>0.0057930126075</v>
      </c>
      <c r="U59" s="11">
        <f t="shared" si="8"/>
        <v>1.1586025215</v>
      </c>
    </row>
    <row r="60" ht="29.1" customHeight="1" spans="1:21">
      <c r="A60" s="40">
        <v>46032</v>
      </c>
      <c r="B60" s="41" t="s">
        <v>108</v>
      </c>
      <c r="C60" s="42" t="s">
        <v>109</v>
      </c>
      <c r="D60" s="43"/>
      <c r="E60" s="44" t="s">
        <v>110</v>
      </c>
      <c r="F60" s="44" t="s">
        <v>111</v>
      </c>
      <c r="G60" s="44" t="s">
        <v>31</v>
      </c>
      <c r="H60" s="44"/>
      <c r="I60" s="45">
        <v>3600</v>
      </c>
      <c r="J60" s="45" t="s">
        <v>32</v>
      </c>
      <c r="K60" s="45" t="s">
        <v>33</v>
      </c>
      <c r="L60" s="46">
        <v>200</v>
      </c>
      <c r="M60" s="43">
        <f t="shared" si="7"/>
        <v>1.1586025215</v>
      </c>
      <c r="N60" s="46" t="s">
        <v>34</v>
      </c>
      <c r="O60" s="44"/>
      <c r="P60" s="48"/>
      <c r="Q60" s="8">
        <f>VLOOKUP($F60,[1]装箱单!$A:$E,5,0)</f>
        <v>32.385</v>
      </c>
      <c r="R60" s="8">
        <f>VLOOKUP($F60,[1]装箱单!$A:$F,6,0)</f>
        <v>18.78</v>
      </c>
      <c r="S60" s="8">
        <f>VLOOKUP($F60,[1]装箱单!$A:$G,7,0)</f>
        <v>9.525</v>
      </c>
      <c r="T60" s="10">
        <f>VLOOKUP($F60,[1]装箱单!$A:$J,10,0)</f>
        <v>0.0057930126075</v>
      </c>
      <c r="U60" s="11">
        <f t="shared" si="8"/>
        <v>1.1586025215</v>
      </c>
    </row>
    <row r="61" ht="29.1" customHeight="1" spans="1:21">
      <c r="A61" s="40">
        <v>46032</v>
      </c>
      <c r="B61" s="41" t="s">
        <v>108</v>
      </c>
      <c r="C61" s="42" t="s">
        <v>109</v>
      </c>
      <c r="D61" s="43"/>
      <c r="E61" s="44" t="s">
        <v>110</v>
      </c>
      <c r="F61" s="44" t="s">
        <v>45</v>
      </c>
      <c r="G61" s="44" t="s">
        <v>31</v>
      </c>
      <c r="H61" s="44"/>
      <c r="I61" s="45">
        <v>3600</v>
      </c>
      <c r="J61" s="45" t="s">
        <v>32</v>
      </c>
      <c r="K61" s="45" t="s">
        <v>33</v>
      </c>
      <c r="L61" s="46">
        <v>200</v>
      </c>
      <c r="M61" s="43">
        <f t="shared" si="7"/>
        <v>1.1586025215</v>
      </c>
      <c r="N61" s="46" t="s">
        <v>34</v>
      </c>
      <c r="O61" s="44"/>
      <c r="P61" s="48"/>
      <c r="Q61" s="8">
        <f>VLOOKUP($F61,[1]装箱单!$A:$E,5,0)</f>
        <v>32.385</v>
      </c>
      <c r="R61" s="8">
        <f>VLOOKUP($F61,[1]装箱单!$A:$F,6,0)</f>
        <v>18.78</v>
      </c>
      <c r="S61" s="8">
        <f>VLOOKUP($F61,[1]装箱单!$A:$G,7,0)</f>
        <v>9.525</v>
      </c>
      <c r="T61" s="10">
        <f>VLOOKUP($F61,[1]装箱单!$A:$J,10,0)</f>
        <v>0.0057930126075</v>
      </c>
      <c r="U61" s="11">
        <f t="shared" si="8"/>
        <v>1.1586025215</v>
      </c>
    </row>
    <row r="62" ht="29.1" customHeight="1" spans="1:21">
      <c r="A62" s="40">
        <v>46032</v>
      </c>
      <c r="B62" s="41" t="s">
        <v>108</v>
      </c>
      <c r="C62" s="42" t="s">
        <v>109</v>
      </c>
      <c r="D62" s="43"/>
      <c r="E62" s="44" t="s">
        <v>110</v>
      </c>
      <c r="F62" s="44" t="s">
        <v>45</v>
      </c>
      <c r="G62" s="44" t="s">
        <v>31</v>
      </c>
      <c r="H62" s="44"/>
      <c r="I62" s="45">
        <v>3600</v>
      </c>
      <c r="J62" s="45" t="s">
        <v>32</v>
      </c>
      <c r="K62" s="45" t="s">
        <v>33</v>
      </c>
      <c r="L62" s="46">
        <v>200</v>
      </c>
      <c r="M62" s="43">
        <f t="shared" si="7"/>
        <v>1.1586025215</v>
      </c>
      <c r="N62" s="46" t="s">
        <v>34</v>
      </c>
      <c r="O62" s="44"/>
      <c r="P62" s="48"/>
      <c r="Q62" s="8">
        <f>VLOOKUP($F62,[1]装箱单!$A:$E,5,0)</f>
        <v>32.385</v>
      </c>
      <c r="R62" s="8">
        <f>VLOOKUP($F62,[1]装箱单!$A:$F,6,0)</f>
        <v>18.78</v>
      </c>
      <c r="S62" s="8">
        <f>VLOOKUP($F62,[1]装箱单!$A:$G,7,0)</f>
        <v>9.525</v>
      </c>
      <c r="T62" s="10">
        <f>VLOOKUP($F62,[1]装箱单!$A:$J,10,0)</f>
        <v>0.0057930126075</v>
      </c>
      <c r="U62" s="11">
        <f t="shared" si="8"/>
        <v>1.1586025215</v>
      </c>
    </row>
    <row r="63" ht="29.1" customHeight="1" spans="1:21">
      <c r="A63" s="40">
        <v>46032</v>
      </c>
      <c r="B63" s="41" t="s">
        <v>112</v>
      </c>
      <c r="C63" s="42" t="s">
        <v>113</v>
      </c>
      <c r="D63" s="43"/>
      <c r="E63" s="44" t="s">
        <v>114</v>
      </c>
      <c r="F63" s="44" t="s">
        <v>115</v>
      </c>
      <c r="G63" s="44" t="s">
        <v>31</v>
      </c>
      <c r="H63" s="44"/>
      <c r="I63" s="45">
        <v>14004</v>
      </c>
      <c r="J63" s="45" t="s">
        <v>32</v>
      </c>
      <c r="K63" s="45" t="s">
        <v>33</v>
      </c>
      <c r="L63" s="46">
        <v>389</v>
      </c>
      <c r="M63" s="43">
        <f t="shared" si="7"/>
        <v>4.0339062466875</v>
      </c>
      <c r="N63" s="46" t="s">
        <v>34</v>
      </c>
      <c r="O63" s="44"/>
      <c r="P63" s="48"/>
      <c r="Q63" s="8">
        <f>VLOOKUP($F63,[1]装箱单!$A:$E,5,0)</f>
        <v>31.75</v>
      </c>
      <c r="R63" s="8">
        <f>VLOOKUP($F63,[1]装箱单!$A:$F,6,0)</f>
        <v>17.145</v>
      </c>
      <c r="S63" s="8">
        <f>VLOOKUP($F63,[1]装箱单!$A:$G,7,0)</f>
        <v>19.05</v>
      </c>
      <c r="T63" s="10">
        <f>VLOOKUP($F63,[1]装箱单!$A:$J,10,0)</f>
        <v>0.0103699389375</v>
      </c>
      <c r="U63" s="11">
        <f t="shared" si="8"/>
        <v>4.0339062466875</v>
      </c>
    </row>
    <row r="64" ht="29.1" customHeight="1" spans="1:21">
      <c r="A64" s="40">
        <v>46032</v>
      </c>
      <c r="B64" s="41" t="s">
        <v>112</v>
      </c>
      <c r="C64" s="42" t="s">
        <v>113</v>
      </c>
      <c r="D64" s="43"/>
      <c r="E64" s="44" t="s">
        <v>114</v>
      </c>
      <c r="F64" s="44" t="s">
        <v>116</v>
      </c>
      <c r="G64" s="44" t="s">
        <v>31</v>
      </c>
      <c r="H64" s="44"/>
      <c r="I64" s="45">
        <v>24000</v>
      </c>
      <c r="J64" s="45" t="s">
        <v>32</v>
      </c>
      <c r="K64" s="45" t="s">
        <v>33</v>
      </c>
      <c r="L64" s="46">
        <f>+I64/48</f>
        <v>500</v>
      </c>
      <c r="M64" s="43">
        <f t="shared" si="7"/>
        <v>7.393382390625</v>
      </c>
      <c r="N64" s="46" t="s">
        <v>34</v>
      </c>
      <c r="O64" s="44"/>
      <c r="P64" s="48"/>
      <c r="Q64" s="8">
        <f>VLOOKUP($F64,[1]装箱单!$A:$E,5,0)</f>
        <v>34.925</v>
      </c>
      <c r="R64" s="8">
        <f>VLOOKUP($F64,[1]装箱单!$A:$F,6,0)</f>
        <v>22.225</v>
      </c>
      <c r="S64" s="8">
        <f>VLOOKUP($F64,[1]装箱单!$A:$G,7,0)</f>
        <v>19.05</v>
      </c>
      <c r="T64" s="10">
        <f>VLOOKUP($F64,[1]装箱单!$A:$J,10,0)</f>
        <v>0.01478676478125</v>
      </c>
      <c r="U64" s="11">
        <f t="shared" si="8"/>
        <v>7.393382390625</v>
      </c>
    </row>
    <row r="65" ht="29.1" customHeight="1" spans="1:21">
      <c r="A65" s="40">
        <v>46032</v>
      </c>
      <c r="B65" s="41" t="s">
        <v>38</v>
      </c>
      <c r="C65" s="42" t="s">
        <v>117</v>
      </c>
      <c r="D65" s="43"/>
      <c r="E65" s="44">
        <v>954188910</v>
      </c>
      <c r="F65" s="44">
        <v>28481</v>
      </c>
      <c r="G65" s="44" t="s">
        <v>31</v>
      </c>
      <c r="H65" s="44"/>
      <c r="I65" s="45">
        <f>+L65*4</f>
        <v>1636</v>
      </c>
      <c r="J65" s="45" t="s">
        <v>47</v>
      </c>
      <c r="K65" s="45" t="s">
        <v>33</v>
      </c>
      <c r="L65" s="46">
        <v>409</v>
      </c>
      <c r="M65" s="43">
        <f t="shared" si="7"/>
        <v>4.122625217522</v>
      </c>
      <c r="N65" s="46" t="s">
        <v>34</v>
      </c>
      <c r="O65" s="44"/>
      <c r="P65" s="48"/>
      <c r="Q65" s="8">
        <f>VLOOKUP($F65,[1]装箱单!$A:$E,5,0)</f>
        <v>23.81</v>
      </c>
      <c r="R65" s="8">
        <f>VLOOKUP($F65,[1]装箱单!$A:$F,6,0)</f>
        <v>17.78</v>
      </c>
      <c r="S65" s="8">
        <f>VLOOKUP($F65,[1]装箱单!$A:$G,7,0)</f>
        <v>23.81</v>
      </c>
      <c r="T65" s="10">
        <f>VLOOKUP($F65,[1]装箱单!$A:$J,10,0)</f>
        <v>0.010079768258</v>
      </c>
      <c r="U65" s="11">
        <f t="shared" si="8"/>
        <v>4.122625217522</v>
      </c>
    </row>
    <row r="66" ht="29.1" customHeight="1" spans="1:21">
      <c r="A66" s="40">
        <v>46032</v>
      </c>
      <c r="B66" s="41" t="s">
        <v>118</v>
      </c>
      <c r="C66" s="42" t="s">
        <v>119</v>
      </c>
      <c r="D66" s="43"/>
      <c r="E66" s="44">
        <v>5925679</v>
      </c>
      <c r="F66" s="44" t="s">
        <v>120</v>
      </c>
      <c r="G66" s="44" t="s">
        <v>31</v>
      </c>
      <c r="H66" s="44"/>
      <c r="I66" s="45">
        <v>100008</v>
      </c>
      <c r="J66" s="45" t="s">
        <v>32</v>
      </c>
      <c r="K66" s="45" t="s">
        <v>33</v>
      </c>
      <c r="L66" s="46">
        <v>2778</v>
      </c>
      <c r="M66" s="43">
        <f t="shared" si="7"/>
        <v>34.28144635188</v>
      </c>
      <c r="N66" s="46" t="s">
        <v>34</v>
      </c>
      <c r="O66" s="44"/>
      <c r="P66" s="48"/>
      <c r="Q66" s="8">
        <f>VLOOKUP($F66,[1]装箱单!$A:$E,5,0)</f>
        <v>33.02</v>
      </c>
      <c r="R66" s="8">
        <f>VLOOKUP($F66,[1]装箱单!$A:$F,6,0)</f>
        <v>18.41</v>
      </c>
      <c r="S66" s="8">
        <f>VLOOKUP($F66,[1]装箱单!$A:$G,7,0)</f>
        <v>20.3</v>
      </c>
      <c r="T66" s="10">
        <f>VLOOKUP($F66,[1]装箱单!$A:$J,10,0)</f>
        <v>0.01234033346</v>
      </c>
      <c r="U66" s="11">
        <f t="shared" si="8"/>
        <v>34.28144635188</v>
      </c>
    </row>
    <row r="67" ht="29.1" customHeight="1" spans="1:21">
      <c r="A67" s="40">
        <v>46032</v>
      </c>
      <c r="B67" s="41" t="s">
        <v>118</v>
      </c>
      <c r="C67" s="42" t="s">
        <v>121</v>
      </c>
      <c r="D67" s="43"/>
      <c r="E67" s="44">
        <v>5930893</v>
      </c>
      <c r="F67" s="44" t="s">
        <v>122</v>
      </c>
      <c r="G67" s="44" t="s">
        <v>31</v>
      </c>
      <c r="H67" s="44"/>
      <c r="I67" s="45">
        <v>100008</v>
      </c>
      <c r="J67" s="45" t="s">
        <v>32</v>
      </c>
      <c r="K67" s="45" t="s">
        <v>33</v>
      </c>
      <c r="L67" s="46">
        <v>2778</v>
      </c>
      <c r="M67" s="43">
        <f t="shared" si="7"/>
        <v>32.9954049768</v>
      </c>
      <c r="N67" s="46" t="s">
        <v>34</v>
      </c>
      <c r="O67" s="44"/>
      <c r="P67" s="48"/>
      <c r="Q67" s="8">
        <f>VLOOKUP($F67,[1]装箱单!$A:$E,5,0)</f>
        <v>31.75</v>
      </c>
      <c r="R67" s="8">
        <f>VLOOKUP($F67,[1]装箱单!$A:$F,6,0)</f>
        <v>18.41</v>
      </c>
      <c r="S67" s="8">
        <f>VLOOKUP($F67,[1]装箱单!$A:$G,7,0)</f>
        <v>20.32</v>
      </c>
      <c r="T67" s="10">
        <f>VLOOKUP($F67,[1]装箱单!$A:$J,10,0)</f>
        <v>0.0118773956</v>
      </c>
      <c r="U67" s="11">
        <f t="shared" si="8"/>
        <v>32.9954049768</v>
      </c>
    </row>
    <row r="68" ht="29.1" customHeight="1" spans="1:21">
      <c r="A68" s="40">
        <v>46032</v>
      </c>
      <c r="B68" s="41"/>
      <c r="C68" s="42" t="s">
        <v>123</v>
      </c>
      <c r="D68" s="43"/>
      <c r="E68" s="44"/>
      <c r="F68" s="44">
        <v>33410</v>
      </c>
      <c r="G68" s="44" t="s">
        <v>31</v>
      </c>
      <c r="H68" s="44"/>
      <c r="I68" s="45">
        <v>400</v>
      </c>
      <c r="J68" s="45" t="s">
        <v>32</v>
      </c>
      <c r="K68" s="45" t="s">
        <v>33</v>
      </c>
      <c r="L68" s="46">
        <v>1</v>
      </c>
      <c r="M68" s="119">
        <v>1</v>
      </c>
      <c r="N68" s="46"/>
      <c r="O68" s="44"/>
      <c r="P68" s="48"/>
    </row>
    <row r="69" ht="29.1" customHeight="1" spans="1:21">
      <c r="A69" s="40">
        <v>46032</v>
      </c>
      <c r="B69" s="41"/>
      <c r="C69" s="42" t="s">
        <v>123</v>
      </c>
      <c r="D69" s="43"/>
      <c r="E69" s="44"/>
      <c r="F69" s="44">
        <v>33465</v>
      </c>
      <c r="G69" s="44" t="s">
        <v>31</v>
      </c>
      <c r="H69" s="44"/>
      <c r="I69" s="45">
        <v>96</v>
      </c>
      <c r="J69" s="45" t="s">
        <v>32</v>
      </c>
      <c r="K69" s="45" t="s">
        <v>33</v>
      </c>
      <c r="L69" s="46">
        <f>+I69/24</f>
        <v>4</v>
      </c>
      <c r="M69" s="121"/>
      <c r="N69" s="46"/>
      <c r="O69" s="44"/>
      <c r="P69" s="48"/>
    </row>
    <row r="70" ht="29.1" customHeight="1" spans="1:21">
      <c r="A70" s="40"/>
      <c r="B70" s="41"/>
      <c r="C70" s="42"/>
      <c r="D70" s="43"/>
      <c r="E70" s="44"/>
      <c r="F70" s="44"/>
      <c r="G70" s="44"/>
      <c r="H70" s="44"/>
      <c r="I70" s="45"/>
      <c r="J70" s="45"/>
      <c r="K70" s="45"/>
      <c r="L70" s="46"/>
      <c r="M70" s="43">
        <f>SUM(M46:M69)</f>
        <v>122.406370732739</v>
      </c>
      <c r="N70" s="46"/>
      <c r="O70" s="44"/>
      <c r="P70" s="51"/>
    </row>
    <row r="71" ht="29.1" customHeight="1" spans="1:21">
      <c r="A71" s="40">
        <v>46035</v>
      </c>
      <c r="B71" s="41" t="s">
        <v>124</v>
      </c>
      <c r="C71" s="42" t="s">
        <v>125</v>
      </c>
      <c r="D71" s="43"/>
      <c r="E71" s="44" t="s">
        <v>126</v>
      </c>
      <c r="F71" s="44">
        <v>11884</v>
      </c>
      <c r="G71" s="44" t="s">
        <v>31</v>
      </c>
      <c r="H71" s="44"/>
      <c r="I71" s="45">
        <v>1008</v>
      </c>
      <c r="J71" s="45" t="s">
        <v>32</v>
      </c>
      <c r="K71" s="45" t="s">
        <v>33</v>
      </c>
      <c r="L71" s="46">
        <v>42</v>
      </c>
      <c r="M71" s="43">
        <f t="shared" ref="M71:M77" si="9">+U71</f>
        <v>0.601088097456</v>
      </c>
      <c r="N71" s="46" t="s">
        <v>34</v>
      </c>
      <c r="O71" s="44"/>
      <c r="P71" s="47" t="s">
        <v>127</v>
      </c>
      <c r="Q71" s="8">
        <f>VLOOKUP($F71,[1]装箱单!$A:$E,5,0)</f>
        <v>25.72</v>
      </c>
      <c r="R71" s="8">
        <f>VLOOKUP($F71,[1]装箱单!$A:$F,6,0)</f>
        <v>19.69</v>
      </c>
      <c r="S71" s="8">
        <f>VLOOKUP($F71,[1]装箱单!$A:$G,7,0)</f>
        <v>28.26</v>
      </c>
      <c r="T71" s="10">
        <f>VLOOKUP($F71,[1]装箱单!$A:$J,10,0)</f>
        <v>0.014311621368</v>
      </c>
      <c r="U71" s="11">
        <f t="shared" ref="U71:U77" si="10">+T71*L71</f>
        <v>0.601088097456</v>
      </c>
    </row>
    <row r="72" ht="29.1" customHeight="1" spans="1:21">
      <c r="A72" s="40">
        <v>46035</v>
      </c>
      <c r="B72" s="41" t="s">
        <v>52</v>
      </c>
      <c r="C72" s="42">
        <v>43654</v>
      </c>
      <c r="D72" s="43"/>
      <c r="E72" s="44"/>
      <c r="F72" s="44">
        <v>320398</v>
      </c>
      <c r="G72" s="44" t="s">
        <v>31</v>
      </c>
      <c r="H72" s="44"/>
      <c r="I72" s="45">
        <f>+L72*4</f>
        <v>6000</v>
      </c>
      <c r="J72" s="45" t="s">
        <v>47</v>
      </c>
      <c r="K72" s="45" t="s">
        <v>33</v>
      </c>
      <c r="L72" s="46">
        <v>1500</v>
      </c>
      <c r="M72" s="43">
        <f t="shared" si="9"/>
        <v>15.435</v>
      </c>
      <c r="N72" s="46" t="s">
        <v>34</v>
      </c>
      <c r="O72" s="44"/>
      <c r="P72" s="48"/>
      <c r="Q72" s="8">
        <f>VLOOKUP($F72,[1]装箱单!$A:$E,5,0)</f>
        <v>24.5</v>
      </c>
      <c r="R72" s="8">
        <f>VLOOKUP($F72,[1]装箱单!$A:$F,6,0)</f>
        <v>21</v>
      </c>
      <c r="S72" s="8">
        <f>VLOOKUP($F72,[1]装箱单!$A:$G,7,0)</f>
        <v>20</v>
      </c>
      <c r="T72" s="10">
        <f>VLOOKUP($F72,[1]装箱单!$A:$J,10,0)</f>
        <v>0.01029</v>
      </c>
      <c r="U72" s="11">
        <f t="shared" si="10"/>
        <v>15.435</v>
      </c>
    </row>
    <row r="73" ht="29.1" customHeight="1" spans="1:21">
      <c r="A73" s="40">
        <v>46035</v>
      </c>
      <c r="B73" s="41" t="s">
        <v>52</v>
      </c>
      <c r="C73" s="42">
        <v>43654</v>
      </c>
      <c r="D73" s="43"/>
      <c r="E73" s="44"/>
      <c r="F73" s="44">
        <v>320401</v>
      </c>
      <c r="G73" s="44" t="s">
        <v>31</v>
      </c>
      <c r="H73" s="44"/>
      <c r="I73" s="45">
        <f>+L73*4</f>
        <v>6000</v>
      </c>
      <c r="J73" s="45" t="s">
        <v>47</v>
      </c>
      <c r="K73" s="45" t="s">
        <v>33</v>
      </c>
      <c r="L73" s="46">
        <v>1500</v>
      </c>
      <c r="M73" s="43">
        <f t="shared" si="9"/>
        <v>15.435</v>
      </c>
      <c r="N73" s="46" t="s">
        <v>34</v>
      </c>
      <c r="O73" s="44"/>
      <c r="P73" s="48"/>
      <c r="Q73" s="8">
        <f>VLOOKUP($F73,[1]装箱单!$A:$E,5,0)</f>
        <v>24.5</v>
      </c>
      <c r="R73" s="8">
        <f>VLOOKUP($F73,[1]装箱单!$A:$F,6,0)</f>
        <v>21</v>
      </c>
      <c r="S73" s="8">
        <f>VLOOKUP($F73,[1]装箱单!$A:$G,7,0)</f>
        <v>20</v>
      </c>
      <c r="T73" s="10">
        <f>VLOOKUP($F73,[1]装箱单!$A:$J,10,0)</f>
        <v>0.01029</v>
      </c>
      <c r="U73" s="11">
        <f t="shared" si="10"/>
        <v>15.435</v>
      </c>
    </row>
    <row r="74" ht="29.1" customHeight="1" spans="1:21">
      <c r="A74" s="40">
        <v>46035</v>
      </c>
      <c r="B74" s="41" t="s">
        <v>52</v>
      </c>
      <c r="C74" s="42">
        <v>44133</v>
      </c>
      <c r="D74" s="43"/>
      <c r="E74" s="44"/>
      <c r="F74" s="44">
        <v>320405</v>
      </c>
      <c r="G74" s="44" t="s">
        <v>31</v>
      </c>
      <c r="H74" s="44"/>
      <c r="I74" s="45">
        <f>+L74*3</f>
        <v>1002</v>
      </c>
      <c r="J74" s="45" t="s">
        <v>32</v>
      </c>
      <c r="K74" s="45" t="s">
        <v>33</v>
      </c>
      <c r="L74" s="46">
        <v>334</v>
      </c>
      <c r="M74" s="43">
        <f t="shared" si="9"/>
        <v>5.68134</v>
      </c>
      <c r="N74" s="46" t="s">
        <v>34</v>
      </c>
      <c r="O74" s="44"/>
      <c r="P74" s="48"/>
      <c r="Q74" s="8">
        <f>VLOOKUP($F74,[1]装箱单!$A:$E,5,0)</f>
        <v>31.5</v>
      </c>
      <c r="R74" s="8">
        <f>VLOOKUP($F74,[1]装箱单!$A:$F,6,0)</f>
        <v>27</v>
      </c>
      <c r="S74" s="8">
        <f>VLOOKUP($F74,[1]装箱单!$A:$G,7,0)</f>
        <v>20</v>
      </c>
      <c r="T74" s="10">
        <f>VLOOKUP($F74,[1]装箱单!$A:$J,10,0)</f>
        <v>0.01701</v>
      </c>
      <c r="U74" s="11">
        <f t="shared" si="10"/>
        <v>5.68134</v>
      </c>
    </row>
    <row r="75" ht="29.1" customHeight="1" spans="1:21">
      <c r="A75" s="40">
        <v>46035</v>
      </c>
      <c r="B75" s="41" t="s">
        <v>52</v>
      </c>
      <c r="C75" s="42">
        <v>44133</v>
      </c>
      <c r="D75" s="43"/>
      <c r="E75" s="44"/>
      <c r="F75" s="44">
        <v>320628</v>
      </c>
      <c r="G75" s="44" t="s">
        <v>31</v>
      </c>
      <c r="H75" s="44"/>
      <c r="I75" s="45">
        <f>+L75*4</f>
        <v>3000</v>
      </c>
      <c r="J75" s="45" t="s">
        <v>32</v>
      </c>
      <c r="K75" s="45" t="s">
        <v>33</v>
      </c>
      <c r="L75" s="46">
        <v>750</v>
      </c>
      <c r="M75" s="43">
        <f t="shared" si="9"/>
        <v>7.0872858</v>
      </c>
      <c r="N75" s="46" t="s">
        <v>34</v>
      </c>
      <c r="O75" s="44"/>
      <c r="P75" s="48"/>
      <c r="Q75" s="8">
        <f>VLOOKUP($F75,[1]装箱单!$A:$E,5,0)</f>
        <v>25.75</v>
      </c>
      <c r="R75" s="8">
        <f>VLOOKUP($F75,[1]装箱单!$A:$F,6,0)</f>
        <v>17.78</v>
      </c>
      <c r="S75" s="8">
        <f>VLOOKUP($F75,[1]装箱单!$A:$G,7,0)</f>
        <v>20.64</v>
      </c>
      <c r="T75" s="10">
        <f>VLOOKUP($F75,[1]装箱单!$A:$J,10,0)</f>
        <v>0.0094497144</v>
      </c>
      <c r="U75" s="11">
        <f t="shared" si="10"/>
        <v>7.0872858</v>
      </c>
    </row>
    <row r="76" ht="29.1" customHeight="1" spans="1:21">
      <c r="A76" s="40">
        <v>46035</v>
      </c>
      <c r="B76" s="41" t="s">
        <v>52</v>
      </c>
      <c r="C76" s="42">
        <v>43654</v>
      </c>
      <c r="D76" s="43"/>
      <c r="E76" s="44"/>
      <c r="F76" s="44">
        <v>320635</v>
      </c>
      <c r="G76" s="44" t="s">
        <v>31</v>
      </c>
      <c r="H76" s="44"/>
      <c r="I76" s="45">
        <f>+L76*2</f>
        <v>4320</v>
      </c>
      <c r="J76" s="45" t="s">
        <v>32</v>
      </c>
      <c r="K76" s="45" t="s">
        <v>33</v>
      </c>
      <c r="L76" s="46">
        <v>2160</v>
      </c>
      <c r="M76" s="43">
        <f t="shared" si="9"/>
        <v>34.09935089184</v>
      </c>
      <c r="N76" s="46" t="s">
        <v>34</v>
      </c>
      <c r="O76" s="44"/>
      <c r="P76" s="48"/>
      <c r="Q76" s="8">
        <f>VLOOKUP($F76,[1]装箱单!$A:$E,5,0)</f>
        <v>35.18</v>
      </c>
      <c r="R76" s="8">
        <f>VLOOKUP($F76,[1]装箱单!$A:$F,6,0)</f>
        <v>27.18</v>
      </c>
      <c r="S76" s="8">
        <f>VLOOKUP($F76,[1]装箱单!$A:$G,7,0)</f>
        <v>16.51</v>
      </c>
      <c r="T76" s="10">
        <f>VLOOKUP($F76,[1]装箱单!$A:$J,10,0)</f>
        <v>0.015786736524</v>
      </c>
      <c r="U76" s="11">
        <f t="shared" si="10"/>
        <v>34.09935089184</v>
      </c>
    </row>
    <row r="77" ht="29.1" customHeight="1" spans="1:21">
      <c r="A77" s="40">
        <v>46035</v>
      </c>
      <c r="B77" s="41" t="s">
        <v>52</v>
      </c>
      <c r="C77" s="42">
        <v>43654</v>
      </c>
      <c r="D77" s="43"/>
      <c r="E77" s="44"/>
      <c r="F77" s="44">
        <v>470194</v>
      </c>
      <c r="G77" s="44" t="s">
        <v>31</v>
      </c>
      <c r="H77" s="44"/>
      <c r="I77" s="45">
        <f>+L77*2</f>
        <v>2612</v>
      </c>
      <c r="J77" s="45" t="s">
        <v>32</v>
      </c>
      <c r="K77" s="45" t="s">
        <v>33</v>
      </c>
      <c r="L77" s="46">
        <v>1306</v>
      </c>
      <c r="M77" s="43">
        <f t="shared" si="9"/>
        <v>52.9687263204</v>
      </c>
      <c r="N77" s="46" t="s">
        <v>34</v>
      </c>
      <c r="O77" s="44"/>
      <c r="P77" s="48"/>
      <c r="Q77" s="8">
        <f>VLOOKUP($F77,[1]装箱单!$A:$E,5,0)</f>
        <v>41.91</v>
      </c>
      <c r="R77" s="8">
        <f>VLOOKUP($F77,[1]装箱单!$A:$F,6,0)</f>
        <v>31.75</v>
      </c>
      <c r="S77" s="8">
        <f>VLOOKUP($F77,[1]装箱单!$A:$G,7,0)</f>
        <v>30.48</v>
      </c>
      <c r="T77" s="10">
        <f>VLOOKUP($F77,[1]装箱单!$A:$J,10,0)</f>
        <v>0.0405579834</v>
      </c>
      <c r="U77" s="11">
        <f t="shared" si="10"/>
        <v>52.9687263204</v>
      </c>
    </row>
    <row r="78" ht="29.1" customHeight="1" spans="1:21">
      <c r="A78" s="40"/>
      <c r="B78" s="41"/>
      <c r="C78" s="42"/>
      <c r="D78" s="43"/>
      <c r="E78" s="44"/>
      <c r="F78" s="44"/>
      <c r="G78" s="44"/>
      <c r="H78" s="44"/>
      <c r="I78" s="45"/>
      <c r="J78" s="45"/>
      <c r="K78" s="45"/>
      <c r="L78" s="46"/>
      <c r="M78" s="43">
        <f>SUM(M71:M77)</f>
        <v>131.307791109696</v>
      </c>
      <c r="N78" s="46"/>
      <c r="O78" s="44"/>
      <c r="P78" s="51"/>
    </row>
    <row r="79" ht="29.1" customHeight="1" spans="1:21">
      <c r="A79" s="40">
        <v>46036</v>
      </c>
      <c r="B79" s="41" t="s">
        <v>52</v>
      </c>
      <c r="C79" s="42">
        <v>43654</v>
      </c>
      <c r="D79" s="43"/>
      <c r="E79" s="44"/>
      <c r="F79" s="44">
        <v>470725</v>
      </c>
      <c r="G79" s="44" t="s">
        <v>31</v>
      </c>
      <c r="H79" s="44"/>
      <c r="I79" s="45">
        <f>+L79*4</f>
        <v>6000</v>
      </c>
      <c r="J79" s="45" t="s">
        <v>47</v>
      </c>
      <c r="K79" s="45" t="s">
        <v>33</v>
      </c>
      <c r="L79" s="46">
        <v>1500</v>
      </c>
      <c r="M79" s="43">
        <f>+U79</f>
        <v>16.065</v>
      </c>
      <c r="N79" s="46" t="s">
        <v>34</v>
      </c>
      <c r="O79" s="44"/>
      <c r="P79" s="47" t="s">
        <v>128</v>
      </c>
      <c r="Q79" s="8">
        <f>VLOOKUP($F79,[1]装箱单!$A:$E,5,0)</f>
        <v>25.5</v>
      </c>
      <c r="R79" s="8">
        <f>VLOOKUP($F79,[1]装箱单!$A:$F,6,0)</f>
        <v>21</v>
      </c>
      <c r="S79" s="8">
        <f>VLOOKUP($F79,[1]装箱单!$A:$G,7,0)</f>
        <v>20</v>
      </c>
      <c r="T79" s="10">
        <f>VLOOKUP($F79,[1]装箱单!$A:$J,10,0)</f>
        <v>0.01071</v>
      </c>
      <c r="U79" s="11">
        <f t="shared" ref="U79:U84" si="11">+T79*L79</f>
        <v>16.065</v>
      </c>
    </row>
    <row r="80" ht="29.1" customHeight="1" spans="1:21">
      <c r="A80" s="40">
        <v>46036</v>
      </c>
      <c r="B80" s="41" t="s">
        <v>52</v>
      </c>
      <c r="C80" s="42">
        <v>43654</v>
      </c>
      <c r="D80" s="43"/>
      <c r="E80" s="44"/>
      <c r="F80" s="44">
        <v>320923</v>
      </c>
      <c r="G80" s="44" t="s">
        <v>31</v>
      </c>
      <c r="H80" s="44"/>
      <c r="I80" s="45">
        <f>+L80*2</f>
        <v>2880</v>
      </c>
      <c r="J80" s="45" t="s">
        <v>32</v>
      </c>
      <c r="K80" s="45" t="s">
        <v>33</v>
      </c>
      <c r="L80" s="46">
        <v>1440</v>
      </c>
      <c r="M80" s="43">
        <f>+U80</f>
        <v>37.9297015776</v>
      </c>
      <c r="N80" s="46" t="s">
        <v>34</v>
      </c>
      <c r="O80" s="44"/>
      <c r="P80" s="48"/>
      <c r="Q80" s="8">
        <f>VLOOKUP($F80,[1]装箱单!$A:$E,5,0)</f>
        <v>39.94</v>
      </c>
      <c r="R80" s="8">
        <f>VLOOKUP($F80,[1]装箱单!$A:$F,6,0)</f>
        <v>30.1</v>
      </c>
      <c r="S80" s="8">
        <f>VLOOKUP($F80,[1]装箱单!$A:$G,7,0)</f>
        <v>21.91</v>
      </c>
      <c r="T80" s="10">
        <f>VLOOKUP($F80,[1]装箱单!$A:$J,10,0)</f>
        <v>0.02634007054</v>
      </c>
      <c r="U80" s="11">
        <f t="shared" si="11"/>
        <v>37.9297015776</v>
      </c>
    </row>
    <row r="81" ht="29.1" customHeight="1" spans="1:21">
      <c r="A81" s="40">
        <v>46036</v>
      </c>
      <c r="B81" s="41" t="s">
        <v>52</v>
      </c>
      <c r="C81" s="42">
        <v>43654</v>
      </c>
      <c r="D81" s="43"/>
      <c r="E81" s="44"/>
      <c r="F81" s="44">
        <v>320916</v>
      </c>
      <c r="G81" s="44" t="s">
        <v>31</v>
      </c>
      <c r="H81" s="44"/>
      <c r="I81" s="45">
        <f>+L81*2</f>
        <v>4960</v>
      </c>
      <c r="J81" s="45" t="s">
        <v>32</v>
      </c>
      <c r="K81" s="45" t="s">
        <v>33</v>
      </c>
      <c r="L81" s="46">
        <v>2480</v>
      </c>
      <c r="M81" s="43">
        <f>+U81</f>
        <v>64.007871984</v>
      </c>
      <c r="N81" s="46" t="s">
        <v>34</v>
      </c>
      <c r="O81" s="44"/>
      <c r="P81" s="48"/>
      <c r="Q81" s="8">
        <f>VLOOKUP($F81,[1]装箱单!$A:$E,5,0)</f>
        <v>38.1</v>
      </c>
      <c r="R81" s="8">
        <f>VLOOKUP($F81,[1]装箱单!$A:$F,6,0)</f>
        <v>30.48</v>
      </c>
      <c r="S81" s="8">
        <f>VLOOKUP($F81,[1]装箱单!$A:$G,7,0)</f>
        <v>22.225</v>
      </c>
      <c r="T81" s="10">
        <f>VLOOKUP($F81,[1]装箱单!$A:$J,10,0)</f>
        <v>0.0258096258</v>
      </c>
      <c r="U81" s="11">
        <f t="shared" si="11"/>
        <v>64.007871984</v>
      </c>
    </row>
    <row r="82" ht="29.1" customHeight="1" spans="1:21">
      <c r="A82" s="40">
        <v>46036</v>
      </c>
      <c r="B82" s="41" t="s">
        <v>52</v>
      </c>
      <c r="C82" s="42">
        <v>43654</v>
      </c>
      <c r="D82" s="43"/>
      <c r="E82" s="44"/>
      <c r="F82" s="44">
        <v>320635</v>
      </c>
      <c r="G82" s="44" t="s">
        <v>31</v>
      </c>
      <c r="H82" s="44"/>
      <c r="I82" s="45">
        <f>+L82*2</f>
        <v>1680</v>
      </c>
      <c r="J82" s="45" t="s">
        <v>32</v>
      </c>
      <c r="K82" s="45" t="s">
        <v>33</v>
      </c>
      <c r="L82" s="46">
        <f>3000-2160</f>
        <v>840</v>
      </c>
      <c r="M82" s="43">
        <f>+U82</f>
        <v>13.26085868016</v>
      </c>
      <c r="N82" s="46" t="s">
        <v>34</v>
      </c>
      <c r="O82" s="44"/>
      <c r="P82" s="48"/>
      <c r="Q82" s="8">
        <f>VLOOKUP($F82,[1]装箱单!$A:$E,5,0)</f>
        <v>35.18</v>
      </c>
      <c r="R82" s="8">
        <f>VLOOKUP($F82,[1]装箱单!$A:$F,6,0)</f>
        <v>27.18</v>
      </c>
      <c r="S82" s="8">
        <f>VLOOKUP($F82,[1]装箱单!$A:$G,7,0)</f>
        <v>16.51</v>
      </c>
      <c r="T82" s="10">
        <f>VLOOKUP($F82,[1]装箱单!$A:$J,10,0)</f>
        <v>0.015786736524</v>
      </c>
      <c r="U82" s="11">
        <f t="shared" si="11"/>
        <v>13.26085868016</v>
      </c>
    </row>
    <row r="83" ht="29.1" customHeight="1" spans="1:21">
      <c r="A83" s="40">
        <v>46036</v>
      </c>
      <c r="B83" s="41" t="s">
        <v>52</v>
      </c>
      <c r="C83" s="42">
        <v>43654</v>
      </c>
      <c r="D83" s="43"/>
      <c r="E83" s="44"/>
      <c r="F83" s="44">
        <v>470194</v>
      </c>
      <c r="G83" s="44" t="s">
        <v>31</v>
      </c>
      <c r="H83" s="44"/>
      <c r="I83" s="45">
        <f>+L83*2</f>
        <v>388</v>
      </c>
      <c r="J83" s="45" t="s">
        <v>32</v>
      </c>
      <c r="K83" s="45" t="s">
        <v>33</v>
      </c>
      <c r="L83" s="46">
        <f>1500-1306</f>
        <v>194</v>
      </c>
      <c r="M83" s="43">
        <f>+U83</f>
        <v>7.8682487796</v>
      </c>
      <c r="N83" s="46" t="s">
        <v>34</v>
      </c>
      <c r="O83" s="44"/>
      <c r="P83" s="48"/>
      <c r="Q83" s="8">
        <f>VLOOKUP($F83,[1]装箱单!$A:$E,5,0)</f>
        <v>41.91</v>
      </c>
      <c r="R83" s="8">
        <f>VLOOKUP($F83,[1]装箱单!$A:$F,6,0)</f>
        <v>31.75</v>
      </c>
      <c r="S83" s="8">
        <f>VLOOKUP($F83,[1]装箱单!$A:$G,7,0)</f>
        <v>30.48</v>
      </c>
      <c r="T83" s="10">
        <f>VLOOKUP($F83,[1]装箱单!$A:$J,10,0)</f>
        <v>0.0405579834</v>
      </c>
      <c r="U83" s="11">
        <f t="shared" si="11"/>
        <v>7.8682487796</v>
      </c>
    </row>
    <row r="84" ht="29.1" customHeight="1" spans="1:21">
      <c r="A84" s="40">
        <v>46036</v>
      </c>
      <c r="B84" s="41" t="s">
        <v>27</v>
      </c>
      <c r="C84" s="42" t="s">
        <v>81</v>
      </c>
      <c r="D84" s="43"/>
      <c r="E84" s="44" t="s">
        <v>129</v>
      </c>
      <c r="F84" s="44" t="s">
        <v>130</v>
      </c>
      <c r="G84" s="44" t="s">
        <v>31</v>
      </c>
      <c r="H84" s="44"/>
      <c r="I84" s="45">
        <f>+L84*4</f>
        <v>488</v>
      </c>
      <c r="J84" s="45" t="s">
        <v>32</v>
      </c>
      <c r="K84" s="45" t="s">
        <v>33</v>
      </c>
      <c r="L84" s="46">
        <v>122</v>
      </c>
      <c r="M84" s="43">
        <v>12</v>
      </c>
      <c r="N84" s="46" t="s">
        <v>34</v>
      </c>
      <c r="O84" s="44"/>
      <c r="P84" s="48"/>
      <c r="Q84" s="8" t="e">
        <f>VLOOKUP($F84,[1]装箱单!$A:$E,5,0)</f>
        <v>#N/A</v>
      </c>
      <c r="R84" s="8" t="e">
        <f>VLOOKUP($F84,[1]装箱单!$A:$F,6,0)</f>
        <v>#N/A</v>
      </c>
      <c r="S84" s="8" t="e">
        <f>VLOOKUP($F84,[1]装箱单!$A:$G,7,0)</f>
        <v>#N/A</v>
      </c>
      <c r="T84" s="10" t="e">
        <f>VLOOKUP($F84,[1]装箱单!$A:$J,10,0)</f>
        <v>#N/A</v>
      </c>
      <c r="U84" s="11" t="e">
        <f t="shared" si="11"/>
        <v>#N/A</v>
      </c>
    </row>
    <row r="85" ht="29.1" customHeight="1" spans="1:21">
      <c r="A85" s="40">
        <v>46036</v>
      </c>
      <c r="B85" s="41"/>
      <c r="C85" s="42"/>
      <c r="D85" s="43"/>
      <c r="E85" s="44"/>
      <c r="F85" s="44" t="s">
        <v>131</v>
      </c>
      <c r="G85" s="44" t="s">
        <v>132</v>
      </c>
      <c r="H85" s="44"/>
      <c r="I85" s="45">
        <v>50</v>
      </c>
      <c r="J85" s="45" t="s">
        <v>133</v>
      </c>
      <c r="K85" s="45" t="s">
        <v>33</v>
      </c>
      <c r="L85" s="46">
        <v>2</v>
      </c>
      <c r="M85" s="43"/>
      <c r="N85" s="46"/>
      <c r="O85" s="44"/>
      <c r="P85" s="48"/>
    </row>
    <row r="86" ht="29.1" customHeight="1" spans="1:21">
      <c r="A86" s="40">
        <v>46036</v>
      </c>
      <c r="B86" s="41"/>
      <c r="C86" s="42"/>
      <c r="D86" s="43"/>
      <c r="E86" s="44"/>
      <c r="F86" s="44" t="s">
        <v>134</v>
      </c>
      <c r="G86" s="44" t="s">
        <v>132</v>
      </c>
      <c r="H86" s="44"/>
      <c r="I86" s="45">
        <v>25</v>
      </c>
      <c r="J86" s="45" t="s">
        <v>133</v>
      </c>
      <c r="K86" s="45" t="s">
        <v>33</v>
      </c>
      <c r="L86" s="46">
        <v>1</v>
      </c>
      <c r="M86" s="43"/>
      <c r="N86" s="46"/>
      <c r="O86" s="44"/>
      <c r="P86" s="48"/>
    </row>
    <row r="87" ht="29.1" customHeight="1" spans="1:21">
      <c r="A87" s="40"/>
      <c r="B87" s="41"/>
      <c r="C87" s="42"/>
      <c r="D87" s="43"/>
      <c r="E87" s="44"/>
      <c r="F87" s="44"/>
      <c r="G87" s="44"/>
      <c r="H87" s="44"/>
      <c r="I87" s="45"/>
      <c r="J87" s="45"/>
      <c r="K87" s="45"/>
      <c r="L87" s="46"/>
      <c r="M87" s="43">
        <f>SUM(M79:M84)</f>
        <v>151.13168102136</v>
      </c>
      <c r="N87" s="46"/>
      <c r="O87" s="44"/>
      <c r="P87" s="51"/>
    </row>
    <row r="88" ht="29.1" customHeight="1" spans="1:21">
      <c r="A88" s="40">
        <v>46037</v>
      </c>
      <c r="B88" s="41" t="s">
        <v>38</v>
      </c>
      <c r="C88" s="42" t="s">
        <v>135</v>
      </c>
      <c r="D88" s="43"/>
      <c r="E88" s="139" t="s">
        <v>136</v>
      </c>
      <c r="F88" s="44">
        <v>28481</v>
      </c>
      <c r="G88" s="44" t="s">
        <v>31</v>
      </c>
      <c r="H88" s="44"/>
      <c r="I88" s="45">
        <f>+L88*4</f>
        <v>1572</v>
      </c>
      <c r="J88" s="45" t="s">
        <v>32</v>
      </c>
      <c r="K88" s="45" t="s">
        <v>33</v>
      </c>
      <c r="L88" s="46">
        <v>393</v>
      </c>
      <c r="M88" s="43">
        <f t="shared" ref="M88:M103" si="12">+U88</f>
        <v>3.961348925394</v>
      </c>
      <c r="N88" s="46" t="s">
        <v>34</v>
      </c>
      <c r="O88" s="44"/>
      <c r="P88" s="47" t="s">
        <v>137</v>
      </c>
      <c r="Q88" s="8">
        <f>VLOOKUP($F88,[1]装箱单!$A:$E,5,0)</f>
        <v>23.81</v>
      </c>
      <c r="R88" s="8">
        <f>VLOOKUP($F88,[1]装箱单!$A:$F,6,0)</f>
        <v>17.78</v>
      </c>
      <c r="S88" s="8">
        <f>VLOOKUP($F88,[1]装箱单!$A:$G,7,0)</f>
        <v>23.81</v>
      </c>
      <c r="T88" s="10">
        <f>VLOOKUP($F88,[1]装箱单!$A:$J,10,0)</f>
        <v>0.010079768258</v>
      </c>
      <c r="U88" s="11">
        <f t="shared" ref="U88:U103" si="13">+T88*L88</f>
        <v>3.961348925394</v>
      </c>
    </row>
    <row r="89" ht="29.1" customHeight="1" spans="1:21">
      <c r="A89" s="40">
        <v>46037</v>
      </c>
      <c r="B89" s="41" t="s">
        <v>138</v>
      </c>
      <c r="C89" s="42" t="s">
        <v>139</v>
      </c>
      <c r="D89" s="43"/>
      <c r="E89" s="44" t="s">
        <v>140</v>
      </c>
      <c r="F89" s="44" t="s">
        <v>111</v>
      </c>
      <c r="G89" s="44" t="s">
        <v>31</v>
      </c>
      <c r="H89" s="44"/>
      <c r="I89" s="45">
        <f>+L89*18</f>
        <v>4014</v>
      </c>
      <c r="J89" s="45" t="s">
        <v>32</v>
      </c>
      <c r="K89" s="45" t="s">
        <v>33</v>
      </c>
      <c r="L89" s="46">
        <v>223</v>
      </c>
      <c r="M89" s="43">
        <f t="shared" si="12"/>
        <v>1.2918418114725</v>
      </c>
      <c r="N89" s="46" t="s">
        <v>34</v>
      </c>
      <c r="O89" s="44"/>
      <c r="P89" s="48"/>
      <c r="Q89" s="8">
        <f>VLOOKUP($F89,[1]装箱单!$A:$E,5,0)</f>
        <v>32.385</v>
      </c>
      <c r="R89" s="8">
        <f>VLOOKUP($F89,[1]装箱单!$A:$F,6,0)</f>
        <v>18.78</v>
      </c>
      <c r="S89" s="8">
        <f>VLOOKUP($F89,[1]装箱单!$A:$G,7,0)</f>
        <v>9.525</v>
      </c>
      <c r="T89" s="10">
        <f>VLOOKUP($F89,[1]装箱单!$A:$J,10,0)</f>
        <v>0.0057930126075</v>
      </c>
      <c r="U89" s="11">
        <f t="shared" si="13"/>
        <v>1.2918418114725</v>
      </c>
    </row>
    <row r="90" ht="29.1" customHeight="1" spans="1:21">
      <c r="A90" s="40">
        <v>46037</v>
      </c>
      <c r="B90" s="41" t="s">
        <v>141</v>
      </c>
      <c r="C90" s="42" t="s">
        <v>142</v>
      </c>
      <c r="D90" s="43"/>
      <c r="E90" s="44" t="s">
        <v>143</v>
      </c>
      <c r="F90" s="44" t="s">
        <v>111</v>
      </c>
      <c r="G90" s="44" t="s">
        <v>31</v>
      </c>
      <c r="H90" s="44"/>
      <c r="I90" s="45">
        <f>+L90*18</f>
        <v>2286</v>
      </c>
      <c r="J90" s="45" t="s">
        <v>32</v>
      </c>
      <c r="K90" s="45" t="s">
        <v>33</v>
      </c>
      <c r="L90" s="46">
        <v>127</v>
      </c>
      <c r="M90" s="43">
        <f t="shared" si="12"/>
        <v>0.7357126011525</v>
      </c>
      <c r="N90" s="46" t="s">
        <v>34</v>
      </c>
      <c r="O90" s="44"/>
      <c r="P90" s="48"/>
      <c r="Q90" s="8">
        <f>VLOOKUP($F90,[1]装箱单!$A:$E,5,0)</f>
        <v>32.385</v>
      </c>
      <c r="R90" s="8">
        <f>VLOOKUP($F90,[1]装箱单!$A:$F,6,0)</f>
        <v>18.78</v>
      </c>
      <c r="S90" s="8">
        <f>VLOOKUP($F90,[1]装箱单!$A:$G,7,0)</f>
        <v>9.525</v>
      </c>
      <c r="T90" s="10">
        <f>VLOOKUP($F90,[1]装箱单!$A:$J,10,0)</f>
        <v>0.0057930126075</v>
      </c>
      <c r="U90" s="11">
        <f t="shared" si="13"/>
        <v>0.7357126011525</v>
      </c>
    </row>
    <row r="91" ht="29.1" customHeight="1" spans="1:21">
      <c r="A91" s="40">
        <v>46037</v>
      </c>
      <c r="B91" s="41" t="s">
        <v>141</v>
      </c>
      <c r="C91" s="42" t="s">
        <v>144</v>
      </c>
      <c r="D91" s="43"/>
      <c r="E91" s="44" t="s">
        <v>145</v>
      </c>
      <c r="F91" s="44" t="s">
        <v>111</v>
      </c>
      <c r="G91" s="44" t="s">
        <v>31</v>
      </c>
      <c r="H91" s="44"/>
      <c r="I91" s="45">
        <f>+L91*18</f>
        <v>2142</v>
      </c>
      <c r="J91" s="45" t="s">
        <v>32</v>
      </c>
      <c r="K91" s="45" t="s">
        <v>33</v>
      </c>
      <c r="L91" s="46">
        <v>119</v>
      </c>
      <c r="M91" s="43">
        <f t="shared" si="12"/>
        <v>0.6893685002925</v>
      </c>
      <c r="N91" s="46" t="s">
        <v>34</v>
      </c>
      <c r="O91" s="44"/>
      <c r="P91" s="48"/>
      <c r="Q91" s="8">
        <f>VLOOKUP($F91,[1]装箱单!$A:$E,5,0)</f>
        <v>32.385</v>
      </c>
      <c r="R91" s="8">
        <f>VLOOKUP($F91,[1]装箱单!$A:$F,6,0)</f>
        <v>18.78</v>
      </c>
      <c r="S91" s="8">
        <f>VLOOKUP($F91,[1]装箱单!$A:$G,7,0)</f>
        <v>9.525</v>
      </c>
      <c r="T91" s="10">
        <f>VLOOKUP($F91,[1]装箱单!$A:$J,10,0)</f>
        <v>0.0057930126075</v>
      </c>
      <c r="U91" s="11">
        <f t="shared" si="13"/>
        <v>0.6893685002925</v>
      </c>
    </row>
    <row r="92" ht="29.1" customHeight="1" spans="1:21">
      <c r="A92" s="40">
        <v>46037</v>
      </c>
      <c r="B92" s="41" t="s">
        <v>138</v>
      </c>
      <c r="C92" s="42" t="s">
        <v>139</v>
      </c>
      <c r="D92" s="43"/>
      <c r="E92" s="44" t="s">
        <v>140</v>
      </c>
      <c r="F92" s="44" t="s">
        <v>45</v>
      </c>
      <c r="G92" s="44" t="s">
        <v>31</v>
      </c>
      <c r="H92" s="44"/>
      <c r="I92" s="45">
        <v>4014</v>
      </c>
      <c r="J92" s="45" t="s">
        <v>32</v>
      </c>
      <c r="K92" s="45" t="s">
        <v>33</v>
      </c>
      <c r="L92" s="46">
        <v>223</v>
      </c>
      <c r="M92" s="43">
        <f t="shared" si="12"/>
        <v>1.2918418114725</v>
      </c>
      <c r="N92" s="46" t="s">
        <v>34</v>
      </c>
      <c r="O92" s="44"/>
      <c r="P92" s="48"/>
      <c r="Q92" s="8">
        <f>VLOOKUP($F92,[1]装箱单!$A:$E,5,0)</f>
        <v>32.385</v>
      </c>
      <c r="R92" s="8">
        <f>VLOOKUP($F92,[1]装箱单!$A:$F,6,0)</f>
        <v>18.78</v>
      </c>
      <c r="S92" s="8">
        <f>VLOOKUP($F92,[1]装箱单!$A:$G,7,0)</f>
        <v>9.525</v>
      </c>
      <c r="T92" s="10">
        <f>VLOOKUP($F92,[1]装箱单!$A:$J,10,0)</f>
        <v>0.0057930126075</v>
      </c>
      <c r="U92" s="11">
        <f t="shared" si="13"/>
        <v>1.2918418114725</v>
      </c>
    </row>
    <row r="93" ht="29.1" customHeight="1" spans="1:21">
      <c r="A93" s="40">
        <v>46037</v>
      </c>
      <c r="B93" s="41" t="s">
        <v>146</v>
      </c>
      <c r="C93" s="42" t="s">
        <v>147</v>
      </c>
      <c r="D93" s="43"/>
      <c r="E93" s="44">
        <v>2515578</v>
      </c>
      <c r="F93" s="44">
        <v>46132</v>
      </c>
      <c r="G93" s="44" t="s">
        <v>31</v>
      </c>
      <c r="H93" s="44"/>
      <c r="I93" s="45">
        <v>1500</v>
      </c>
      <c r="J93" s="45" t="s">
        <v>32</v>
      </c>
      <c r="K93" s="45" t="s">
        <v>33</v>
      </c>
      <c r="L93" s="46">
        <v>750</v>
      </c>
      <c r="M93" s="43">
        <f t="shared" si="12"/>
        <v>16.774288524</v>
      </c>
      <c r="N93" s="46" t="s">
        <v>34</v>
      </c>
      <c r="O93" s="44"/>
      <c r="P93" s="48"/>
      <c r="Q93" s="8">
        <f>VLOOKUP($F93,[1]装箱单!$A:$E,5,0)</f>
        <v>40.01</v>
      </c>
      <c r="R93" s="8">
        <f>VLOOKUP($F93,[1]装箱单!$A:$F,6,0)</f>
        <v>26.67</v>
      </c>
      <c r="S93" s="8">
        <f>VLOOKUP($F93,[1]装箱单!$A:$G,7,0)</f>
        <v>20.96</v>
      </c>
      <c r="T93" s="10">
        <f>VLOOKUP($F93,[1]装箱单!$A:$J,10,0)</f>
        <v>0.022365718032</v>
      </c>
      <c r="U93" s="11">
        <f t="shared" si="13"/>
        <v>16.774288524</v>
      </c>
    </row>
    <row r="94" ht="29.1" customHeight="1" spans="1:21">
      <c r="A94" s="40">
        <v>46037</v>
      </c>
      <c r="B94" s="41" t="s">
        <v>146</v>
      </c>
      <c r="C94" s="42" t="s">
        <v>148</v>
      </c>
      <c r="D94" s="43"/>
      <c r="E94" s="44">
        <v>2516002</v>
      </c>
      <c r="F94" s="44">
        <v>46097</v>
      </c>
      <c r="G94" s="44" t="s">
        <v>31</v>
      </c>
      <c r="H94" s="44"/>
      <c r="I94" s="45">
        <v>1500</v>
      </c>
      <c r="J94" s="45" t="s">
        <v>32</v>
      </c>
      <c r="K94" s="45" t="s">
        <v>33</v>
      </c>
      <c r="L94" s="46">
        <v>750</v>
      </c>
      <c r="M94" s="43">
        <f t="shared" si="12"/>
        <v>16.774288524</v>
      </c>
      <c r="N94" s="46" t="s">
        <v>34</v>
      </c>
      <c r="O94" s="44"/>
      <c r="P94" s="48"/>
      <c r="Q94" s="8">
        <f>VLOOKUP($F94,[1]装箱单!$A:$E,5,0)</f>
        <v>40.01</v>
      </c>
      <c r="R94" s="8">
        <f>VLOOKUP($F94,[1]装箱单!$A:$F,6,0)</f>
        <v>26.67</v>
      </c>
      <c r="S94" s="8">
        <f>VLOOKUP($F94,[1]装箱单!$A:$G,7,0)</f>
        <v>20.96</v>
      </c>
      <c r="T94" s="10">
        <f>VLOOKUP($F94,[1]装箱单!$A:$J,10,0)</f>
        <v>0.022365718032</v>
      </c>
      <c r="U94" s="11">
        <f t="shared" si="13"/>
        <v>16.774288524</v>
      </c>
    </row>
    <row r="95" ht="29.1" customHeight="1" spans="1:21">
      <c r="A95" s="40">
        <v>46037</v>
      </c>
      <c r="B95" s="40" t="s">
        <v>146</v>
      </c>
      <c r="C95" s="41" t="s">
        <v>149</v>
      </c>
      <c r="D95" s="43"/>
      <c r="E95" s="42" t="s">
        <v>150</v>
      </c>
      <c r="F95" s="44">
        <v>46092</v>
      </c>
      <c r="G95" s="44" t="s">
        <v>31</v>
      </c>
      <c r="H95" s="44"/>
      <c r="I95" s="45">
        <v>1500</v>
      </c>
      <c r="J95" s="45" t="s">
        <v>32</v>
      </c>
      <c r="K95" s="45" t="s">
        <v>33</v>
      </c>
      <c r="L95" s="46">
        <v>750</v>
      </c>
      <c r="M95" s="43">
        <f t="shared" si="12"/>
        <v>16.774288524</v>
      </c>
      <c r="N95" s="46" t="s">
        <v>34</v>
      </c>
      <c r="O95" s="44"/>
      <c r="P95" s="48"/>
      <c r="Q95" s="8">
        <f>VLOOKUP($F95,[1]装箱单!$A:$E,5,0)</f>
        <v>40.01</v>
      </c>
      <c r="R95" s="8">
        <f>VLOOKUP($F95,[1]装箱单!$A:$F,6,0)</f>
        <v>26.67</v>
      </c>
      <c r="S95" s="8">
        <f>VLOOKUP($F95,[1]装箱单!$A:$G,7,0)</f>
        <v>20.96</v>
      </c>
      <c r="T95" s="10">
        <f>VLOOKUP($F95,[1]装箱单!$A:$J,10,0)</f>
        <v>0.022365718032</v>
      </c>
      <c r="U95" s="11">
        <f t="shared" si="13"/>
        <v>16.774288524</v>
      </c>
    </row>
    <row r="96" ht="29.1" customHeight="1" spans="1:21">
      <c r="A96" s="40">
        <v>46037</v>
      </c>
      <c r="B96" s="41" t="s">
        <v>151</v>
      </c>
      <c r="C96" s="42" t="s">
        <v>152</v>
      </c>
      <c r="D96" s="43"/>
      <c r="E96" s="44" t="s">
        <v>153</v>
      </c>
      <c r="F96" s="44" t="s">
        <v>111</v>
      </c>
      <c r="G96" s="44" t="s">
        <v>31</v>
      </c>
      <c r="H96" s="44"/>
      <c r="I96" s="45">
        <f>+L96*18</f>
        <v>18000</v>
      </c>
      <c r="J96" s="45" t="s">
        <v>32</v>
      </c>
      <c r="K96" s="45" t="s">
        <v>33</v>
      </c>
      <c r="L96" s="46">
        <v>1000</v>
      </c>
      <c r="M96" s="43">
        <f t="shared" si="12"/>
        <v>5.7930126075</v>
      </c>
      <c r="N96" s="46" t="s">
        <v>34</v>
      </c>
      <c r="O96" s="44" t="s">
        <v>62</v>
      </c>
      <c r="P96" s="48"/>
      <c r="Q96" s="8">
        <f>VLOOKUP($F96,[1]装箱单!$A:$E,5,0)</f>
        <v>32.385</v>
      </c>
      <c r="R96" s="8">
        <f>VLOOKUP($F96,[1]装箱单!$A:$F,6,0)</f>
        <v>18.78</v>
      </c>
      <c r="S96" s="8">
        <f>VLOOKUP($F96,[1]装箱单!$A:$G,7,0)</f>
        <v>9.525</v>
      </c>
      <c r="T96" s="10">
        <f>VLOOKUP($F96,[1]装箱单!$A:$J,10,0)</f>
        <v>0.0057930126075</v>
      </c>
      <c r="U96" s="11">
        <f t="shared" si="13"/>
        <v>5.7930126075</v>
      </c>
    </row>
    <row r="97" ht="29.1" customHeight="1" spans="1:21">
      <c r="A97" s="40">
        <v>46037</v>
      </c>
      <c r="B97" s="41" t="s">
        <v>154</v>
      </c>
      <c r="C97" s="42" t="s">
        <v>155</v>
      </c>
      <c r="D97" s="43"/>
      <c r="E97" s="44" t="s">
        <v>156</v>
      </c>
      <c r="F97" s="44" t="s">
        <v>157</v>
      </c>
      <c r="G97" s="44" t="s">
        <v>31</v>
      </c>
      <c r="H97" s="44"/>
      <c r="I97" s="45">
        <v>36000</v>
      </c>
      <c r="J97" s="45" t="s">
        <v>32</v>
      </c>
      <c r="K97" s="45" t="s">
        <v>33</v>
      </c>
      <c r="L97" s="46">
        <v>3000</v>
      </c>
      <c r="M97" s="43">
        <f t="shared" si="12"/>
        <v>14.873625</v>
      </c>
      <c r="N97" s="46" t="s">
        <v>34</v>
      </c>
      <c r="O97" s="44" t="s">
        <v>62</v>
      </c>
      <c r="P97" s="48"/>
      <c r="Q97" s="8">
        <f>VLOOKUP($F97,[1]装箱单!$A:$E,5,0)</f>
        <v>22.5</v>
      </c>
      <c r="R97" s="8">
        <f>VLOOKUP($F97,[1]装箱单!$A:$F,6,0)</f>
        <v>19.5</v>
      </c>
      <c r="S97" s="8">
        <f>VLOOKUP($F97,[1]装箱单!$A:$G,7,0)</f>
        <v>11.3</v>
      </c>
      <c r="T97" s="10">
        <f>VLOOKUP($F97,[1]装箱单!$A:$J,10,0)</f>
        <v>0.004957875</v>
      </c>
      <c r="U97" s="11">
        <f t="shared" si="13"/>
        <v>14.873625</v>
      </c>
    </row>
    <row r="98" ht="29.1" customHeight="1" spans="1:21">
      <c r="A98" s="40">
        <v>46037</v>
      </c>
      <c r="B98" s="41" t="s">
        <v>54</v>
      </c>
      <c r="C98" s="42" t="s">
        <v>158</v>
      </c>
      <c r="D98" s="43"/>
      <c r="E98" s="139" t="s">
        <v>159</v>
      </c>
      <c r="F98" s="44">
        <v>28466</v>
      </c>
      <c r="G98" s="44" t="s">
        <v>31</v>
      </c>
      <c r="H98" s="44"/>
      <c r="I98" s="45">
        <f>+L98*2</f>
        <v>1560</v>
      </c>
      <c r="J98" s="45" t="s">
        <v>32</v>
      </c>
      <c r="K98" s="45" t="s">
        <v>33</v>
      </c>
      <c r="L98" s="46">
        <v>780</v>
      </c>
      <c r="M98" s="43">
        <f t="shared" si="12"/>
        <v>13.104</v>
      </c>
      <c r="N98" s="46" t="s">
        <v>34</v>
      </c>
      <c r="O98" s="44"/>
      <c r="P98" s="48"/>
      <c r="Q98" s="8">
        <f>VLOOKUP($F98,[1]装箱单!$A:$E,5,0)</f>
        <v>30</v>
      </c>
      <c r="R98" s="8">
        <f>VLOOKUP($F98,[1]装箱单!$A:$F,6,0)</f>
        <v>20</v>
      </c>
      <c r="S98" s="8">
        <f>VLOOKUP($F98,[1]装箱单!$A:$G,7,0)</f>
        <v>28</v>
      </c>
      <c r="T98" s="10">
        <f>VLOOKUP($F98,[1]装箱单!$A:$J,10,0)</f>
        <v>0.0168</v>
      </c>
      <c r="U98" s="11">
        <f t="shared" si="13"/>
        <v>13.104</v>
      </c>
    </row>
    <row r="99" ht="29.1" customHeight="1" spans="1:21">
      <c r="A99" s="40">
        <v>46037</v>
      </c>
      <c r="B99" s="41" t="s">
        <v>54</v>
      </c>
      <c r="C99" s="42" t="s">
        <v>160</v>
      </c>
      <c r="D99" s="43"/>
      <c r="E99" s="139" t="s">
        <v>161</v>
      </c>
      <c r="F99" s="44">
        <v>28466</v>
      </c>
      <c r="G99" s="44" t="s">
        <v>31</v>
      </c>
      <c r="H99" s="44"/>
      <c r="I99" s="45">
        <f>+L99*2</f>
        <v>1440</v>
      </c>
      <c r="J99" s="45" t="s">
        <v>32</v>
      </c>
      <c r="K99" s="45" t="s">
        <v>33</v>
      </c>
      <c r="L99" s="46">
        <v>720</v>
      </c>
      <c r="M99" s="43">
        <f t="shared" si="12"/>
        <v>12.096</v>
      </c>
      <c r="N99" s="46" t="s">
        <v>34</v>
      </c>
      <c r="O99" s="44"/>
      <c r="P99" s="48"/>
      <c r="Q99" s="8">
        <f>VLOOKUP($F99,[1]装箱单!$A:$E,5,0)</f>
        <v>30</v>
      </c>
      <c r="R99" s="8">
        <f>VLOOKUP($F99,[1]装箱单!$A:$F,6,0)</f>
        <v>20</v>
      </c>
      <c r="S99" s="8">
        <f>VLOOKUP($F99,[1]装箱单!$A:$G,7,0)</f>
        <v>28</v>
      </c>
      <c r="T99" s="10">
        <f>VLOOKUP($F99,[1]装箱单!$A:$J,10,0)</f>
        <v>0.0168</v>
      </c>
      <c r="U99" s="11">
        <f t="shared" si="13"/>
        <v>12.096</v>
      </c>
    </row>
    <row r="100" ht="29.1" customHeight="1" spans="1:21">
      <c r="A100" s="40">
        <v>46037</v>
      </c>
      <c r="B100" s="41" t="s">
        <v>54</v>
      </c>
      <c r="C100" s="42" t="s">
        <v>162</v>
      </c>
      <c r="D100" s="43"/>
      <c r="E100" s="139" t="s">
        <v>163</v>
      </c>
      <c r="F100" s="44">
        <v>28466</v>
      </c>
      <c r="G100" s="44" t="s">
        <v>31</v>
      </c>
      <c r="H100" s="44"/>
      <c r="I100" s="45">
        <f>+L100*2</f>
        <v>1080</v>
      </c>
      <c r="J100" s="45" t="s">
        <v>32</v>
      </c>
      <c r="K100" s="45" t="s">
        <v>33</v>
      </c>
      <c r="L100" s="46">
        <v>540</v>
      </c>
      <c r="M100" s="43">
        <f t="shared" si="12"/>
        <v>9.072</v>
      </c>
      <c r="N100" s="46" t="s">
        <v>34</v>
      </c>
      <c r="O100" s="44"/>
      <c r="P100" s="48"/>
      <c r="Q100" s="8">
        <f>VLOOKUP($F100,[1]装箱单!$A:$E,5,0)</f>
        <v>30</v>
      </c>
      <c r="R100" s="8">
        <f>VLOOKUP($F100,[1]装箱单!$A:$F,6,0)</f>
        <v>20</v>
      </c>
      <c r="S100" s="8">
        <f>VLOOKUP($F100,[1]装箱单!$A:$G,7,0)</f>
        <v>28</v>
      </c>
      <c r="T100" s="10">
        <f>VLOOKUP($F100,[1]装箱单!$A:$J,10,0)</f>
        <v>0.0168</v>
      </c>
      <c r="U100" s="11">
        <f t="shared" si="13"/>
        <v>9.072</v>
      </c>
    </row>
    <row r="101" ht="29.1" customHeight="1" spans="1:21">
      <c r="A101" s="40">
        <v>46037</v>
      </c>
      <c r="B101" s="41" t="s">
        <v>52</v>
      </c>
      <c r="C101" s="42">
        <v>43654</v>
      </c>
      <c r="D101" s="43"/>
      <c r="E101" s="44"/>
      <c r="F101" s="44">
        <v>320923</v>
      </c>
      <c r="G101" s="44" t="s">
        <v>31</v>
      </c>
      <c r="H101" s="44"/>
      <c r="I101" s="45">
        <f>+L101*2</f>
        <v>120</v>
      </c>
      <c r="J101" s="45" t="s">
        <v>32</v>
      </c>
      <c r="K101" s="45" t="s">
        <v>33</v>
      </c>
      <c r="L101" s="46">
        <f>1500-1440</f>
        <v>60</v>
      </c>
      <c r="M101" s="43">
        <f t="shared" si="12"/>
        <v>1.5804042324</v>
      </c>
      <c r="N101" s="46" t="s">
        <v>34</v>
      </c>
      <c r="O101" s="44" t="s">
        <v>164</v>
      </c>
      <c r="P101" s="48"/>
      <c r="Q101" s="8">
        <f>VLOOKUP($F101,[1]装箱单!$A:$E,5,0)</f>
        <v>39.94</v>
      </c>
      <c r="R101" s="8">
        <f>VLOOKUP($F101,[1]装箱单!$A:$F,6,0)</f>
        <v>30.1</v>
      </c>
      <c r="S101" s="8">
        <f>VLOOKUP($F101,[1]装箱单!$A:$G,7,0)</f>
        <v>21.91</v>
      </c>
      <c r="T101" s="10">
        <f>VLOOKUP($F101,[1]装箱单!$A:$J,10,0)</f>
        <v>0.02634007054</v>
      </c>
      <c r="U101" s="11">
        <f t="shared" si="13"/>
        <v>1.5804042324</v>
      </c>
    </row>
    <row r="102" ht="29.1" customHeight="1" spans="1:21">
      <c r="A102" s="40">
        <v>46037</v>
      </c>
      <c r="B102" s="41" t="s">
        <v>52</v>
      </c>
      <c r="C102" s="42">
        <v>43654</v>
      </c>
      <c r="D102" s="43"/>
      <c r="E102" s="44"/>
      <c r="F102" s="44">
        <v>320916</v>
      </c>
      <c r="G102" s="44" t="s">
        <v>31</v>
      </c>
      <c r="H102" s="44"/>
      <c r="I102" s="45">
        <f>+L102*2</f>
        <v>1040</v>
      </c>
      <c r="J102" s="45" t="s">
        <v>32</v>
      </c>
      <c r="K102" s="45" t="s">
        <v>33</v>
      </c>
      <c r="L102" s="46">
        <f>3000-2480</f>
        <v>520</v>
      </c>
      <c r="M102" s="43">
        <f t="shared" si="12"/>
        <v>13.421005416</v>
      </c>
      <c r="N102" s="46" t="s">
        <v>34</v>
      </c>
      <c r="O102" s="44" t="s">
        <v>164</v>
      </c>
      <c r="P102" s="48"/>
      <c r="Q102" s="8">
        <f>VLOOKUP($F102,[1]装箱单!$A:$E,5,0)</f>
        <v>38.1</v>
      </c>
      <c r="R102" s="8">
        <f>VLOOKUP($F102,[1]装箱单!$A:$F,6,0)</f>
        <v>30.48</v>
      </c>
      <c r="S102" s="8">
        <f>VLOOKUP($F102,[1]装箱单!$A:$G,7,0)</f>
        <v>22.225</v>
      </c>
      <c r="T102" s="10">
        <f>VLOOKUP($F102,[1]装箱单!$A:$J,10,0)</f>
        <v>0.0258096258</v>
      </c>
      <c r="U102" s="11">
        <f t="shared" si="13"/>
        <v>13.421005416</v>
      </c>
    </row>
    <row r="103" ht="29.1" customHeight="1" spans="1:21">
      <c r="A103" s="40">
        <v>46037</v>
      </c>
      <c r="B103" s="41" t="s">
        <v>165</v>
      </c>
      <c r="C103" s="42" t="s">
        <v>166</v>
      </c>
      <c r="D103" s="43"/>
      <c r="E103" s="44" t="s">
        <v>167</v>
      </c>
      <c r="F103" s="44" t="s">
        <v>111</v>
      </c>
      <c r="G103" s="44" t="s">
        <v>31</v>
      </c>
      <c r="H103" s="44"/>
      <c r="I103" s="45">
        <f>+L103*18</f>
        <v>5004</v>
      </c>
      <c r="J103" s="45" t="s">
        <v>32</v>
      </c>
      <c r="K103" s="45" t="s">
        <v>33</v>
      </c>
      <c r="L103" s="46">
        <v>278</v>
      </c>
      <c r="M103" s="43">
        <f t="shared" si="12"/>
        <v>1.610457504885</v>
      </c>
      <c r="N103" s="46" t="s">
        <v>34</v>
      </c>
      <c r="O103" s="44"/>
      <c r="P103" s="48"/>
      <c r="Q103" s="8">
        <f>VLOOKUP($F103,[1]装箱单!$A:$E,5,0)</f>
        <v>32.385</v>
      </c>
      <c r="R103" s="8">
        <f>VLOOKUP($F103,[1]装箱单!$A:$F,6,0)</f>
        <v>18.78</v>
      </c>
      <c r="S103" s="8">
        <f>VLOOKUP($F103,[1]装箱单!$A:$G,7,0)</f>
        <v>9.525</v>
      </c>
      <c r="T103" s="10">
        <f>VLOOKUP($F103,[1]装箱单!$A:$J,10,0)</f>
        <v>0.0057930126075</v>
      </c>
      <c r="U103" s="11">
        <f t="shared" si="13"/>
        <v>1.610457504885</v>
      </c>
    </row>
    <row r="104" ht="29.1" customHeight="1" spans="1:21">
      <c r="A104" s="40"/>
      <c r="B104" s="41"/>
      <c r="C104" s="42"/>
      <c r="D104" s="43"/>
      <c r="E104" s="44"/>
      <c r="F104" s="44"/>
      <c r="G104" s="44"/>
      <c r="H104" s="44"/>
      <c r="I104" s="45"/>
      <c r="J104" s="45"/>
      <c r="K104" s="45"/>
      <c r="L104" s="46"/>
      <c r="M104" s="43">
        <f>SUM(M88:M103)</f>
        <v>129.843483982569</v>
      </c>
      <c r="N104" s="46"/>
      <c r="O104" s="44"/>
      <c r="P104" s="51"/>
    </row>
    <row r="105" ht="29.1" customHeight="1" spans="1:21">
      <c r="A105" s="40">
        <v>46038</v>
      </c>
      <c r="B105" s="41" t="s">
        <v>54</v>
      </c>
      <c r="C105" s="42" t="s">
        <v>168</v>
      </c>
      <c r="D105" s="43"/>
      <c r="E105" s="44" t="s">
        <v>169</v>
      </c>
      <c r="F105" s="44">
        <v>28466</v>
      </c>
      <c r="G105" s="44" t="s">
        <v>31</v>
      </c>
      <c r="H105" s="44"/>
      <c r="I105" s="45">
        <f>+L105*2</f>
        <v>2280</v>
      </c>
      <c r="J105" s="45" t="s">
        <v>32</v>
      </c>
      <c r="K105" s="45" t="s">
        <v>33</v>
      </c>
      <c r="L105" s="46">
        <v>1140</v>
      </c>
      <c r="M105" s="43">
        <f t="shared" ref="M105:M113" si="14">+U105</f>
        <v>19.152</v>
      </c>
      <c r="N105" s="46" t="s">
        <v>57</v>
      </c>
      <c r="O105" s="44"/>
      <c r="P105" s="47" t="s">
        <v>35</v>
      </c>
      <c r="Q105" s="8">
        <f>VLOOKUP($F105,[1]装箱单!$A:$E,5,0)</f>
        <v>30</v>
      </c>
      <c r="R105" s="8">
        <f>VLOOKUP($F105,[1]装箱单!$A:$F,6,0)</f>
        <v>20</v>
      </c>
      <c r="S105" s="8">
        <f>VLOOKUP($F105,[1]装箱单!$A:$G,7,0)</f>
        <v>28</v>
      </c>
      <c r="T105" s="10">
        <f>VLOOKUP($F105,[1]装箱单!$A:$J,10,0)</f>
        <v>0.0168</v>
      </c>
      <c r="U105" s="11">
        <f t="shared" ref="U105:U113" si="15">+T105*L105</f>
        <v>19.152</v>
      </c>
    </row>
    <row r="106" ht="29.1" customHeight="1" spans="1:21">
      <c r="A106" s="40">
        <v>46038</v>
      </c>
      <c r="B106" s="41" t="s">
        <v>54</v>
      </c>
      <c r="C106" s="42" t="s">
        <v>170</v>
      </c>
      <c r="D106" s="43"/>
      <c r="E106" s="139" t="s">
        <v>171</v>
      </c>
      <c r="F106" s="44">
        <v>28466</v>
      </c>
      <c r="G106" s="44" t="s">
        <v>31</v>
      </c>
      <c r="H106" s="44"/>
      <c r="I106" s="45">
        <f>+L106*2</f>
        <v>1800</v>
      </c>
      <c r="J106" s="45" t="s">
        <v>32</v>
      </c>
      <c r="K106" s="45" t="s">
        <v>33</v>
      </c>
      <c r="L106" s="46">
        <v>900</v>
      </c>
      <c r="M106" s="43">
        <f t="shared" si="14"/>
        <v>15.12</v>
      </c>
      <c r="N106" s="46" t="s">
        <v>57</v>
      </c>
      <c r="O106" s="44" t="s">
        <v>172</v>
      </c>
      <c r="P106" s="48"/>
      <c r="Q106" s="8">
        <f>VLOOKUP($F106,[1]装箱单!$A:$E,5,0)</f>
        <v>30</v>
      </c>
      <c r="R106" s="8">
        <f>VLOOKUP($F106,[1]装箱单!$A:$F,6,0)</f>
        <v>20</v>
      </c>
      <c r="S106" s="8">
        <f>VLOOKUP($F106,[1]装箱单!$A:$G,7,0)</f>
        <v>28</v>
      </c>
      <c r="T106" s="10">
        <f>VLOOKUP($F106,[1]装箱单!$A:$J,10,0)</f>
        <v>0.0168</v>
      </c>
      <c r="U106" s="11">
        <f t="shared" si="15"/>
        <v>15.12</v>
      </c>
    </row>
    <row r="107" ht="29.1" customHeight="1" spans="1:21">
      <c r="A107" s="40">
        <v>46038</v>
      </c>
      <c r="B107" s="41" t="s">
        <v>54</v>
      </c>
      <c r="C107" s="42" t="s">
        <v>158</v>
      </c>
      <c r="D107" s="43"/>
      <c r="E107" s="139" t="s">
        <v>159</v>
      </c>
      <c r="F107" s="44" t="s">
        <v>56</v>
      </c>
      <c r="G107" s="44" t="s">
        <v>31</v>
      </c>
      <c r="H107" s="44"/>
      <c r="I107" s="45">
        <v>660</v>
      </c>
      <c r="J107" s="45" t="s">
        <v>32</v>
      </c>
      <c r="K107" s="45" t="s">
        <v>33</v>
      </c>
      <c r="L107" s="46">
        <v>660</v>
      </c>
      <c r="M107" s="43">
        <f t="shared" si="14"/>
        <v>10.70548729866</v>
      </c>
      <c r="N107" s="46" t="s">
        <v>57</v>
      </c>
      <c r="O107" s="44"/>
      <c r="P107" s="48"/>
      <c r="Q107" s="8">
        <f>VLOOKUP($F107,[1]装箱单!$A:$E,5,0)</f>
        <v>26.67</v>
      </c>
      <c r="R107" s="8">
        <f>VLOOKUP($F107,[1]装箱单!$A:$F,6,0)</f>
        <v>18.78</v>
      </c>
      <c r="S107" s="8">
        <f>VLOOKUP($F107,[1]装箱单!$A:$G,7,0)</f>
        <v>32.385</v>
      </c>
      <c r="T107" s="10">
        <f>VLOOKUP($F107,[1]装箱单!$A:$J,10,0)</f>
        <v>0.016220435301</v>
      </c>
      <c r="U107" s="11">
        <f t="shared" si="15"/>
        <v>10.70548729866</v>
      </c>
    </row>
    <row r="108" ht="29.1" customHeight="1" spans="1:21">
      <c r="A108" s="40">
        <v>46038</v>
      </c>
      <c r="B108" s="41" t="s">
        <v>54</v>
      </c>
      <c r="C108" s="42" t="s">
        <v>160</v>
      </c>
      <c r="D108" s="43"/>
      <c r="E108" s="139" t="s">
        <v>161</v>
      </c>
      <c r="F108" s="44" t="s">
        <v>56</v>
      </c>
      <c r="G108" s="44" t="s">
        <v>31</v>
      </c>
      <c r="H108" s="44"/>
      <c r="I108" s="45">
        <v>660</v>
      </c>
      <c r="J108" s="45" t="s">
        <v>32</v>
      </c>
      <c r="K108" s="45" t="s">
        <v>33</v>
      </c>
      <c r="L108" s="46">
        <v>660</v>
      </c>
      <c r="M108" s="43">
        <f t="shared" si="14"/>
        <v>10.70548729866</v>
      </c>
      <c r="N108" s="46" t="s">
        <v>57</v>
      </c>
      <c r="O108" s="44"/>
      <c r="P108" s="48"/>
      <c r="Q108" s="8">
        <f>VLOOKUP($F108,[1]装箱单!$A:$E,5,0)</f>
        <v>26.67</v>
      </c>
      <c r="R108" s="8">
        <f>VLOOKUP($F108,[1]装箱单!$A:$F,6,0)</f>
        <v>18.78</v>
      </c>
      <c r="S108" s="8">
        <f>VLOOKUP($F108,[1]装箱单!$A:$G,7,0)</f>
        <v>32.385</v>
      </c>
      <c r="T108" s="10">
        <f>VLOOKUP($F108,[1]装箱单!$A:$J,10,0)</f>
        <v>0.016220435301</v>
      </c>
      <c r="U108" s="11">
        <f t="shared" si="15"/>
        <v>10.70548729866</v>
      </c>
    </row>
    <row r="109" ht="29.1" customHeight="1" spans="1:21">
      <c r="A109" s="40">
        <v>46038</v>
      </c>
      <c r="B109" s="41" t="s">
        <v>54</v>
      </c>
      <c r="C109" s="42" t="s">
        <v>162</v>
      </c>
      <c r="D109" s="43"/>
      <c r="E109" s="139" t="s">
        <v>163</v>
      </c>
      <c r="F109" s="44" t="s">
        <v>56</v>
      </c>
      <c r="G109" s="44" t="s">
        <v>31</v>
      </c>
      <c r="H109" s="44"/>
      <c r="I109" s="45">
        <v>858</v>
      </c>
      <c r="J109" s="45" t="s">
        <v>32</v>
      </c>
      <c r="K109" s="45" t="s">
        <v>33</v>
      </c>
      <c r="L109" s="46">
        <v>858</v>
      </c>
      <c r="M109" s="43">
        <f t="shared" si="14"/>
        <v>13.917133488258</v>
      </c>
      <c r="N109" s="46" t="s">
        <v>57</v>
      </c>
      <c r="O109" s="44"/>
      <c r="P109" s="48"/>
      <c r="Q109" s="8">
        <f>VLOOKUP($F109,[1]装箱单!$A:$E,5,0)</f>
        <v>26.67</v>
      </c>
      <c r="R109" s="8">
        <f>VLOOKUP($F109,[1]装箱单!$A:$F,6,0)</f>
        <v>18.78</v>
      </c>
      <c r="S109" s="8">
        <f>VLOOKUP($F109,[1]装箱单!$A:$G,7,0)</f>
        <v>32.385</v>
      </c>
      <c r="T109" s="10">
        <f>VLOOKUP($F109,[1]装箱单!$A:$J,10,0)</f>
        <v>0.016220435301</v>
      </c>
      <c r="U109" s="11">
        <f t="shared" si="15"/>
        <v>13.917133488258</v>
      </c>
    </row>
    <row r="110" ht="29.1" customHeight="1" spans="1:21">
      <c r="A110" s="40">
        <v>46038</v>
      </c>
      <c r="B110" s="41" t="s">
        <v>54</v>
      </c>
      <c r="C110" s="42" t="s">
        <v>170</v>
      </c>
      <c r="D110" s="43"/>
      <c r="E110" s="139" t="s">
        <v>171</v>
      </c>
      <c r="F110" s="44" t="s">
        <v>56</v>
      </c>
      <c r="G110" s="44" t="s">
        <v>31</v>
      </c>
      <c r="H110" s="44"/>
      <c r="I110" s="45">
        <v>660</v>
      </c>
      <c r="J110" s="45" t="s">
        <v>32</v>
      </c>
      <c r="K110" s="45" t="s">
        <v>33</v>
      </c>
      <c r="L110" s="46">
        <v>660</v>
      </c>
      <c r="M110" s="43">
        <f t="shared" si="14"/>
        <v>10.70548729866</v>
      </c>
      <c r="N110" s="46" t="s">
        <v>57</v>
      </c>
      <c r="O110" s="44"/>
      <c r="P110" s="48"/>
      <c r="Q110" s="8">
        <f>VLOOKUP($F110,[1]装箱单!$A:$E,5,0)</f>
        <v>26.67</v>
      </c>
      <c r="R110" s="8">
        <f>VLOOKUP($F110,[1]装箱单!$A:$F,6,0)</f>
        <v>18.78</v>
      </c>
      <c r="S110" s="8">
        <f>VLOOKUP($F110,[1]装箱单!$A:$G,7,0)</f>
        <v>32.385</v>
      </c>
      <c r="T110" s="10">
        <f>VLOOKUP($F110,[1]装箱单!$A:$J,10,0)</f>
        <v>0.016220435301</v>
      </c>
      <c r="U110" s="11">
        <f t="shared" si="15"/>
        <v>10.70548729866</v>
      </c>
    </row>
    <row r="111" ht="29.1" customHeight="1" spans="1:21">
      <c r="A111" s="40">
        <v>46038</v>
      </c>
      <c r="B111" s="41" t="s">
        <v>173</v>
      </c>
      <c r="C111" s="42" t="s">
        <v>174</v>
      </c>
      <c r="D111" s="43"/>
      <c r="E111" s="44">
        <v>15957033</v>
      </c>
      <c r="F111" s="44" t="s">
        <v>175</v>
      </c>
      <c r="G111" s="44" t="s">
        <v>31</v>
      </c>
      <c r="H111" s="44"/>
      <c r="I111" s="45">
        <v>800</v>
      </c>
      <c r="J111" s="45" t="s">
        <v>32</v>
      </c>
      <c r="K111" s="45" t="s">
        <v>33</v>
      </c>
      <c r="L111" s="46">
        <f>+I111/4</f>
        <v>200</v>
      </c>
      <c r="M111" s="43">
        <f t="shared" si="14"/>
        <v>20.09904125345</v>
      </c>
      <c r="N111" s="46" t="s">
        <v>57</v>
      </c>
      <c r="O111" s="44"/>
      <c r="P111" s="48"/>
      <c r="Q111" s="8">
        <f>VLOOKUP($F111,[1]装箱单!$A:$E,5,0)</f>
        <v>64.135</v>
      </c>
      <c r="R111" s="8">
        <f>VLOOKUP($F111,[1]装箱单!$A:$F,6,0)</f>
        <v>36.83</v>
      </c>
      <c r="S111" s="8">
        <f>VLOOKUP($F111,[1]装箱单!$A:$G,7,0)</f>
        <v>42.545</v>
      </c>
      <c r="T111" s="10">
        <f>VLOOKUP($F111,[1]装箱单!$A:$J,10,0)</f>
        <v>0.10049520626725</v>
      </c>
      <c r="U111" s="11">
        <f t="shared" si="15"/>
        <v>20.09904125345</v>
      </c>
    </row>
    <row r="112" ht="29.1" customHeight="1" spans="1:21">
      <c r="A112" s="40">
        <v>46038</v>
      </c>
      <c r="B112" s="41" t="s">
        <v>173</v>
      </c>
      <c r="C112" s="42" t="s">
        <v>176</v>
      </c>
      <c r="D112" s="43"/>
      <c r="E112" s="44">
        <v>15957036</v>
      </c>
      <c r="F112" s="44" t="s">
        <v>175</v>
      </c>
      <c r="G112" s="44" t="s">
        <v>31</v>
      </c>
      <c r="H112" s="44"/>
      <c r="I112" s="45">
        <v>200</v>
      </c>
      <c r="J112" s="45" t="s">
        <v>32</v>
      </c>
      <c r="K112" s="45" t="s">
        <v>33</v>
      </c>
      <c r="L112" s="46">
        <f>+I112/4</f>
        <v>50</v>
      </c>
      <c r="M112" s="43">
        <f t="shared" si="14"/>
        <v>5.0247603133625</v>
      </c>
      <c r="N112" s="46" t="s">
        <v>57</v>
      </c>
      <c r="O112" s="44"/>
      <c r="P112" s="48"/>
      <c r="Q112" s="8">
        <f>VLOOKUP($F112,[1]装箱单!$A:$E,5,0)</f>
        <v>64.135</v>
      </c>
      <c r="R112" s="8">
        <f>VLOOKUP($F112,[1]装箱单!$A:$F,6,0)</f>
        <v>36.83</v>
      </c>
      <c r="S112" s="8">
        <f>VLOOKUP($F112,[1]装箱单!$A:$G,7,0)</f>
        <v>42.545</v>
      </c>
      <c r="T112" s="10">
        <f>VLOOKUP($F112,[1]装箱单!$A:$J,10,0)</f>
        <v>0.10049520626725</v>
      </c>
      <c r="U112" s="11">
        <f t="shared" si="15"/>
        <v>5.0247603133625</v>
      </c>
    </row>
    <row r="113" ht="29.1" customHeight="1" spans="1:21">
      <c r="A113" s="40">
        <v>46038</v>
      </c>
      <c r="B113" s="41" t="s">
        <v>177</v>
      </c>
      <c r="C113" s="42" t="s">
        <v>178</v>
      </c>
      <c r="D113" s="43"/>
      <c r="E113" s="44">
        <v>8150972746</v>
      </c>
      <c r="F113" s="44" t="s">
        <v>179</v>
      </c>
      <c r="G113" s="44" t="s">
        <v>31</v>
      </c>
      <c r="H113" s="44"/>
      <c r="I113" s="45">
        <v>151248</v>
      </c>
      <c r="J113" s="45" t="s">
        <v>32</v>
      </c>
      <c r="K113" s="45" t="s">
        <v>33</v>
      </c>
      <c r="L113" s="46">
        <v>1567</v>
      </c>
      <c r="M113" s="43">
        <f t="shared" si="14"/>
        <v>20.839533</v>
      </c>
      <c r="N113" s="46" t="s">
        <v>57</v>
      </c>
      <c r="O113" s="44"/>
      <c r="P113" s="48"/>
      <c r="Q113" s="8">
        <f>VLOOKUP($F113,[1]装箱单!$A:$E,5,0)</f>
        <v>31</v>
      </c>
      <c r="R113" s="8">
        <f>VLOOKUP($F113,[1]装箱单!$A:$F,6,0)</f>
        <v>22</v>
      </c>
      <c r="S113" s="8">
        <f>VLOOKUP($F113,[1]装箱单!$A:$G,7,0)</f>
        <v>19.5</v>
      </c>
      <c r="T113" s="10">
        <f>VLOOKUP($F113,[1]装箱单!$A:$J,10,0)</f>
        <v>0.013299</v>
      </c>
      <c r="U113" s="11">
        <f t="shared" si="15"/>
        <v>20.839533</v>
      </c>
    </row>
    <row r="114" ht="29.1" customHeight="1" spans="1:21">
      <c r="A114" s="40"/>
      <c r="B114" s="41"/>
      <c r="C114" s="42"/>
      <c r="D114" s="43"/>
      <c r="E114" s="44"/>
      <c r="F114" s="44"/>
      <c r="G114" s="44"/>
      <c r="H114" s="44"/>
      <c r="I114" s="45"/>
      <c r="J114" s="45"/>
      <c r="K114" s="45"/>
      <c r="L114" s="46"/>
      <c r="M114" s="43">
        <f>SUM(M105:M113)</f>
        <v>126.268929951051</v>
      </c>
      <c r="N114" s="46"/>
      <c r="O114" s="44"/>
      <c r="P114" s="51"/>
    </row>
    <row r="115" ht="29.1" customHeight="1" spans="1:21">
      <c r="A115" s="40">
        <v>46043</v>
      </c>
      <c r="B115" s="41" t="s">
        <v>180</v>
      </c>
      <c r="C115" s="42" t="s">
        <v>181</v>
      </c>
      <c r="D115" s="43"/>
      <c r="E115" s="44" t="s">
        <v>182</v>
      </c>
      <c r="F115" s="44">
        <v>11356</v>
      </c>
      <c r="G115" s="44" t="s">
        <v>31</v>
      </c>
      <c r="H115" s="44"/>
      <c r="I115" s="45">
        <v>846</v>
      </c>
      <c r="J115" s="45" t="s">
        <v>32</v>
      </c>
      <c r="K115" s="45" t="s">
        <v>33</v>
      </c>
      <c r="L115" s="46">
        <v>141</v>
      </c>
      <c r="M115" s="43">
        <f t="shared" ref="M115:M130" si="16">+U115</f>
        <v>2.697019864014</v>
      </c>
      <c r="N115" s="46" t="s">
        <v>57</v>
      </c>
      <c r="O115" s="44"/>
      <c r="P115" s="47" t="s">
        <v>183</v>
      </c>
      <c r="Q115" s="8">
        <f>VLOOKUP($F115,[1]装箱单!$A:$E,5,0)</f>
        <v>36.83</v>
      </c>
      <c r="R115" s="8">
        <f>VLOOKUP($F115,[1]装箱单!$A:$F,6,0)</f>
        <v>29.21</v>
      </c>
      <c r="S115" s="8">
        <f>VLOOKUP($F115,[1]装箱单!$A:$G,7,0)</f>
        <v>17.78</v>
      </c>
      <c r="T115" s="10">
        <f>VLOOKUP($F115,[1]装箱单!$A:$J,10,0)</f>
        <v>0.019127800454</v>
      </c>
      <c r="U115" s="11">
        <f t="shared" ref="U115:U130" si="17">+T115*L115</f>
        <v>2.697019864014</v>
      </c>
    </row>
    <row r="116" ht="29.1" customHeight="1" spans="1:21">
      <c r="A116" s="40">
        <v>46043</v>
      </c>
      <c r="B116" s="41" t="s">
        <v>180</v>
      </c>
      <c r="C116" s="42" t="s">
        <v>181</v>
      </c>
      <c r="D116" s="43"/>
      <c r="E116" s="44" t="s">
        <v>182</v>
      </c>
      <c r="F116" s="44">
        <v>11357</v>
      </c>
      <c r="G116" s="44" t="s">
        <v>31</v>
      </c>
      <c r="H116" s="44"/>
      <c r="I116" s="45">
        <v>1728</v>
      </c>
      <c r="J116" s="45" t="s">
        <v>32</v>
      </c>
      <c r="K116" s="45" t="s">
        <v>33</v>
      </c>
      <c r="L116" s="46">
        <v>288</v>
      </c>
      <c r="M116" s="43">
        <f t="shared" si="16"/>
        <v>5.508806530752</v>
      </c>
      <c r="N116" s="46" t="s">
        <v>57</v>
      </c>
      <c r="O116" s="44"/>
      <c r="P116" s="48"/>
      <c r="Q116" s="8">
        <f>VLOOKUP($F116,[1]装箱单!$A:$E,5,0)</f>
        <v>36.83</v>
      </c>
      <c r="R116" s="8">
        <f>VLOOKUP($F116,[1]装箱单!$A:$F,6,0)</f>
        <v>29.21</v>
      </c>
      <c r="S116" s="8">
        <f>VLOOKUP($F116,[1]装箱单!$A:$G,7,0)</f>
        <v>17.78</v>
      </c>
      <c r="T116" s="10">
        <f>VLOOKUP($F116,[1]装箱单!$A:$J,10,0)</f>
        <v>0.019127800454</v>
      </c>
      <c r="U116" s="11">
        <f t="shared" si="17"/>
        <v>5.508806530752</v>
      </c>
    </row>
    <row r="117" ht="29.1" customHeight="1" spans="1:21">
      <c r="A117" s="40">
        <v>46043</v>
      </c>
      <c r="B117" s="41" t="s">
        <v>180</v>
      </c>
      <c r="C117" s="42" t="s">
        <v>181</v>
      </c>
      <c r="D117" s="43"/>
      <c r="E117" s="44" t="s">
        <v>182</v>
      </c>
      <c r="F117" s="44">
        <v>11358</v>
      </c>
      <c r="G117" s="44" t="s">
        <v>31</v>
      </c>
      <c r="H117" s="44"/>
      <c r="I117" s="45">
        <v>1998</v>
      </c>
      <c r="J117" s="45" t="s">
        <v>32</v>
      </c>
      <c r="K117" s="45" t="s">
        <v>33</v>
      </c>
      <c r="L117" s="46">
        <v>333</v>
      </c>
      <c r="M117" s="43">
        <f t="shared" si="16"/>
        <v>6.369557551182</v>
      </c>
      <c r="N117" s="46" t="s">
        <v>57</v>
      </c>
      <c r="O117" s="44"/>
      <c r="P117" s="48"/>
      <c r="Q117" s="8">
        <f>VLOOKUP($F117,[1]装箱单!$A:$E,5,0)</f>
        <v>36.83</v>
      </c>
      <c r="R117" s="8">
        <f>VLOOKUP($F117,[1]装箱单!$A:$F,6,0)</f>
        <v>29.21</v>
      </c>
      <c r="S117" s="8">
        <f>VLOOKUP($F117,[1]装箱单!$A:$G,7,0)</f>
        <v>17.78</v>
      </c>
      <c r="T117" s="10">
        <f>VLOOKUP($F117,[1]装箱单!$A:$J,10,0)</f>
        <v>0.019127800454</v>
      </c>
      <c r="U117" s="11">
        <f t="shared" si="17"/>
        <v>6.369557551182</v>
      </c>
    </row>
    <row r="118" ht="29.1" customHeight="1" spans="1:21">
      <c r="A118" s="40">
        <v>46043</v>
      </c>
      <c r="B118" s="41" t="s">
        <v>180</v>
      </c>
      <c r="C118" s="42" t="s">
        <v>181</v>
      </c>
      <c r="D118" s="43"/>
      <c r="E118" s="44" t="s">
        <v>182</v>
      </c>
      <c r="F118" s="44">
        <v>11362</v>
      </c>
      <c r="G118" s="44" t="s">
        <v>31</v>
      </c>
      <c r="H118" s="44"/>
      <c r="I118" s="45">
        <v>744</v>
      </c>
      <c r="J118" s="45" t="s">
        <v>32</v>
      </c>
      <c r="K118" s="45" t="s">
        <v>33</v>
      </c>
      <c r="L118" s="46">
        <v>124</v>
      </c>
      <c r="M118" s="43">
        <f t="shared" si="16"/>
        <v>2.371847256296</v>
      </c>
      <c r="N118" s="46" t="s">
        <v>57</v>
      </c>
      <c r="O118" s="44"/>
      <c r="P118" s="48"/>
      <c r="Q118" s="8">
        <f>VLOOKUP($F118,[1]装箱单!$A:$E,5,0)</f>
        <v>36.83</v>
      </c>
      <c r="R118" s="8">
        <f>VLOOKUP($F118,[1]装箱单!$A:$F,6,0)</f>
        <v>29.21</v>
      </c>
      <c r="S118" s="8">
        <f>VLOOKUP($F118,[1]装箱单!$A:$G,7,0)</f>
        <v>17.78</v>
      </c>
      <c r="T118" s="10">
        <f>VLOOKUP($F118,[1]装箱单!$A:$J,10,0)</f>
        <v>0.019127800454</v>
      </c>
      <c r="U118" s="11">
        <f t="shared" si="17"/>
        <v>2.371847256296</v>
      </c>
    </row>
    <row r="119" ht="29.1" customHeight="1" spans="1:21">
      <c r="A119" s="40">
        <v>46043</v>
      </c>
      <c r="B119" s="41" t="s">
        <v>180</v>
      </c>
      <c r="C119" s="42" t="s">
        <v>181</v>
      </c>
      <c r="D119" s="43"/>
      <c r="E119" s="44" t="s">
        <v>182</v>
      </c>
      <c r="F119" s="44">
        <v>11363</v>
      </c>
      <c r="G119" s="44" t="s">
        <v>31</v>
      </c>
      <c r="H119" s="44"/>
      <c r="I119" s="45">
        <v>450</v>
      </c>
      <c r="J119" s="45" t="s">
        <v>32</v>
      </c>
      <c r="K119" s="45" t="s">
        <v>33</v>
      </c>
      <c r="L119" s="46">
        <v>75</v>
      </c>
      <c r="M119" s="43">
        <f t="shared" si="16"/>
        <v>1.43458503405</v>
      </c>
      <c r="N119" s="46" t="s">
        <v>57</v>
      </c>
      <c r="O119" s="44"/>
      <c r="P119" s="48"/>
      <c r="Q119" s="8">
        <f>VLOOKUP($F119,[1]装箱单!$A:$E,5,0)</f>
        <v>36.83</v>
      </c>
      <c r="R119" s="8">
        <f>VLOOKUP($F119,[1]装箱单!$A:$F,6,0)</f>
        <v>29.21</v>
      </c>
      <c r="S119" s="8">
        <f>VLOOKUP($F119,[1]装箱单!$A:$G,7,0)</f>
        <v>17.78</v>
      </c>
      <c r="T119" s="10">
        <f>VLOOKUP($F119,[1]装箱单!$A:$J,10,0)</f>
        <v>0.019127800454</v>
      </c>
      <c r="U119" s="11">
        <f t="shared" si="17"/>
        <v>1.43458503405</v>
      </c>
    </row>
    <row r="120" ht="29.1" customHeight="1" spans="1:21">
      <c r="A120" s="40">
        <v>46043</v>
      </c>
      <c r="B120" s="41" t="s">
        <v>184</v>
      </c>
      <c r="C120" s="42" t="s">
        <v>185</v>
      </c>
      <c r="D120" s="43"/>
      <c r="E120" s="44">
        <v>47891525</v>
      </c>
      <c r="F120" s="44">
        <v>21150</v>
      </c>
      <c r="G120" s="44" t="s">
        <v>31</v>
      </c>
      <c r="H120" s="44"/>
      <c r="I120" s="45">
        <v>1068</v>
      </c>
      <c r="J120" s="45" t="s">
        <v>32</v>
      </c>
      <c r="K120" s="45" t="s">
        <v>33</v>
      </c>
      <c r="L120" s="46">
        <v>89</v>
      </c>
      <c r="M120" s="43">
        <f t="shared" si="16"/>
        <v>1.4738262862125</v>
      </c>
      <c r="N120" s="46" t="s">
        <v>57</v>
      </c>
      <c r="O120" s="44" t="s">
        <v>186</v>
      </c>
      <c r="P120" s="48"/>
      <c r="Q120" s="8">
        <f>VLOOKUP($F120,[1]装箱单!$A:$E,5,0)</f>
        <v>41.91</v>
      </c>
      <c r="R120" s="8">
        <f>VLOOKUP($F120,[1]装箱单!$A:$F,6,0)</f>
        <v>32.75</v>
      </c>
      <c r="S120" s="8">
        <f>VLOOKUP($F120,[1]装箱单!$A:$G,7,0)</f>
        <v>12.065</v>
      </c>
      <c r="T120" s="10">
        <f>VLOOKUP($F120,[1]装箱单!$A:$J,10,0)</f>
        <v>0.0165598459125</v>
      </c>
      <c r="U120" s="11">
        <f t="shared" si="17"/>
        <v>1.4738262862125</v>
      </c>
    </row>
    <row r="121" ht="29.1" customHeight="1" spans="1:21">
      <c r="A121" s="40">
        <v>46043</v>
      </c>
      <c r="B121" s="41" t="s">
        <v>184</v>
      </c>
      <c r="C121" s="42" t="s">
        <v>187</v>
      </c>
      <c r="D121" s="43"/>
      <c r="E121" s="44">
        <v>47893445</v>
      </c>
      <c r="F121" s="44">
        <v>21150</v>
      </c>
      <c r="G121" s="44" t="s">
        <v>31</v>
      </c>
      <c r="H121" s="44"/>
      <c r="I121" s="45">
        <v>1068</v>
      </c>
      <c r="J121" s="45" t="s">
        <v>32</v>
      </c>
      <c r="K121" s="45" t="s">
        <v>33</v>
      </c>
      <c r="L121" s="46">
        <v>89</v>
      </c>
      <c r="M121" s="43">
        <f t="shared" si="16"/>
        <v>1.4738262862125</v>
      </c>
      <c r="N121" s="46" t="s">
        <v>57</v>
      </c>
      <c r="O121" s="44" t="s">
        <v>186</v>
      </c>
      <c r="P121" s="48"/>
      <c r="Q121" s="8">
        <f>VLOOKUP($F121,[1]装箱单!$A:$E,5,0)</f>
        <v>41.91</v>
      </c>
      <c r="R121" s="8">
        <f>VLOOKUP($F121,[1]装箱单!$A:$F,6,0)</f>
        <v>32.75</v>
      </c>
      <c r="S121" s="8">
        <f>VLOOKUP($F121,[1]装箱单!$A:$G,7,0)</f>
        <v>12.065</v>
      </c>
      <c r="T121" s="10">
        <f>VLOOKUP($F121,[1]装箱单!$A:$J,10,0)</f>
        <v>0.0165598459125</v>
      </c>
      <c r="U121" s="11">
        <f t="shared" si="17"/>
        <v>1.4738262862125</v>
      </c>
    </row>
    <row r="122" ht="29.1" customHeight="1" spans="1:21">
      <c r="A122" s="40">
        <v>46043</v>
      </c>
      <c r="B122" s="41" t="s">
        <v>184</v>
      </c>
      <c r="C122" s="42" t="s">
        <v>188</v>
      </c>
      <c r="D122" s="43"/>
      <c r="E122" s="44">
        <v>47891526</v>
      </c>
      <c r="F122" s="44">
        <v>21150</v>
      </c>
      <c r="G122" s="44" t="s">
        <v>31</v>
      </c>
      <c r="H122" s="44"/>
      <c r="I122" s="45">
        <v>780</v>
      </c>
      <c r="J122" s="45" t="s">
        <v>32</v>
      </c>
      <c r="K122" s="45" t="s">
        <v>33</v>
      </c>
      <c r="L122" s="46">
        <v>65</v>
      </c>
      <c r="M122" s="43">
        <f t="shared" si="16"/>
        <v>1.0763899843125</v>
      </c>
      <c r="N122" s="46" t="s">
        <v>57</v>
      </c>
      <c r="O122" s="44" t="s">
        <v>186</v>
      </c>
      <c r="P122" s="48"/>
      <c r="Q122" s="8">
        <f>VLOOKUP($F122,[1]装箱单!$A:$E,5,0)</f>
        <v>41.91</v>
      </c>
      <c r="R122" s="8">
        <f>VLOOKUP($F122,[1]装箱单!$A:$F,6,0)</f>
        <v>32.75</v>
      </c>
      <c r="S122" s="8">
        <f>VLOOKUP($F122,[1]装箱单!$A:$G,7,0)</f>
        <v>12.065</v>
      </c>
      <c r="T122" s="10">
        <f>VLOOKUP($F122,[1]装箱单!$A:$J,10,0)</f>
        <v>0.0165598459125</v>
      </c>
      <c r="U122" s="11">
        <f t="shared" si="17"/>
        <v>1.0763899843125</v>
      </c>
    </row>
    <row r="123" ht="29.1" customHeight="1" spans="1:21">
      <c r="A123" s="40">
        <v>46043</v>
      </c>
      <c r="B123" s="41" t="s">
        <v>184</v>
      </c>
      <c r="C123" s="42" t="s">
        <v>189</v>
      </c>
      <c r="D123" s="43"/>
      <c r="E123" s="44">
        <v>47893446</v>
      </c>
      <c r="F123" s="44">
        <v>21150</v>
      </c>
      <c r="G123" s="44" t="s">
        <v>31</v>
      </c>
      <c r="H123" s="44"/>
      <c r="I123" s="45">
        <v>780</v>
      </c>
      <c r="J123" s="45" t="s">
        <v>32</v>
      </c>
      <c r="K123" s="45" t="s">
        <v>33</v>
      </c>
      <c r="L123" s="46">
        <v>65</v>
      </c>
      <c r="M123" s="43">
        <f t="shared" si="16"/>
        <v>1.0763899843125</v>
      </c>
      <c r="N123" s="46" t="s">
        <v>57</v>
      </c>
      <c r="O123" s="44" t="s">
        <v>186</v>
      </c>
      <c r="P123" s="48"/>
      <c r="Q123" s="8">
        <f>VLOOKUP($F123,[1]装箱单!$A:$E,5,0)</f>
        <v>41.91</v>
      </c>
      <c r="R123" s="8">
        <f>VLOOKUP($F123,[1]装箱单!$A:$F,6,0)</f>
        <v>32.75</v>
      </c>
      <c r="S123" s="8">
        <f>VLOOKUP($F123,[1]装箱单!$A:$G,7,0)</f>
        <v>12.065</v>
      </c>
      <c r="T123" s="10">
        <f>VLOOKUP($F123,[1]装箱单!$A:$J,10,0)</f>
        <v>0.0165598459125</v>
      </c>
      <c r="U123" s="11">
        <f t="shared" si="17"/>
        <v>1.0763899843125</v>
      </c>
    </row>
    <row r="124" ht="29.1" customHeight="1" spans="1:21">
      <c r="A124" s="40">
        <v>46043</v>
      </c>
      <c r="B124" s="41" t="s">
        <v>184</v>
      </c>
      <c r="C124" s="42" t="s">
        <v>190</v>
      </c>
      <c r="D124" s="43"/>
      <c r="E124" s="44">
        <v>47891527</v>
      </c>
      <c r="F124" s="44">
        <v>21150</v>
      </c>
      <c r="G124" s="44" t="s">
        <v>31</v>
      </c>
      <c r="H124" s="44"/>
      <c r="I124" s="45">
        <v>864</v>
      </c>
      <c r="J124" s="45" t="s">
        <v>32</v>
      </c>
      <c r="K124" s="45" t="s">
        <v>33</v>
      </c>
      <c r="L124" s="46">
        <v>72</v>
      </c>
      <c r="M124" s="43">
        <f t="shared" si="16"/>
        <v>1.1923089057</v>
      </c>
      <c r="N124" s="46" t="s">
        <v>57</v>
      </c>
      <c r="O124" s="44" t="s">
        <v>186</v>
      </c>
      <c r="P124" s="48"/>
      <c r="Q124" s="8">
        <f>VLOOKUP($F124,[1]装箱单!$A:$E,5,0)</f>
        <v>41.91</v>
      </c>
      <c r="R124" s="8">
        <f>VLOOKUP($F124,[1]装箱单!$A:$F,6,0)</f>
        <v>32.75</v>
      </c>
      <c r="S124" s="8">
        <f>VLOOKUP($F124,[1]装箱单!$A:$G,7,0)</f>
        <v>12.065</v>
      </c>
      <c r="T124" s="10">
        <f>VLOOKUP($F124,[1]装箱单!$A:$J,10,0)</f>
        <v>0.0165598459125</v>
      </c>
      <c r="U124" s="11">
        <f t="shared" si="17"/>
        <v>1.1923089057</v>
      </c>
    </row>
    <row r="125" ht="29.1" customHeight="1" spans="1:21">
      <c r="A125" s="40">
        <v>46043</v>
      </c>
      <c r="B125" s="41" t="s">
        <v>184</v>
      </c>
      <c r="C125" s="42" t="s">
        <v>191</v>
      </c>
      <c r="D125" s="43"/>
      <c r="E125" s="44">
        <v>47893447</v>
      </c>
      <c r="F125" s="44">
        <v>21150</v>
      </c>
      <c r="G125" s="44" t="s">
        <v>31</v>
      </c>
      <c r="H125" s="44"/>
      <c r="I125" s="45">
        <v>864</v>
      </c>
      <c r="J125" s="45" t="s">
        <v>32</v>
      </c>
      <c r="K125" s="45" t="s">
        <v>33</v>
      </c>
      <c r="L125" s="46">
        <v>72</v>
      </c>
      <c r="M125" s="43">
        <f t="shared" si="16"/>
        <v>1.1923089057</v>
      </c>
      <c r="N125" s="46" t="s">
        <v>57</v>
      </c>
      <c r="O125" s="44" t="s">
        <v>186</v>
      </c>
      <c r="P125" s="48"/>
      <c r="Q125" s="8">
        <f>VLOOKUP($F125,[1]装箱单!$A:$E,5,0)</f>
        <v>41.91</v>
      </c>
      <c r="R125" s="8">
        <f>VLOOKUP($F125,[1]装箱单!$A:$F,6,0)</f>
        <v>32.75</v>
      </c>
      <c r="S125" s="8">
        <f>VLOOKUP($F125,[1]装箱单!$A:$G,7,0)</f>
        <v>12.065</v>
      </c>
      <c r="T125" s="10">
        <f>VLOOKUP($F125,[1]装箱单!$A:$J,10,0)</f>
        <v>0.0165598459125</v>
      </c>
      <c r="U125" s="11">
        <f t="shared" si="17"/>
        <v>1.1923089057</v>
      </c>
    </row>
    <row r="126" ht="29.1" customHeight="1" spans="1:21">
      <c r="A126" s="40">
        <v>46043</v>
      </c>
      <c r="B126" s="41" t="s">
        <v>184</v>
      </c>
      <c r="C126" s="42" t="s">
        <v>192</v>
      </c>
      <c r="D126" s="43"/>
      <c r="E126" s="44">
        <v>47891528</v>
      </c>
      <c r="F126" s="44">
        <v>21150</v>
      </c>
      <c r="G126" s="44" t="s">
        <v>31</v>
      </c>
      <c r="H126" s="44"/>
      <c r="I126" s="45">
        <v>288</v>
      </c>
      <c r="J126" s="45" t="s">
        <v>32</v>
      </c>
      <c r="K126" s="45" t="s">
        <v>33</v>
      </c>
      <c r="L126" s="46">
        <v>24</v>
      </c>
      <c r="M126" s="43">
        <f t="shared" si="16"/>
        <v>0.3974363019</v>
      </c>
      <c r="N126" s="46" t="s">
        <v>57</v>
      </c>
      <c r="O126" s="44" t="s">
        <v>186</v>
      </c>
      <c r="P126" s="48"/>
      <c r="Q126" s="8">
        <f>VLOOKUP($F126,[1]装箱单!$A:$E,5,0)</f>
        <v>41.91</v>
      </c>
      <c r="R126" s="8">
        <f>VLOOKUP($F126,[1]装箱单!$A:$F,6,0)</f>
        <v>32.75</v>
      </c>
      <c r="S126" s="8">
        <f>VLOOKUP($F126,[1]装箱单!$A:$G,7,0)</f>
        <v>12.065</v>
      </c>
      <c r="T126" s="10">
        <f>VLOOKUP($F126,[1]装箱单!$A:$J,10,0)</f>
        <v>0.0165598459125</v>
      </c>
      <c r="U126" s="11">
        <f t="shared" si="17"/>
        <v>0.3974363019</v>
      </c>
    </row>
    <row r="127" ht="29.1" customHeight="1" spans="1:21">
      <c r="A127" s="40">
        <v>46043</v>
      </c>
      <c r="B127" s="41" t="s">
        <v>184</v>
      </c>
      <c r="C127" s="42" t="s">
        <v>193</v>
      </c>
      <c r="D127" s="43"/>
      <c r="E127" s="44">
        <v>47893448</v>
      </c>
      <c r="F127" s="44">
        <v>21150</v>
      </c>
      <c r="G127" s="44" t="s">
        <v>31</v>
      </c>
      <c r="H127" s="44"/>
      <c r="I127" s="45">
        <v>288</v>
      </c>
      <c r="J127" s="45" t="s">
        <v>32</v>
      </c>
      <c r="K127" s="45" t="s">
        <v>33</v>
      </c>
      <c r="L127" s="46">
        <v>24</v>
      </c>
      <c r="M127" s="43">
        <f t="shared" si="16"/>
        <v>0.3974363019</v>
      </c>
      <c r="N127" s="46" t="s">
        <v>57</v>
      </c>
      <c r="O127" s="44" t="s">
        <v>186</v>
      </c>
      <c r="P127" s="48"/>
      <c r="Q127" s="8">
        <f>VLOOKUP($F127,[1]装箱单!$A:$E,5,0)</f>
        <v>41.91</v>
      </c>
      <c r="R127" s="8">
        <f>VLOOKUP($F127,[1]装箱单!$A:$F,6,0)</f>
        <v>32.75</v>
      </c>
      <c r="S127" s="8">
        <f>VLOOKUP($F127,[1]装箱单!$A:$G,7,0)</f>
        <v>12.065</v>
      </c>
      <c r="T127" s="10">
        <f>VLOOKUP($F127,[1]装箱单!$A:$J,10,0)</f>
        <v>0.0165598459125</v>
      </c>
      <c r="U127" s="11">
        <f t="shared" si="17"/>
        <v>0.3974363019</v>
      </c>
    </row>
    <row r="128" ht="29.1" customHeight="1" spans="1:21">
      <c r="A128" s="40">
        <v>46043</v>
      </c>
      <c r="B128" s="41" t="s">
        <v>38</v>
      </c>
      <c r="C128" s="42" t="s">
        <v>194</v>
      </c>
      <c r="D128" s="43"/>
      <c r="E128" s="139" t="s">
        <v>195</v>
      </c>
      <c r="F128" s="44">
        <v>28483</v>
      </c>
      <c r="G128" s="44" t="s">
        <v>31</v>
      </c>
      <c r="H128" s="44"/>
      <c r="I128" s="45">
        <f>+L128</f>
        <v>996</v>
      </c>
      <c r="J128" s="45" t="s">
        <v>32</v>
      </c>
      <c r="K128" s="45" t="s">
        <v>33</v>
      </c>
      <c r="L128" s="46">
        <v>996</v>
      </c>
      <c r="M128" s="43">
        <f t="shared" si="16"/>
        <v>5.74959924</v>
      </c>
      <c r="N128" s="46" t="s">
        <v>34</v>
      </c>
      <c r="O128" s="44" t="s">
        <v>186</v>
      </c>
      <c r="P128" s="48"/>
      <c r="Q128" s="8">
        <f>VLOOKUP($F128,[1]装箱单!$A:$E,5,0)</f>
        <v>16.83</v>
      </c>
      <c r="R128" s="8">
        <f>VLOOKUP($F128,[1]装箱单!$A:$F,6,0)</f>
        <v>17.15</v>
      </c>
      <c r="S128" s="8">
        <f>VLOOKUP($F128,[1]装箱单!$A:$G,7,0)</f>
        <v>20</v>
      </c>
      <c r="T128" s="10">
        <f>VLOOKUP($F128,[1]装箱单!$A:$J,10,0)</f>
        <v>0.00577269</v>
      </c>
      <c r="U128" s="11">
        <f t="shared" si="17"/>
        <v>5.74959924</v>
      </c>
    </row>
    <row r="129" ht="29.1" customHeight="1" spans="1:21">
      <c r="A129" s="40">
        <v>46043</v>
      </c>
      <c r="B129" s="41" t="s">
        <v>177</v>
      </c>
      <c r="C129" s="42" t="s">
        <v>178</v>
      </c>
      <c r="D129" s="43"/>
      <c r="E129" s="44">
        <v>8150972746</v>
      </c>
      <c r="F129" s="44" t="s">
        <v>179</v>
      </c>
      <c r="G129" s="44" t="s">
        <v>31</v>
      </c>
      <c r="H129" s="44"/>
      <c r="I129" s="45">
        <v>151248</v>
      </c>
      <c r="J129" s="45" t="s">
        <v>32</v>
      </c>
      <c r="K129" s="45" t="s">
        <v>33</v>
      </c>
      <c r="L129" s="46">
        <f>6302-1567</f>
        <v>4735</v>
      </c>
      <c r="M129" s="43">
        <f t="shared" si="16"/>
        <v>62.970765</v>
      </c>
      <c r="N129" s="46" t="s">
        <v>34</v>
      </c>
      <c r="O129" s="44" t="s">
        <v>186</v>
      </c>
      <c r="P129" s="48"/>
      <c r="Q129" s="8">
        <f>VLOOKUP($F129,[1]装箱单!$A:$E,5,0)</f>
        <v>31</v>
      </c>
      <c r="R129" s="8">
        <f>VLOOKUP($F129,[1]装箱单!$A:$F,6,0)</f>
        <v>22</v>
      </c>
      <c r="S129" s="8">
        <f>VLOOKUP($F129,[1]装箱单!$A:$G,7,0)</f>
        <v>19.5</v>
      </c>
      <c r="T129" s="10">
        <f>VLOOKUP($F129,[1]装箱单!$A:$J,10,0)</f>
        <v>0.013299</v>
      </c>
      <c r="U129" s="11">
        <f t="shared" si="17"/>
        <v>62.970765</v>
      </c>
    </row>
    <row r="130" ht="29.1" customHeight="1" spans="1:21">
      <c r="A130" s="40">
        <v>46043</v>
      </c>
      <c r="B130" s="41" t="s">
        <v>196</v>
      </c>
      <c r="C130" s="42" t="s">
        <v>197</v>
      </c>
      <c r="D130" s="43"/>
      <c r="E130" s="44" t="s">
        <v>198</v>
      </c>
      <c r="F130" s="44" t="s">
        <v>199</v>
      </c>
      <c r="G130" s="44" t="s">
        <v>31</v>
      </c>
      <c r="H130" s="44"/>
      <c r="I130" s="45">
        <v>119040</v>
      </c>
      <c r="J130" s="45" t="s">
        <v>32</v>
      </c>
      <c r="K130" s="45" t="s">
        <v>33</v>
      </c>
      <c r="L130" s="46">
        <f>+I130/192</f>
        <v>620</v>
      </c>
      <c r="M130" s="43">
        <f t="shared" si="16"/>
        <v>23.44647552</v>
      </c>
      <c r="N130" s="46" t="s">
        <v>34</v>
      </c>
      <c r="O130" s="44"/>
      <c r="P130" s="48"/>
      <c r="Q130" s="8">
        <f>VLOOKUP($F130,[1]装箱单!$A:$E,5,0)</f>
        <v>32.7</v>
      </c>
      <c r="R130" s="8">
        <f>VLOOKUP($F130,[1]装箱单!$A:$F,6,0)</f>
        <v>27.8</v>
      </c>
      <c r="S130" s="8">
        <f>VLOOKUP($F130,[1]装箱单!$A:$G,7,0)</f>
        <v>41.6</v>
      </c>
      <c r="T130" s="10">
        <f>VLOOKUP($F130,[1]装箱单!$A:$J,10,0)</f>
        <v>0.037816896</v>
      </c>
      <c r="U130" s="11">
        <f t="shared" si="17"/>
        <v>23.44647552</v>
      </c>
    </row>
    <row r="131" ht="29.1" customHeight="1" spans="1:21">
      <c r="A131" s="40"/>
      <c r="B131" s="41"/>
      <c r="C131" s="42"/>
      <c r="D131" s="43"/>
      <c r="E131" s="44"/>
      <c r="F131" s="44"/>
      <c r="G131" s="44"/>
      <c r="H131" s="44"/>
      <c r="I131" s="45"/>
      <c r="J131" s="45"/>
      <c r="K131" s="45"/>
      <c r="L131" s="46"/>
      <c r="M131" s="43">
        <f>SUM(M115:M130)</f>
        <v>118.828578952544</v>
      </c>
      <c r="N131" s="46"/>
      <c r="O131" s="44"/>
      <c r="P131" s="51"/>
    </row>
    <row r="132" ht="29.1" customHeight="1" spans="1:21">
      <c r="A132" s="40">
        <v>46046</v>
      </c>
      <c r="B132" s="41" t="s">
        <v>40</v>
      </c>
      <c r="C132" s="42" t="s">
        <v>200</v>
      </c>
      <c r="D132" s="43"/>
      <c r="E132" s="139" t="s">
        <v>201</v>
      </c>
      <c r="F132" s="44">
        <v>28483</v>
      </c>
      <c r="G132" s="44" t="s">
        <v>31</v>
      </c>
      <c r="H132" s="44"/>
      <c r="I132" s="45">
        <f>+L132</f>
        <v>1980</v>
      </c>
      <c r="J132" s="45" t="s">
        <v>32</v>
      </c>
      <c r="K132" s="45" t="s">
        <v>33</v>
      </c>
      <c r="L132" s="46">
        <v>1980</v>
      </c>
      <c r="M132" s="43">
        <f t="shared" ref="M132:M137" si="18">+U132</f>
        <v>11.4299262</v>
      </c>
      <c r="N132" s="46" t="s">
        <v>34</v>
      </c>
      <c r="O132" s="44"/>
      <c r="P132" s="47" t="s">
        <v>202</v>
      </c>
      <c r="Q132" s="8">
        <f>VLOOKUP($F132,[1]装箱单!$A:$E,5,0)</f>
        <v>16.83</v>
      </c>
      <c r="R132" s="8">
        <f>VLOOKUP($F132,[1]装箱单!$A:$F,6,0)</f>
        <v>17.15</v>
      </c>
      <c r="S132" s="8">
        <f>VLOOKUP($F132,[1]装箱单!$A:$G,7,0)</f>
        <v>20</v>
      </c>
      <c r="T132" s="10">
        <f>VLOOKUP($F132,[1]装箱单!$A:$J,10,0)</f>
        <v>0.00577269</v>
      </c>
      <c r="U132" s="11">
        <f t="shared" ref="U132:U138" si="19">+T132*L132</f>
        <v>11.4299262</v>
      </c>
    </row>
    <row r="133" ht="29.1" customHeight="1" spans="1:21">
      <c r="A133" s="40">
        <v>46046</v>
      </c>
      <c r="B133" s="41" t="s">
        <v>77</v>
      </c>
      <c r="C133" s="42" t="s">
        <v>203</v>
      </c>
      <c r="D133" s="43"/>
      <c r="E133" s="44" t="s">
        <v>204</v>
      </c>
      <c r="F133" s="44" t="s">
        <v>80</v>
      </c>
      <c r="G133" s="44" t="s">
        <v>31</v>
      </c>
      <c r="H133" s="44"/>
      <c r="I133" s="45">
        <f>+L133*18</f>
        <v>3996</v>
      </c>
      <c r="J133" s="45" t="s">
        <v>32</v>
      </c>
      <c r="K133" s="45" t="s">
        <v>33</v>
      </c>
      <c r="L133" s="46">
        <v>222</v>
      </c>
      <c r="M133" s="43">
        <f t="shared" si="18"/>
        <v>3.332759904</v>
      </c>
      <c r="N133" s="46" t="s">
        <v>34</v>
      </c>
      <c r="O133" s="44"/>
      <c r="P133" s="48"/>
      <c r="Q133" s="8">
        <f>VLOOKUP($F133,[1]装箱单!$A:$E,5,0)</f>
        <v>42.48</v>
      </c>
      <c r="R133" s="8">
        <f>VLOOKUP($F133,[1]装箱单!$A:$F,6,0)</f>
        <v>22.8</v>
      </c>
      <c r="S133" s="8">
        <f>VLOOKUP($F133,[1]装箱单!$A:$G,7,0)</f>
        <v>15.5</v>
      </c>
      <c r="T133" s="10">
        <f>VLOOKUP($F133,[1]装箱单!$A:$J,10,0)</f>
        <v>0.015012432</v>
      </c>
      <c r="U133" s="11">
        <f t="shared" si="19"/>
        <v>3.332759904</v>
      </c>
    </row>
    <row r="134" ht="29.1" customHeight="1" spans="1:21">
      <c r="A134" s="40">
        <v>46046</v>
      </c>
      <c r="B134" s="41" t="s">
        <v>205</v>
      </c>
      <c r="C134" s="42" t="s">
        <v>206</v>
      </c>
      <c r="D134" s="43"/>
      <c r="E134" s="44" t="s">
        <v>207</v>
      </c>
      <c r="F134" s="44" t="s">
        <v>122</v>
      </c>
      <c r="G134" s="44" t="s">
        <v>31</v>
      </c>
      <c r="H134" s="44"/>
      <c r="I134" s="45">
        <f>+L134*36</f>
        <v>5004</v>
      </c>
      <c r="J134" s="45" t="s">
        <v>32</v>
      </c>
      <c r="K134" s="45" t="s">
        <v>33</v>
      </c>
      <c r="L134" s="46">
        <v>139</v>
      </c>
      <c r="M134" s="43">
        <f t="shared" si="18"/>
        <v>1.6509579884</v>
      </c>
      <c r="N134" s="46" t="s">
        <v>34</v>
      </c>
      <c r="O134" s="44"/>
      <c r="P134" s="48"/>
      <c r="Q134" s="8">
        <f>VLOOKUP($F134,[1]装箱单!$A:$E,5,0)</f>
        <v>31.75</v>
      </c>
      <c r="R134" s="8">
        <f>VLOOKUP($F134,[1]装箱单!$A:$F,6,0)</f>
        <v>18.41</v>
      </c>
      <c r="S134" s="8">
        <f>VLOOKUP($F134,[1]装箱单!$A:$G,7,0)</f>
        <v>20.32</v>
      </c>
      <c r="T134" s="10">
        <f>VLOOKUP($F134,[1]装箱单!$A:$J,10,0)</f>
        <v>0.0118773956</v>
      </c>
      <c r="U134" s="11">
        <f t="shared" si="19"/>
        <v>1.6509579884</v>
      </c>
    </row>
    <row r="135" ht="29.1" customHeight="1" spans="1:21">
      <c r="A135" s="40">
        <v>46046</v>
      </c>
      <c r="B135" s="41" t="s">
        <v>208</v>
      </c>
      <c r="C135" s="42" t="s">
        <v>209</v>
      </c>
      <c r="D135" s="43"/>
      <c r="E135" s="44" t="s">
        <v>210</v>
      </c>
      <c r="F135" s="44" t="s">
        <v>211</v>
      </c>
      <c r="G135" s="44" t="s">
        <v>31</v>
      </c>
      <c r="H135" s="44"/>
      <c r="I135" s="45">
        <f>+L135*2</f>
        <v>600</v>
      </c>
      <c r="J135" s="45" t="s">
        <v>32</v>
      </c>
      <c r="K135" s="45" t="s">
        <v>33</v>
      </c>
      <c r="L135" s="46">
        <v>300</v>
      </c>
      <c r="M135" s="43">
        <f t="shared" si="18"/>
        <v>21.0160611936</v>
      </c>
      <c r="N135" s="46" t="s">
        <v>34</v>
      </c>
      <c r="O135" s="44"/>
      <c r="P135" s="48"/>
      <c r="Q135" s="8">
        <f>VLOOKUP($F135,[1]装箱单!$A:$E,5,0)</f>
        <v>45.72</v>
      </c>
      <c r="R135" s="8">
        <f>VLOOKUP($F135,[1]装箱单!$A:$F,6,0)</f>
        <v>36.56</v>
      </c>
      <c r="S135" s="8">
        <f>VLOOKUP($F135,[1]装箱单!$A:$G,7,0)</f>
        <v>41.91</v>
      </c>
      <c r="T135" s="10">
        <f>VLOOKUP($F135,[1]装箱单!$A:$J,10,0)</f>
        <v>0.070053537312</v>
      </c>
      <c r="U135" s="11">
        <f t="shared" si="19"/>
        <v>21.0160611936</v>
      </c>
    </row>
    <row r="136" ht="29.1" customHeight="1" spans="1:21">
      <c r="A136" s="40">
        <v>46046</v>
      </c>
      <c r="B136" s="41" t="s">
        <v>212</v>
      </c>
      <c r="C136" s="42" t="s">
        <v>213</v>
      </c>
      <c r="D136" s="43"/>
      <c r="E136" s="44">
        <v>4504147612</v>
      </c>
      <c r="F136" s="44">
        <v>46134</v>
      </c>
      <c r="G136" s="44" t="s">
        <v>31</v>
      </c>
      <c r="H136" s="44"/>
      <c r="I136" s="45">
        <v>600</v>
      </c>
      <c r="J136" s="45" t="s">
        <v>32</v>
      </c>
      <c r="K136" s="45" t="s">
        <v>33</v>
      </c>
      <c r="L136" s="46">
        <v>300</v>
      </c>
      <c r="M136" s="43">
        <f t="shared" si="18"/>
        <v>6.7097154096</v>
      </c>
      <c r="N136" s="46" t="s">
        <v>34</v>
      </c>
      <c r="O136" s="44"/>
      <c r="P136" s="48"/>
      <c r="Q136" s="8">
        <f>VLOOKUP($F136,[1]装箱单!$A:$E,5,0)</f>
        <v>40.01</v>
      </c>
      <c r="R136" s="8">
        <f>VLOOKUP($F136,[1]装箱单!$A:$F,6,0)</f>
        <v>26.67</v>
      </c>
      <c r="S136" s="8">
        <f>VLOOKUP($F136,[1]装箱单!$A:$G,7,0)</f>
        <v>20.96</v>
      </c>
      <c r="T136" s="10">
        <f>VLOOKUP($F136,[1]装箱单!$A:$J,10,0)</f>
        <v>0.022365718032</v>
      </c>
      <c r="U136" s="11">
        <f t="shared" si="19"/>
        <v>6.7097154096</v>
      </c>
    </row>
    <row r="137" ht="29.1" customHeight="1" spans="1:21">
      <c r="A137" s="40">
        <v>46046</v>
      </c>
      <c r="B137" s="41" t="s">
        <v>212</v>
      </c>
      <c r="C137" s="42" t="s">
        <v>213</v>
      </c>
      <c r="D137" s="43"/>
      <c r="E137" s="44">
        <v>4504147612</v>
      </c>
      <c r="F137" s="44">
        <v>46132</v>
      </c>
      <c r="G137" s="44" t="s">
        <v>31</v>
      </c>
      <c r="H137" s="44"/>
      <c r="I137" s="45">
        <v>600</v>
      </c>
      <c r="J137" s="45" t="s">
        <v>32</v>
      </c>
      <c r="K137" s="45" t="s">
        <v>33</v>
      </c>
      <c r="L137" s="46">
        <v>300</v>
      </c>
      <c r="M137" s="43">
        <f t="shared" si="18"/>
        <v>6.7097154096</v>
      </c>
      <c r="N137" s="46" t="s">
        <v>34</v>
      </c>
      <c r="O137" s="44"/>
      <c r="P137" s="48"/>
      <c r="Q137" s="8">
        <f>VLOOKUP($F137,[1]装箱单!$A:$E,5,0)</f>
        <v>40.01</v>
      </c>
      <c r="R137" s="8">
        <f>VLOOKUP($F137,[1]装箱单!$A:$F,6,0)</f>
        <v>26.67</v>
      </c>
      <c r="S137" s="8">
        <f>VLOOKUP($F137,[1]装箱单!$A:$G,7,0)</f>
        <v>20.96</v>
      </c>
      <c r="T137" s="10">
        <f>VLOOKUP($F137,[1]装箱单!$A:$J,10,0)</f>
        <v>0.022365718032</v>
      </c>
      <c r="U137" s="11">
        <f t="shared" si="19"/>
        <v>6.7097154096</v>
      </c>
    </row>
    <row r="138" ht="29.1" customHeight="1" spans="1:21">
      <c r="A138" s="40">
        <v>46046</v>
      </c>
      <c r="B138" s="41" t="s">
        <v>154</v>
      </c>
      <c r="C138" s="42" t="s">
        <v>214</v>
      </c>
      <c r="D138" s="43"/>
      <c r="E138" s="44" t="s">
        <v>215</v>
      </c>
      <c r="F138" s="44" t="s">
        <v>179</v>
      </c>
      <c r="G138" s="44" t="s">
        <v>31</v>
      </c>
      <c r="H138" s="44"/>
      <c r="I138" s="45">
        <v>80016</v>
      </c>
      <c r="J138" s="45" t="s">
        <v>32</v>
      </c>
      <c r="K138" s="45" t="s">
        <v>33</v>
      </c>
      <c r="L138" s="46">
        <v>1667</v>
      </c>
      <c r="M138" s="43">
        <v>44</v>
      </c>
      <c r="N138" s="46" t="s">
        <v>34</v>
      </c>
      <c r="O138" s="44" t="s">
        <v>216</v>
      </c>
      <c r="P138" s="48"/>
      <c r="Q138" s="8">
        <f>VLOOKUP($F138,[1]装箱单!$A:$E,5,0)</f>
        <v>31</v>
      </c>
      <c r="R138" s="8">
        <f>VLOOKUP($F138,[1]装箱单!$A:$F,6,0)</f>
        <v>22</v>
      </c>
      <c r="S138" s="8">
        <f>VLOOKUP($F138,[1]装箱单!$A:$G,7,0)</f>
        <v>19.5</v>
      </c>
      <c r="T138" s="10">
        <f>VLOOKUP($F138,[1]装箱单!$A:$J,10,0)</f>
        <v>0.013299</v>
      </c>
      <c r="U138" s="11">
        <f t="shared" si="19"/>
        <v>22.169433</v>
      </c>
    </row>
    <row r="139" ht="29.1" customHeight="1" spans="1:21">
      <c r="A139" s="40">
        <v>46046</v>
      </c>
      <c r="B139" s="41"/>
      <c r="C139" s="42"/>
      <c r="D139" s="43"/>
      <c r="E139" s="44"/>
      <c r="F139" s="44">
        <v>21150</v>
      </c>
      <c r="G139" s="44" t="s">
        <v>217</v>
      </c>
      <c r="H139" s="44"/>
      <c r="I139" s="45">
        <v>500</v>
      </c>
      <c r="J139" s="45" t="s">
        <v>32</v>
      </c>
      <c r="K139" s="45" t="s">
        <v>218</v>
      </c>
      <c r="L139" s="46"/>
      <c r="M139" s="43"/>
      <c r="N139" s="46"/>
      <c r="O139" s="44"/>
      <c r="P139" s="48"/>
    </row>
    <row r="140" ht="29.1" customHeight="1" spans="1:21">
      <c r="A140" s="40"/>
      <c r="B140" s="41"/>
      <c r="C140" s="42"/>
      <c r="D140" s="43"/>
      <c r="E140" s="44"/>
      <c r="F140" s="44"/>
      <c r="G140" s="44"/>
      <c r="H140" s="44"/>
      <c r="I140" s="45"/>
      <c r="J140" s="45"/>
      <c r="K140" s="45"/>
      <c r="L140" s="46"/>
      <c r="M140" s="43">
        <f>SUM(M132:M138)</f>
        <v>94.8491361052</v>
      </c>
      <c r="N140" s="46"/>
      <c r="O140" s="44"/>
      <c r="P140" s="51"/>
    </row>
    <row r="141" ht="29.1" customHeight="1" spans="1:21">
      <c r="A141" s="40">
        <v>46052</v>
      </c>
      <c r="B141" s="41" t="s">
        <v>146</v>
      </c>
      <c r="C141" s="42" t="s">
        <v>219</v>
      </c>
      <c r="D141" s="43"/>
      <c r="E141" s="44">
        <v>2536168</v>
      </c>
      <c r="F141" s="44">
        <v>46132</v>
      </c>
      <c r="G141" s="44" t="s">
        <v>31</v>
      </c>
      <c r="H141" s="44"/>
      <c r="I141" s="45">
        <v>1000</v>
      </c>
      <c r="J141" s="45" t="s">
        <v>32</v>
      </c>
      <c r="K141" s="45" t="s">
        <v>33</v>
      </c>
      <c r="L141" s="46">
        <v>500</v>
      </c>
      <c r="M141" s="43">
        <f t="shared" ref="M141:M152" si="20">+U141</f>
        <v>11.182859016</v>
      </c>
      <c r="N141" s="46" t="s">
        <v>34</v>
      </c>
      <c r="O141" s="44"/>
      <c r="P141" s="47" t="s">
        <v>220</v>
      </c>
      <c r="Q141" s="8">
        <f>VLOOKUP($F141,[1]装箱单!$A:$E,5,0)</f>
        <v>40.01</v>
      </c>
      <c r="R141" s="8">
        <f>VLOOKUP($F141,[1]装箱单!$A:$F,6,0)</f>
        <v>26.67</v>
      </c>
      <c r="S141" s="8">
        <f>VLOOKUP($F141,[1]装箱单!$A:$G,7,0)</f>
        <v>20.96</v>
      </c>
      <c r="T141" s="10">
        <f>VLOOKUP($F141,[1]装箱单!$A:$J,10,0)</f>
        <v>0.022365718032</v>
      </c>
      <c r="U141" s="11">
        <f t="shared" ref="U141:U152" si="21">+T141*L141</f>
        <v>11.182859016</v>
      </c>
    </row>
    <row r="142" ht="29.1" customHeight="1" spans="1:21">
      <c r="A142" s="40">
        <v>46052</v>
      </c>
      <c r="B142" s="41" t="s">
        <v>146</v>
      </c>
      <c r="C142" s="42" t="s">
        <v>221</v>
      </c>
      <c r="D142" s="43"/>
      <c r="E142" s="44">
        <v>2536169</v>
      </c>
      <c r="F142" s="44">
        <v>46092</v>
      </c>
      <c r="G142" s="44" t="s">
        <v>31</v>
      </c>
      <c r="H142" s="44"/>
      <c r="I142" s="45">
        <v>1000</v>
      </c>
      <c r="J142" s="45" t="s">
        <v>32</v>
      </c>
      <c r="K142" s="45" t="s">
        <v>33</v>
      </c>
      <c r="L142" s="46">
        <v>500</v>
      </c>
      <c r="M142" s="43">
        <f t="shared" si="20"/>
        <v>11.182859016</v>
      </c>
      <c r="N142" s="46" t="s">
        <v>34</v>
      </c>
      <c r="O142" s="44"/>
      <c r="P142" s="48"/>
      <c r="Q142" s="8">
        <f>VLOOKUP($F142,[1]装箱单!$A:$E,5,0)</f>
        <v>40.01</v>
      </c>
      <c r="R142" s="8">
        <f>VLOOKUP($F142,[1]装箱单!$A:$F,6,0)</f>
        <v>26.67</v>
      </c>
      <c r="S142" s="8">
        <f>VLOOKUP($F142,[1]装箱单!$A:$G,7,0)</f>
        <v>20.96</v>
      </c>
      <c r="T142" s="10">
        <f>VLOOKUP($F142,[1]装箱单!$A:$J,10,0)</f>
        <v>0.022365718032</v>
      </c>
      <c r="U142" s="11">
        <f t="shared" si="21"/>
        <v>11.182859016</v>
      </c>
    </row>
    <row r="143" ht="29.1" customHeight="1" spans="1:21">
      <c r="A143" s="40">
        <v>46052</v>
      </c>
      <c r="B143" s="41" t="s">
        <v>212</v>
      </c>
      <c r="C143" s="42" t="s">
        <v>213</v>
      </c>
      <c r="D143" s="43"/>
      <c r="E143" s="44">
        <v>4504147612</v>
      </c>
      <c r="F143" s="44">
        <v>46092</v>
      </c>
      <c r="G143" s="44" t="s">
        <v>31</v>
      </c>
      <c r="H143" s="44"/>
      <c r="I143" s="45">
        <f>+L143*2</f>
        <v>450</v>
      </c>
      <c r="J143" s="45" t="s">
        <v>32</v>
      </c>
      <c r="K143" s="45" t="s">
        <v>33</v>
      </c>
      <c r="L143" s="46">
        <v>225</v>
      </c>
      <c r="M143" s="43">
        <f t="shared" si="20"/>
        <v>5.0322865572</v>
      </c>
      <c r="N143" s="46" t="s">
        <v>34</v>
      </c>
      <c r="O143" s="44"/>
      <c r="P143" s="48"/>
      <c r="Q143" s="8">
        <f>VLOOKUP($F143,[1]装箱单!$A:$E,5,0)</f>
        <v>40.01</v>
      </c>
      <c r="R143" s="8">
        <f>VLOOKUP($F143,[1]装箱单!$A:$F,6,0)</f>
        <v>26.67</v>
      </c>
      <c r="S143" s="8">
        <f>VLOOKUP($F143,[1]装箱单!$A:$G,7,0)</f>
        <v>20.96</v>
      </c>
      <c r="T143" s="10">
        <f>VLOOKUP($F143,[1]装箱单!$A:$J,10,0)</f>
        <v>0.022365718032</v>
      </c>
      <c r="U143" s="11">
        <f t="shared" si="21"/>
        <v>5.0322865572</v>
      </c>
    </row>
    <row r="144" ht="29.1" customHeight="1" spans="1:21">
      <c r="A144" s="40">
        <v>46052</v>
      </c>
      <c r="B144" s="41" t="s">
        <v>146</v>
      </c>
      <c r="C144" s="42" t="s">
        <v>222</v>
      </c>
      <c r="D144" s="43"/>
      <c r="E144" s="44">
        <v>2557075</v>
      </c>
      <c r="F144" s="44">
        <v>46134</v>
      </c>
      <c r="G144" s="44" t="s">
        <v>31</v>
      </c>
      <c r="H144" s="44"/>
      <c r="I144" s="45">
        <f>+L144*2</f>
        <v>1000</v>
      </c>
      <c r="J144" s="45" t="s">
        <v>32</v>
      </c>
      <c r="K144" s="45" t="s">
        <v>33</v>
      </c>
      <c r="L144" s="46">
        <v>500</v>
      </c>
      <c r="M144" s="43">
        <f t="shared" si="20"/>
        <v>11.182859016</v>
      </c>
      <c r="N144" s="46" t="s">
        <v>34</v>
      </c>
      <c r="O144" s="44"/>
      <c r="P144" s="48"/>
      <c r="Q144" s="8">
        <f>VLOOKUP($F144,[1]装箱单!$A:$E,5,0)</f>
        <v>40.01</v>
      </c>
      <c r="R144" s="8">
        <f>VLOOKUP($F144,[1]装箱单!$A:$F,6,0)</f>
        <v>26.67</v>
      </c>
      <c r="S144" s="8">
        <f>VLOOKUP($F144,[1]装箱单!$A:$G,7,0)</f>
        <v>20.96</v>
      </c>
      <c r="T144" s="10">
        <f>VLOOKUP($F144,[1]装箱单!$A:$J,10,0)</f>
        <v>0.022365718032</v>
      </c>
      <c r="U144" s="11">
        <f t="shared" si="21"/>
        <v>11.182859016</v>
      </c>
    </row>
    <row r="145" ht="29.1" customHeight="1" spans="1:21">
      <c r="A145" s="40">
        <v>46052</v>
      </c>
      <c r="B145" s="41" t="s">
        <v>223</v>
      </c>
      <c r="C145" s="42" t="s">
        <v>224</v>
      </c>
      <c r="D145" s="43"/>
      <c r="E145" s="44" t="s">
        <v>225</v>
      </c>
      <c r="F145" s="44" t="s">
        <v>80</v>
      </c>
      <c r="G145" s="44" t="s">
        <v>31</v>
      </c>
      <c r="H145" s="44"/>
      <c r="I145" s="45">
        <v>7020</v>
      </c>
      <c r="J145" s="45" t="s">
        <v>32</v>
      </c>
      <c r="K145" s="45" t="s">
        <v>33</v>
      </c>
      <c r="L145" s="46">
        <v>400</v>
      </c>
      <c r="M145" s="43">
        <f t="shared" si="20"/>
        <v>6.0049728</v>
      </c>
      <c r="N145" s="46" t="s">
        <v>34</v>
      </c>
      <c r="O145" s="44"/>
      <c r="P145" s="48"/>
      <c r="Q145" s="8">
        <f>VLOOKUP($F145,[1]装箱单!$A:$E,5,0)</f>
        <v>42.48</v>
      </c>
      <c r="R145" s="8">
        <f>VLOOKUP($F145,[1]装箱单!$A:$F,6,0)</f>
        <v>22.8</v>
      </c>
      <c r="S145" s="8">
        <f>VLOOKUP($F145,[1]装箱单!$A:$G,7,0)</f>
        <v>15.5</v>
      </c>
      <c r="T145" s="10">
        <f>VLOOKUP($F145,[1]装箱单!$A:$J,10,0)</f>
        <v>0.015012432</v>
      </c>
      <c r="U145" s="11">
        <f t="shared" si="21"/>
        <v>6.0049728</v>
      </c>
    </row>
    <row r="146" ht="29.1" customHeight="1" spans="1:21">
      <c r="A146" s="40">
        <v>46052</v>
      </c>
      <c r="B146" s="41" t="s">
        <v>226</v>
      </c>
      <c r="C146" s="42" t="s">
        <v>227</v>
      </c>
      <c r="D146" s="43"/>
      <c r="E146" s="44">
        <v>40945147</v>
      </c>
      <c r="F146" s="44" t="s">
        <v>228</v>
      </c>
      <c r="G146" s="44" t="s">
        <v>31</v>
      </c>
      <c r="H146" s="44"/>
      <c r="I146" s="45">
        <v>7164</v>
      </c>
      <c r="J146" s="45" t="s">
        <v>32</v>
      </c>
      <c r="K146" s="45" t="s">
        <v>33</v>
      </c>
      <c r="L146" s="46">
        <v>398</v>
      </c>
      <c r="M146" s="43">
        <f t="shared" si="20"/>
        <v>2.53280235</v>
      </c>
      <c r="N146" s="46" t="s">
        <v>57</v>
      </c>
      <c r="O146" s="44"/>
      <c r="P146" s="48"/>
      <c r="Q146" s="8">
        <f>VLOOKUP($F146,[1]装箱单!$A:$E,5,0)</f>
        <v>32.5</v>
      </c>
      <c r="R146" s="8">
        <f>VLOOKUP($F146,[1]装箱单!$A:$F,6,0)</f>
        <v>18.3</v>
      </c>
      <c r="S146" s="8">
        <f>VLOOKUP($F146,[1]装箱单!$A:$G,7,0)</f>
        <v>10.7</v>
      </c>
      <c r="T146" s="10">
        <f>VLOOKUP($F146,[1]装箱单!$A:$J,10,0)</f>
        <v>0.006363825</v>
      </c>
      <c r="U146" s="11">
        <f t="shared" si="21"/>
        <v>2.53280235</v>
      </c>
    </row>
    <row r="147" ht="29.1" customHeight="1" spans="1:21">
      <c r="A147" s="40">
        <v>46052</v>
      </c>
      <c r="B147" s="41" t="s">
        <v>226</v>
      </c>
      <c r="C147" s="42" t="s">
        <v>229</v>
      </c>
      <c r="D147" s="43"/>
      <c r="E147" s="44">
        <v>40945148</v>
      </c>
      <c r="F147" s="44" t="s">
        <v>228</v>
      </c>
      <c r="G147" s="44" t="s">
        <v>31</v>
      </c>
      <c r="H147" s="44"/>
      <c r="I147" s="45">
        <v>13536</v>
      </c>
      <c r="J147" s="45" t="s">
        <v>32</v>
      </c>
      <c r="K147" s="45" t="s">
        <v>33</v>
      </c>
      <c r="L147" s="46">
        <v>752</v>
      </c>
      <c r="M147" s="43">
        <f t="shared" si="20"/>
        <v>4.7855964</v>
      </c>
      <c r="N147" s="46" t="s">
        <v>57</v>
      </c>
      <c r="O147" s="44"/>
      <c r="P147" s="48"/>
      <c r="Q147" s="8">
        <f>VLOOKUP($F147,[1]装箱单!$A:$E,5,0)</f>
        <v>32.5</v>
      </c>
      <c r="R147" s="8">
        <f>VLOOKUP($F147,[1]装箱单!$A:$F,6,0)</f>
        <v>18.3</v>
      </c>
      <c r="S147" s="8">
        <f>VLOOKUP($F147,[1]装箱单!$A:$G,7,0)</f>
        <v>10.7</v>
      </c>
      <c r="T147" s="10">
        <f>VLOOKUP($F147,[1]装箱单!$A:$J,10,0)</f>
        <v>0.006363825</v>
      </c>
      <c r="U147" s="11">
        <f t="shared" si="21"/>
        <v>4.7855964</v>
      </c>
    </row>
    <row r="148" ht="29.1" customHeight="1" spans="1:21">
      <c r="A148" s="40">
        <v>46052</v>
      </c>
      <c r="B148" s="41" t="s">
        <v>226</v>
      </c>
      <c r="C148" s="42" t="s">
        <v>230</v>
      </c>
      <c r="D148" s="43"/>
      <c r="E148" s="44">
        <v>40945149</v>
      </c>
      <c r="F148" s="44" t="s">
        <v>228</v>
      </c>
      <c r="G148" s="44" t="s">
        <v>31</v>
      </c>
      <c r="H148" s="44"/>
      <c r="I148" s="45">
        <v>8748</v>
      </c>
      <c r="J148" s="45" t="s">
        <v>32</v>
      </c>
      <c r="K148" s="45" t="s">
        <v>33</v>
      </c>
      <c r="L148" s="46">
        <v>486</v>
      </c>
      <c r="M148" s="43">
        <f t="shared" si="20"/>
        <v>3.09281895</v>
      </c>
      <c r="N148" s="46" t="s">
        <v>57</v>
      </c>
      <c r="O148" s="44"/>
      <c r="P148" s="48"/>
      <c r="Q148" s="8">
        <f>VLOOKUP($F148,[1]装箱单!$A:$E,5,0)</f>
        <v>32.5</v>
      </c>
      <c r="R148" s="8">
        <f>VLOOKUP($F148,[1]装箱单!$A:$F,6,0)</f>
        <v>18.3</v>
      </c>
      <c r="S148" s="8">
        <f>VLOOKUP($F148,[1]装箱单!$A:$G,7,0)</f>
        <v>10.7</v>
      </c>
      <c r="T148" s="10">
        <f>VLOOKUP($F148,[1]装箱单!$A:$J,10,0)</f>
        <v>0.006363825</v>
      </c>
      <c r="U148" s="11">
        <f t="shared" si="21"/>
        <v>3.09281895</v>
      </c>
    </row>
    <row r="149" ht="29.1" customHeight="1" spans="1:21">
      <c r="A149" s="40">
        <v>46052</v>
      </c>
      <c r="B149" s="41" t="s">
        <v>226</v>
      </c>
      <c r="C149" s="42" t="s">
        <v>231</v>
      </c>
      <c r="D149" s="43"/>
      <c r="E149" s="44">
        <v>40945150</v>
      </c>
      <c r="F149" s="44" t="s">
        <v>228</v>
      </c>
      <c r="G149" s="44" t="s">
        <v>31</v>
      </c>
      <c r="H149" s="44"/>
      <c r="I149" s="45">
        <v>7884</v>
      </c>
      <c r="J149" s="45" t="s">
        <v>32</v>
      </c>
      <c r="K149" s="45" t="s">
        <v>33</v>
      </c>
      <c r="L149" s="46">
        <v>438</v>
      </c>
      <c r="M149" s="43">
        <f t="shared" si="20"/>
        <v>2.78735535</v>
      </c>
      <c r="N149" s="46" t="s">
        <v>57</v>
      </c>
      <c r="O149" s="44"/>
      <c r="P149" s="48"/>
      <c r="Q149" s="8">
        <f>VLOOKUP($F149,[1]装箱单!$A:$E,5,0)</f>
        <v>32.5</v>
      </c>
      <c r="R149" s="8">
        <f>VLOOKUP($F149,[1]装箱单!$A:$F,6,0)</f>
        <v>18.3</v>
      </c>
      <c r="S149" s="8">
        <f>VLOOKUP($F149,[1]装箱单!$A:$G,7,0)</f>
        <v>10.7</v>
      </c>
      <c r="T149" s="10">
        <f>VLOOKUP($F149,[1]装箱单!$A:$J,10,0)</f>
        <v>0.006363825</v>
      </c>
      <c r="U149" s="11">
        <f t="shared" si="21"/>
        <v>2.78735535</v>
      </c>
    </row>
    <row r="150" ht="29.1" customHeight="1" spans="1:21">
      <c r="A150" s="40">
        <v>46052</v>
      </c>
      <c r="B150" s="41" t="s">
        <v>226</v>
      </c>
      <c r="C150" s="42" t="s">
        <v>232</v>
      </c>
      <c r="D150" s="43"/>
      <c r="E150" s="44">
        <v>40945151</v>
      </c>
      <c r="F150" s="44" t="s">
        <v>228</v>
      </c>
      <c r="G150" s="44" t="s">
        <v>31</v>
      </c>
      <c r="H150" s="44"/>
      <c r="I150" s="45">
        <v>11106</v>
      </c>
      <c r="J150" s="45" t="s">
        <v>32</v>
      </c>
      <c r="K150" s="45" t="s">
        <v>33</v>
      </c>
      <c r="L150" s="46">
        <v>617</v>
      </c>
      <c r="M150" s="43">
        <f t="shared" si="20"/>
        <v>3.926480025</v>
      </c>
      <c r="N150" s="46" t="s">
        <v>57</v>
      </c>
      <c r="O150" s="44"/>
      <c r="P150" s="48"/>
      <c r="Q150" s="8">
        <f>VLOOKUP($F150,[1]装箱单!$A:$E,5,0)</f>
        <v>32.5</v>
      </c>
      <c r="R150" s="8">
        <f>VLOOKUP($F150,[1]装箱单!$A:$F,6,0)</f>
        <v>18.3</v>
      </c>
      <c r="S150" s="8">
        <f>VLOOKUP($F150,[1]装箱单!$A:$G,7,0)</f>
        <v>10.7</v>
      </c>
      <c r="T150" s="10">
        <f>VLOOKUP($F150,[1]装箱单!$A:$J,10,0)</f>
        <v>0.006363825</v>
      </c>
      <c r="U150" s="11">
        <f t="shared" si="21"/>
        <v>3.926480025</v>
      </c>
    </row>
    <row r="151" ht="29.1" customHeight="1" spans="1:21">
      <c r="A151" s="40">
        <v>46052</v>
      </c>
      <c r="B151" s="41" t="s">
        <v>226</v>
      </c>
      <c r="C151" s="42" t="s">
        <v>233</v>
      </c>
      <c r="D151" s="43"/>
      <c r="E151" s="44">
        <v>40945152</v>
      </c>
      <c r="F151" s="44" t="s">
        <v>228</v>
      </c>
      <c r="G151" s="44" t="s">
        <v>31</v>
      </c>
      <c r="H151" s="44"/>
      <c r="I151" s="45">
        <v>11376</v>
      </c>
      <c r="J151" s="45" t="s">
        <v>32</v>
      </c>
      <c r="K151" s="45" t="s">
        <v>33</v>
      </c>
      <c r="L151" s="46">
        <v>632</v>
      </c>
      <c r="M151" s="43">
        <f t="shared" si="20"/>
        <v>4.0219374</v>
      </c>
      <c r="N151" s="46" t="s">
        <v>57</v>
      </c>
      <c r="O151" s="44"/>
      <c r="P151" s="48"/>
      <c r="Q151" s="8">
        <f>VLOOKUP($F151,[1]装箱单!$A:$E,5,0)</f>
        <v>32.5</v>
      </c>
      <c r="R151" s="8">
        <f>VLOOKUP($F151,[1]装箱单!$A:$F,6,0)</f>
        <v>18.3</v>
      </c>
      <c r="S151" s="8">
        <f>VLOOKUP($F151,[1]装箱单!$A:$G,7,0)</f>
        <v>10.7</v>
      </c>
      <c r="T151" s="10">
        <f>VLOOKUP($F151,[1]装箱单!$A:$J,10,0)</f>
        <v>0.006363825</v>
      </c>
      <c r="U151" s="11">
        <f t="shared" si="21"/>
        <v>4.0219374</v>
      </c>
    </row>
    <row r="152" ht="29.1" customHeight="1" spans="1:21">
      <c r="A152" s="40">
        <v>46052</v>
      </c>
      <c r="B152" s="41" t="s">
        <v>226</v>
      </c>
      <c r="C152" s="42" t="s">
        <v>234</v>
      </c>
      <c r="D152" s="43"/>
      <c r="E152" s="44">
        <v>40945153</v>
      </c>
      <c r="F152" s="44" t="s">
        <v>228</v>
      </c>
      <c r="G152" s="44" t="s">
        <v>31</v>
      </c>
      <c r="H152" s="44"/>
      <c r="I152" s="45">
        <v>11826</v>
      </c>
      <c r="J152" s="45" t="s">
        <v>32</v>
      </c>
      <c r="K152" s="45" t="s">
        <v>33</v>
      </c>
      <c r="L152" s="46">
        <v>657</v>
      </c>
      <c r="M152" s="43">
        <f t="shared" si="20"/>
        <v>4.181033025</v>
      </c>
      <c r="N152" s="46" t="s">
        <v>57</v>
      </c>
      <c r="O152" s="44"/>
      <c r="P152" s="48"/>
      <c r="Q152" s="8">
        <f>VLOOKUP($F152,[1]装箱单!$A:$E,5,0)</f>
        <v>32.5</v>
      </c>
      <c r="R152" s="8">
        <f>VLOOKUP($F152,[1]装箱单!$A:$F,6,0)</f>
        <v>18.3</v>
      </c>
      <c r="S152" s="8">
        <f>VLOOKUP($F152,[1]装箱单!$A:$G,7,0)</f>
        <v>10.7</v>
      </c>
      <c r="T152" s="10">
        <f>VLOOKUP($F152,[1]装箱单!$A:$J,10,0)</f>
        <v>0.006363825</v>
      </c>
      <c r="U152" s="11">
        <f t="shared" si="21"/>
        <v>4.181033025</v>
      </c>
    </row>
    <row r="153" ht="29.1" customHeight="1" spans="1:21">
      <c r="A153" s="40"/>
      <c r="B153" s="41"/>
      <c r="C153" s="42"/>
      <c r="D153" s="43"/>
      <c r="E153" s="44"/>
      <c r="F153" s="44"/>
      <c r="G153" s="44"/>
      <c r="H153" s="44"/>
      <c r="I153" s="45"/>
      <c r="J153" s="45"/>
      <c r="K153" s="45"/>
      <c r="L153" s="46"/>
      <c r="M153" s="43">
        <f>SUM(M141:M152)</f>
        <v>69.9138599052</v>
      </c>
      <c r="N153" s="46"/>
      <c r="O153" s="44"/>
      <c r="P153" s="51"/>
    </row>
    <row r="154" ht="29.1" customHeight="1" spans="1:21">
      <c r="A154" s="40">
        <v>46053</v>
      </c>
      <c r="B154" s="41" t="s">
        <v>235</v>
      </c>
      <c r="C154" s="42" t="s">
        <v>236</v>
      </c>
      <c r="D154" s="43"/>
      <c r="E154" s="44" t="s">
        <v>237</v>
      </c>
      <c r="F154" s="44" t="s">
        <v>238</v>
      </c>
      <c r="G154" s="44" t="s">
        <v>31</v>
      </c>
      <c r="H154" s="44"/>
      <c r="I154" s="45">
        <v>15012</v>
      </c>
      <c r="J154" s="45" t="s">
        <v>32</v>
      </c>
      <c r="K154" s="45" t="s">
        <v>33</v>
      </c>
      <c r="L154" s="46">
        <v>417</v>
      </c>
      <c r="M154" s="43">
        <f>+U154</f>
        <v>4.9528739652</v>
      </c>
      <c r="N154" s="46" t="s">
        <v>34</v>
      </c>
      <c r="O154" s="44"/>
      <c r="P154" s="123" t="s">
        <v>239</v>
      </c>
      <c r="Q154" s="8">
        <f>VLOOKUP($F154,[1]装箱单!$A:$E,5,0)</f>
        <v>31.75</v>
      </c>
      <c r="R154" s="8">
        <f>VLOOKUP($F154,[1]装箱单!$A:$F,6,0)</f>
        <v>18.41</v>
      </c>
      <c r="S154" s="8">
        <f>VLOOKUP($F154,[1]装箱单!$A:$G,7,0)</f>
        <v>20.32</v>
      </c>
      <c r="T154" s="10">
        <f>VLOOKUP($F154,[1]装箱单!$A:$J,10,0)</f>
        <v>0.0118773956</v>
      </c>
      <c r="U154" s="11">
        <f>+T154*L154</f>
        <v>4.9528739652</v>
      </c>
    </row>
    <row r="155" ht="29.1" customHeight="1" spans="1:21">
      <c r="A155" s="40"/>
      <c r="B155" s="41"/>
      <c r="C155" s="42"/>
      <c r="D155" s="43"/>
      <c r="E155" s="44"/>
      <c r="F155" s="44"/>
      <c r="G155" s="44"/>
      <c r="H155" s="44"/>
      <c r="I155" s="45"/>
      <c r="J155" s="45"/>
      <c r="K155" s="45"/>
      <c r="L155" s="46"/>
      <c r="M155" s="43">
        <f>+M154</f>
        <v>4.9528739652</v>
      </c>
      <c r="N155" s="46"/>
      <c r="O155" s="44"/>
      <c r="P155" s="123"/>
    </row>
    <row r="156" ht="29.1" customHeight="1" spans="1:21">
      <c r="A156" s="40">
        <v>46055</v>
      </c>
      <c r="B156" s="41" t="s">
        <v>52</v>
      </c>
      <c r="C156" s="42">
        <v>44352</v>
      </c>
      <c r="D156" s="43"/>
      <c r="E156" s="44"/>
      <c r="F156" s="44">
        <v>320923</v>
      </c>
      <c r="G156" s="44" t="s">
        <v>31</v>
      </c>
      <c r="H156" s="44"/>
      <c r="I156" s="45">
        <f>+L156*2</f>
        <v>1360</v>
      </c>
      <c r="J156" s="45" t="s">
        <v>32</v>
      </c>
      <c r="K156" s="45" t="s">
        <v>33</v>
      </c>
      <c r="L156" s="46">
        <v>680</v>
      </c>
      <c r="M156" s="43">
        <f t="shared" ref="M156:M166" si="22">+U156</f>
        <v>17.9112479672</v>
      </c>
      <c r="N156" s="46" t="s">
        <v>34</v>
      </c>
      <c r="O156" s="44"/>
      <c r="P156" s="123" t="s">
        <v>240</v>
      </c>
      <c r="Q156" s="8">
        <f>VLOOKUP($F156,[1]装箱单!$A:$E,5,0)</f>
        <v>39.94</v>
      </c>
      <c r="R156" s="8">
        <f>VLOOKUP($F156,[1]装箱单!$A:$F,6,0)</f>
        <v>30.1</v>
      </c>
      <c r="S156" s="8">
        <f>VLOOKUP($F156,[1]装箱单!$A:$G,7,0)</f>
        <v>21.91</v>
      </c>
      <c r="T156" s="10">
        <f>VLOOKUP($F156,[1]装箱单!$A:$J,10,0)</f>
        <v>0.02634007054</v>
      </c>
      <c r="U156" s="11">
        <f t="shared" ref="U156:U166" si="23">+T156*L156</f>
        <v>17.9112479672</v>
      </c>
    </row>
    <row r="157" ht="29.1" customHeight="1" spans="1:21">
      <c r="A157" s="40">
        <v>46056</v>
      </c>
      <c r="B157" s="41" t="s">
        <v>52</v>
      </c>
      <c r="C157" s="42">
        <v>44348</v>
      </c>
      <c r="D157" s="43"/>
      <c r="E157" s="44"/>
      <c r="F157" s="44">
        <v>320398</v>
      </c>
      <c r="G157" s="44" t="s">
        <v>31</v>
      </c>
      <c r="H157" s="44"/>
      <c r="I157" s="45">
        <f>+L157*4</f>
        <v>6000</v>
      </c>
      <c r="J157" s="45" t="s">
        <v>47</v>
      </c>
      <c r="K157" s="45" t="s">
        <v>33</v>
      </c>
      <c r="L157" s="46">
        <v>1500</v>
      </c>
      <c r="M157" s="43">
        <f t="shared" si="22"/>
        <v>15.435</v>
      </c>
      <c r="N157" s="46" t="s">
        <v>34</v>
      </c>
      <c r="O157" s="44"/>
      <c r="P157" s="47" t="s">
        <v>241</v>
      </c>
      <c r="Q157" s="8">
        <f>VLOOKUP($F157,[1]装箱单!$A:$E,5,0)</f>
        <v>24.5</v>
      </c>
      <c r="R157" s="8">
        <f>VLOOKUP($F157,[1]装箱单!$A:$F,6,0)</f>
        <v>21</v>
      </c>
      <c r="S157" s="8">
        <f>VLOOKUP($F157,[1]装箱单!$A:$G,7,0)</f>
        <v>20</v>
      </c>
      <c r="T157" s="10">
        <f>VLOOKUP($F157,[1]装箱单!$A:$J,10,0)</f>
        <v>0.01029</v>
      </c>
      <c r="U157" s="11">
        <f t="shared" si="23"/>
        <v>15.435</v>
      </c>
    </row>
    <row r="158" ht="29.1" customHeight="1" spans="1:21">
      <c r="A158" s="40">
        <v>46056</v>
      </c>
      <c r="B158" s="41" t="s">
        <v>52</v>
      </c>
      <c r="C158" s="42">
        <v>44348</v>
      </c>
      <c r="D158" s="43"/>
      <c r="E158" s="44"/>
      <c r="F158" s="44">
        <v>320399</v>
      </c>
      <c r="G158" s="44" t="s">
        <v>31</v>
      </c>
      <c r="H158" s="44"/>
      <c r="I158" s="45">
        <f>+L158*4</f>
        <v>6000</v>
      </c>
      <c r="J158" s="45" t="s">
        <v>47</v>
      </c>
      <c r="K158" s="45" t="s">
        <v>33</v>
      </c>
      <c r="L158" s="46">
        <v>1500</v>
      </c>
      <c r="M158" s="43">
        <f t="shared" si="22"/>
        <v>15.435</v>
      </c>
      <c r="N158" s="46" t="s">
        <v>34</v>
      </c>
      <c r="O158" s="44"/>
      <c r="P158" s="48"/>
      <c r="Q158" s="8">
        <f>VLOOKUP($F158,[1]装箱单!$A:$E,5,0)</f>
        <v>24.5</v>
      </c>
      <c r="R158" s="8">
        <f>VLOOKUP($F158,[1]装箱单!$A:$F,6,0)</f>
        <v>21</v>
      </c>
      <c r="S158" s="8">
        <f>VLOOKUP($F158,[1]装箱单!$A:$G,7,0)</f>
        <v>20</v>
      </c>
      <c r="T158" s="10">
        <f>VLOOKUP($F158,[1]装箱单!$A:$J,10,0)</f>
        <v>0.01029</v>
      </c>
      <c r="U158" s="11">
        <f t="shared" si="23"/>
        <v>15.435</v>
      </c>
    </row>
    <row r="159" ht="29.1" customHeight="1" spans="1:21">
      <c r="A159" s="40">
        <v>46056</v>
      </c>
      <c r="B159" s="41" t="s">
        <v>52</v>
      </c>
      <c r="C159" s="42">
        <v>44352</v>
      </c>
      <c r="D159" s="43"/>
      <c r="E159" s="44"/>
      <c r="F159" s="44">
        <v>320401</v>
      </c>
      <c r="G159" s="44" t="s">
        <v>31</v>
      </c>
      <c r="H159" s="44"/>
      <c r="I159" s="45">
        <f>+L159*4</f>
        <v>6000</v>
      </c>
      <c r="J159" s="45" t="s">
        <v>47</v>
      </c>
      <c r="K159" s="45" t="s">
        <v>33</v>
      </c>
      <c r="L159" s="46">
        <v>1500</v>
      </c>
      <c r="M159" s="43">
        <f t="shared" si="22"/>
        <v>15.435</v>
      </c>
      <c r="N159" s="46" t="s">
        <v>34</v>
      </c>
      <c r="O159" s="44"/>
      <c r="P159" s="48"/>
      <c r="Q159" s="8">
        <f>VLOOKUP($F159,[1]装箱单!$A:$E,5,0)</f>
        <v>24.5</v>
      </c>
      <c r="R159" s="8">
        <f>VLOOKUP($F159,[1]装箱单!$A:$F,6,0)</f>
        <v>21</v>
      </c>
      <c r="S159" s="8">
        <f>VLOOKUP($F159,[1]装箱单!$A:$G,7,0)</f>
        <v>20</v>
      </c>
      <c r="T159" s="10">
        <f>VLOOKUP($F159,[1]装箱单!$A:$J,10,0)</f>
        <v>0.01029</v>
      </c>
      <c r="U159" s="11">
        <f t="shared" si="23"/>
        <v>15.435</v>
      </c>
    </row>
    <row r="160" ht="29.1" customHeight="1" spans="1:21">
      <c r="A160" s="40">
        <v>46056</v>
      </c>
      <c r="B160" s="41" t="s">
        <v>242</v>
      </c>
      <c r="C160" s="42">
        <v>1002027</v>
      </c>
      <c r="D160" s="43"/>
      <c r="E160" s="44" t="s">
        <v>243</v>
      </c>
      <c r="F160" s="44">
        <v>320639</v>
      </c>
      <c r="G160" s="44" t="s">
        <v>31</v>
      </c>
      <c r="H160" s="44"/>
      <c r="I160" s="45">
        <f>+L160*2</f>
        <v>1000</v>
      </c>
      <c r="J160" s="45" t="s">
        <v>32</v>
      </c>
      <c r="K160" s="45" t="s">
        <v>33</v>
      </c>
      <c r="L160" s="46">
        <v>500</v>
      </c>
      <c r="M160" s="43">
        <f t="shared" si="22"/>
        <v>8.176434</v>
      </c>
      <c r="N160" s="46" t="s">
        <v>34</v>
      </c>
      <c r="O160" s="44"/>
      <c r="P160" s="48"/>
      <c r="Q160" s="8">
        <f>VLOOKUP($F160,[1]装箱单!$A:$E,5,0)</f>
        <v>29.4</v>
      </c>
      <c r="R160" s="8">
        <f>VLOOKUP($F160,[1]装箱单!$A:$F,6,0)</f>
        <v>27.4</v>
      </c>
      <c r="S160" s="8">
        <f>VLOOKUP($F160,[1]装箱单!$A:$G,7,0)</f>
        <v>20.3</v>
      </c>
      <c r="T160" s="10">
        <f>VLOOKUP($F160,[1]装箱单!$A:$J,10,0)</f>
        <v>0.016352868</v>
      </c>
      <c r="U160" s="11">
        <f t="shared" si="23"/>
        <v>8.176434</v>
      </c>
    </row>
    <row r="161" ht="29.1" customHeight="1" spans="1:21">
      <c r="A161" s="40">
        <v>46056</v>
      </c>
      <c r="B161" s="41" t="s">
        <v>244</v>
      </c>
      <c r="C161" s="42" t="s">
        <v>245</v>
      </c>
      <c r="D161" s="43"/>
      <c r="E161" s="44">
        <v>20218824</v>
      </c>
      <c r="F161" s="44">
        <v>470764</v>
      </c>
      <c r="G161" s="44" t="s">
        <v>31</v>
      </c>
      <c r="H161" s="44"/>
      <c r="I161" s="45">
        <f>+L161</f>
        <v>1000</v>
      </c>
      <c r="J161" s="45" t="s">
        <v>32</v>
      </c>
      <c r="K161" s="45" t="s">
        <v>33</v>
      </c>
      <c r="L161" s="46">
        <v>1000</v>
      </c>
      <c r="M161" s="43">
        <f t="shared" si="22"/>
        <v>26.796</v>
      </c>
      <c r="N161" s="46" t="s">
        <v>34</v>
      </c>
      <c r="O161" s="44"/>
      <c r="P161" s="48"/>
      <c r="Q161" s="8">
        <f>VLOOKUP($F161,[1]装箱单!$A:$E,5,0)</f>
        <v>42</v>
      </c>
      <c r="R161" s="8">
        <f>VLOOKUP($F161,[1]装箱单!$A:$F,6,0)</f>
        <v>22</v>
      </c>
      <c r="S161" s="8">
        <f>VLOOKUP($F161,[1]装箱单!$A:$G,7,0)</f>
        <v>29</v>
      </c>
      <c r="T161" s="10">
        <f>VLOOKUP($F161,[1]装箱单!$A:$J,10,0)</f>
        <v>0.026796</v>
      </c>
      <c r="U161" s="11">
        <f t="shared" si="23"/>
        <v>26.796</v>
      </c>
    </row>
    <row r="162" ht="29.1" customHeight="1" spans="1:21">
      <c r="A162" s="40">
        <v>46056</v>
      </c>
      <c r="B162" s="41" t="s">
        <v>52</v>
      </c>
      <c r="C162" s="42">
        <v>44352</v>
      </c>
      <c r="D162" s="43"/>
      <c r="E162" s="44"/>
      <c r="F162" s="44">
        <v>320923</v>
      </c>
      <c r="G162" s="44" t="s">
        <v>31</v>
      </c>
      <c r="H162" s="44"/>
      <c r="I162" s="45">
        <f>+L162*2</f>
        <v>1640</v>
      </c>
      <c r="J162" s="45" t="s">
        <v>32</v>
      </c>
      <c r="K162" s="45" t="s">
        <v>33</v>
      </c>
      <c r="L162" s="46">
        <f>1500-680</f>
        <v>820</v>
      </c>
      <c r="M162" s="43">
        <f t="shared" si="22"/>
        <v>21.5988578428</v>
      </c>
      <c r="N162" s="46" t="s">
        <v>34</v>
      </c>
      <c r="O162" s="44"/>
      <c r="P162" s="48"/>
      <c r="Q162" s="8">
        <f>VLOOKUP($F162,[1]装箱单!$A:$E,5,0)</f>
        <v>39.94</v>
      </c>
      <c r="R162" s="8">
        <f>VLOOKUP($F162,[1]装箱单!$A:$F,6,0)</f>
        <v>30.1</v>
      </c>
      <c r="S162" s="8">
        <f>VLOOKUP($F162,[1]装箱单!$A:$G,7,0)</f>
        <v>21.91</v>
      </c>
      <c r="T162" s="10">
        <f>VLOOKUP($F162,[1]装箱单!$A:$J,10,0)</f>
        <v>0.02634007054</v>
      </c>
      <c r="U162" s="11">
        <f t="shared" si="23"/>
        <v>21.5988578428</v>
      </c>
    </row>
    <row r="163" ht="29.1" customHeight="1" spans="1:21">
      <c r="A163" s="40">
        <v>46056</v>
      </c>
      <c r="B163" s="41" t="s">
        <v>54</v>
      </c>
      <c r="C163" s="42">
        <v>1002044</v>
      </c>
      <c r="D163" s="43"/>
      <c r="E163" s="139" t="s">
        <v>246</v>
      </c>
      <c r="F163" s="44">
        <v>470191</v>
      </c>
      <c r="G163" s="44" t="s">
        <v>31</v>
      </c>
      <c r="H163" s="44"/>
      <c r="I163" s="45">
        <f>+L163</f>
        <v>334</v>
      </c>
      <c r="J163" s="45" t="s">
        <v>32</v>
      </c>
      <c r="K163" s="45" t="s">
        <v>33</v>
      </c>
      <c r="L163" s="46">
        <v>334</v>
      </c>
      <c r="M163" s="43">
        <f t="shared" si="22"/>
        <v>20.96685</v>
      </c>
      <c r="N163" s="46" t="s">
        <v>34</v>
      </c>
      <c r="O163" s="44"/>
      <c r="P163" s="48"/>
      <c r="Q163" s="8">
        <f>VLOOKUP($F163,[1]装箱单!$A:$E,5,0)</f>
        <v>62</v>
      </c>
      <c r="R163" s="8">
        <f>VLOOKUP($F163,[1]装箱单!$A:$F,6,0)</f>
        <v>25</v>
      </c>
      <c r="S163" s="8">
        <f>VLOOKUP($F163,[1]装箱单!$A:$G,7,0)</f>
        <v>40.5</v>
      </c>
      <c r="T163" s="10">
        <f>VLOOKUP($F163,[1]装箱单!$A:$J,10,0)</f>
        <v>0.062775</v>
      </c>
      <c r="U163" s="11">
        <f t="shared" si="23"/>
        <v>20.96685</v>
      </c>
    </row>
    <row r="164" ht="29.1" customHeight="1" spans="1:21">
      <c r="A164" s="40">
        <v>46056</v>
      </c>
      <c r="B164" s="41" t="s">
        <v>247</v>
      </c>
      <c r="C164" s="42" t="s">
        <v>248</v>
      </c>
      <c r="D164" s="43"/>
      <c r="E164" s="44">
        <v>6994526</v>
      </c>
      <c r="F164" s="44" t="s">
        <v>120</v>
      </c>
      <c r="G164" s="44" t="s">
        <v>31</v>
      </c>
      <c r="H164" s="44"/>
      <c r="I164" s="45">
        <f>+L164*36</f>
        <v>1800</v>
      </c>
      <c r="J164" s="45" t="s">
        <v>32</v>
      </c>
      <c r="K164" s="45" t="s">
        <v>33</v>
      </c>
      <c r="L164" s="46">
        <v>50</v>
      </c>
      <c r="M164" s="43">
        <f t="shared" si="22"/>
        <v>0.617016673</v>
      </c>
      <c r="N164" s="46" t="s">
        <v>34</v>
      </c>
      <c r="O164" s="44" t="s">
        <v>62</v>
      </c>
      <c r="P164" s="48"/>
      <c r="Q164" s="8">
        <f>VLOOKUP($F164,[1]装箱单!$A:$E,5,0)</f>
        <v>33.02</v>
      </c>
      <c r="R164" s="8">
        <f>VLOOKUP($F164,[1]装箱单!$A:$F,6,0)</f>
        <v>18.41</v>
      </c>
      <c r="S164" s="8">
        <f>VLOOKUP($F164,[1]装箱单!$A:$G,7,0)</f>
        <v>20.3</v>
      </c>
      <c r="T164" s="10">
        <f>VLOOKUP($F164,[1]装箱单!$A:$J,10,0)</f>
        <v>0.01234033346</v>
      </c>
      <c r="U164" s="11">
        <f t="shared" si="23"/>
        <v>0.617016673</v>
      </c>
    </row>
    <row r="165" ht="29.1" customHeight="1" spans="1:21">
      <c r="A165" s="40">
        <v>46056</v>
      </c>
      <c r="B165" s="41" t="s">
        <v>249</v>
      </c>
      <c r="C165" s="42" t="s">
        <v>250</v>
      </c>
      <c r="D165" s="43"/>
      <c r="E165" s="44">
        <v>6994527</v>
      </c>
      <c r="F165" s="44" t="s">
        <v>120</v>
      </c>
      <c r="G165" s="44" t="s">
        <v>31</v>
      </c>
      <c r="H165" s="44"/>
      <c r="I165" s="45">
        <f>+L165*36</f>
        <v>1440</v>
      </c>
      <c r="J165" s="45" t="s">
        <v>32</v>
      </c>
      <c r="K165" s="45" t="s">
        <v>33</v>
      </c>
      <c r="L165" s="46">
        <v>40</v>
      </c>
      <c r="M165" s="43">
        <f t="shared" si="22"/>
        <v>0.4936133384</v>
      </c>
      <c r="N165" s="46" t="s">
        <v>34</v>
      </c>
      <c r="O165" s="44" t="s">
        <v>62</v>
      </c>
      <c r="P165" s="48"/>
      <c r="Q165" s="8">
        <f>VLOOKUP($F165,[1]装箱单!$A:$E,5,0)</f>
        <v>33.02</v>
      </c>
      <c r="R165" s="8">
        <f>VLOOKUP($F165,[1]装箱单!$A:$F,6,0)</f>
        <v>18.41</v>
      </c>
      <c r="S165" s="8">
        <f>VLOOKUP($F165,[1]装箱单!$A:$G,7,0)</f>
        <v>20.3</v>
      </c>
      <c r="T165" s="10">
        <f>VLOOKUP($F165,[1]装箱单!$A:$J,10,0)</f>
        <v>0.01234033346</v>
      </c>
      <c r="U165" s="11">
        <f t="shared" si="23"/>
        <v>0.4936133384</v>
      </c>
    </row>
    <row r="166" ht="29.1" customHeight="1" spans="1:21">
      <c r="A166" s="40">
        <v>46056</v>
      </c>
      <c r="B166" s="41" t="s">
        <v>251</v>
      </c>
      <c r="C166" s="42" t="s">
        <v>252</v>
      </c>
      <c r="D166" s="43"/>
      <c r="E166" s="44">
        <v>6994525</v>
      </c>
      <c r="F166" s="44" t="s">
        <v>120</v>
      </c>
      <c r="G166" s="44" t="s">
        <v>31</v>
      </c>
      <c r="H166" s="44"/>
      <c r="I166" s="45">
        <f>+L166*36</f>
        <v>360</v>
      </c>
      <c r="J166" s="45" t="s">
        <v>32</v>
      </c>
      <c r="K166" s="45" t="s">
        <v>33</v>
      </c>
      <c r="L166" s="46">
        <v>10</v>
      </c>
      <c r="M166" s="43">
        <f t="shared" si="22"/>
        <v>0.1234033346</v>
      </c>
      <c r="N166" s="46" t="s">
        <v>34</v>
      </c>
      <c r="O166" s="44" t="s">
        <v>62</v>
      </c>
      <c r="P166" s="48"/>
      <c r="Q166" s="8">
        <f>VLOOKUP($F166,[1]装箱单!$A:$E,5,0)</f>
        <v>33.02</v>
      </c>
      <c r="R166" s="8">
        <f>VLOOKUP($F166,[1]装箱单!$A:$F,6,0)</f>
        <v>18.41</v>
      </c>
      <c r="S166" s="8">
        <f>VLOOKUP($F166,[1]装箱单!$A:$G,7,0)</f>
        <v>20.3</v>
      </c>
      <c r="T166" s="10">
        <f>VLOOKUP($F166,[1]装箱单!$A:$J,10,0)</f>
        <v>0.01234033346</v>
      </c>
      <c r="U166" s="11">
        <f t="shared" si="23"/>
        <v>0.1234033346</v>
      </c>
    </row>
    <row r="167" ht="29.1" customHeight="1" spans="1:21">
      <c r="A167" s="40">
        <v>46056</v>
      </c>
      <c r="B167" s="41" t="s">
        <v>253</v>
      </c>
      <c r="C167" s="42" t="s">
        <v>254</v>
      </c>
      <c r="D167" s="43"/>
      <c r="E167" s="44">
        <v>6994528</v>
      </c>
      <c r="F167" s="44" t="s">
        <v>255</v>
      </c>
      <c r="G167" s="44" t="s">
        <v>31</v>
      </c>
      <c r="H167" s="44"/>
      <c r="I167" s="45">
        <f>+L167*48</f>
        <v>144</v>
      </c>
      <c r="J167" s="45" t="s">
        <v>32</v>
      </c>
      <c r="K167" s="45" t="s">
        <v>33</v>
      </c>
      <c r="L167" s="46">
        <v>3</v>
      </c>
      <c r="M167" s="43">
        <v>0</v>
      </c>
      <c r="N167" s="46" t="s">
        <v>34</v>
      </c>
      <c r="O167" s="44" t="s">
        <v>62</v>
      </c>
      <c r="P167" s="48"/>
    </row>
    <row r="168" ht="29.1" customHeight="1" spans="1:21">
      <c r="A168" s="40">
        <v>46056</v>
      </c>
      <c r="B168" s="41" t="s">
        <v>251</v>
      </c>
      <c r="C168" s="42" t="s">
        <v>256</v>
      </c>
      <c r="D168" s="43"/>
      <c r="E168" s="44">
        <v>6994524</v>
      </c>
      <c r="F168" s="44" t="s">
        <v>255</v>
      </c>
      <c r="G168" s="44" t="s">
        <v>31</v>
      </c>
      <c r="H168" s="44"/>
      <c r="I168" s="45">
        <f>+L168*48</f>
        <v>288</v>
      </c>
      <c r="J168" s="45" t="s">
        <v>32</v>
      </c>
      <c r="K168" s="45" t="s">
        <v>33</v>
      </c>
      <c r="L168" s="46">
        <v>6</v>
      </c>
      <c r="M168" s="43">
        <v>1</v>
      </c>
      <c r="N168" s="46" t="s">
        <v>34</v>
      </c>
      <c r="O168" s="44" t="s">
        <v>62</v>
      </c>
      <c r="P168" s="48"/>
    </row>
    <row r="169" ht="29.1" customHeight="1" spans="1:21">
      <c r="A169" s="40">
        <v>46056</v>
      </c>
      <c r="B169" s="41" t="s">
        <v>257</v>
      </c>
      <c r="C169" s="42" t="s">
        <v>258</v>
      </c>
      <c r="D169" s="43"/>
      <c r="E169" s="44">
        <v>6977712</v>
      </c>
      <c r="F169" s="44" t="s">
        <v>122</v>
      </c>
      <c r="G169" s="44" t="s">
        <v>31</v>
      </c>
      <c r="H169" s="44"/>
      <c r="I169" s="45">
        <f>+L169*36</f>
        <v>1800</v>
      </c>
      <c r="J169" s="45" t="s">
        <v>32</v>
      </c>
      <c r="K169" s="45" t="s">
        <v>33</v>
      </c>
      <c r="L169" s="46">
        <v>50</v>
      </c>
      <c r="M169" s="43">
        <f>+U169</f>
        <v>0.59386978</v>
      </c>
      <c r="N169" s="46" t="s">
        <v>34</v>
      </c>
      <c r="O169" s="44" t="s">
        <v>62</v>
      </c>
      <c r="P169" s="48"/>
      <c r="Q169" s="8">
        <f>VLOOKUP($F169,[1]装箱单!$A:$E,5,0)</f>
        <v>31.75</v>
      </c>
      <c r="R169" s="8">
        <f>VLOOKUP($F169,[1]装箱单!$A:$F,6,0)</f>
        <v>18.41</v>
      </c>
      <c r="S169" s="8">
        <f>VLOOKUP($F169,[1]装箱单!$A:$G,7,0)</f>
        <v>20.32</v>
      </c>
      <c r="T169" s="10">
        <f>VLOOKUP($F169,[1]装箱单!$A:$J,10,0)</f>
        <v>0.0118773956</v>
      </c>
      <c r="U169" s="11">
        <f>+T169*L169</f>
        <v>0.59386978</v>
      </c>
    </row>
    <row r="170" ht="29.1" customHeight="1" spans="1:21">
      <c r="A170" s="40">
        <v>46056</v>
      </c>
      <c r="B170" s="41" t="s">
        <v>249</v>
      </c>
      <c r="C170" s="42" t="s">
        <v>259</v>
      </c>
      <c r="D170" s="43"/>
      <c r="E170" s="44">
        <v>6977710</v>
      </c>
      <c r="F170" s="44" t="s">
        <v>122</v>
      </c>
      <c r="G170" s="44" t="s">
        <v>31</v>
      </c>
      <c r="H170" s="44"/>
      <c r="I170" s="45">
        <f>+L170*36</f>
        <v>1440</v>
      </c>
      <c r="J170" s="45" t="s">
        <v>32</v>
      </c>
      <c r="K170" s="45" t="s">
        <v>33</v>
      </c>
      <c r="L170" s="46">
        <v>40</v>
      </c>
      <c r="M170" s="43">
        <f>+U170</f>
        <v>0.475095824</v>
      </c>
      <c r="N170" s="46" t="s">
        <v>34</v>
      </c>
      <c r="O170" s="44" t="s">
        <v>62</v>
      </c>
      <c r="P170" s="48"/>
      <c r="Q170" s="8">
        <f>VLOOKUP($F170,[1]装箱单!$A:$E,5,0)</f>
        <v>31.75</v>
      </c>
      <c r="R170" s="8">
        <f>VLOOKUP($F170,[1]装箱单!$A:$F,6,0)</f>
        <v>18.41</v>
      </c>
      <c r="S170" s="8">
        <f>VLOOKUP($F170,[1]装箱单!$A:$G,7,0)</f>
        <v>20.32</v>
      </c>
      <c r="T170" s="10">
        <f>VLOOKUP($F170,[1]装箱单!$A:$J,10,0)</f>
        <v>0.0118773956</v>
      </c>
      <c r="U170" s="11">
        <f>+T170*L170</f>
        <v>0.475095824</v>
      </c>
    </row>
    <row r="171" ht="29.1" customHeight="1" spans="1:21">
      <c r="A171" s="40">
        <v>46056</v>
      </c>
      <c r="B171" s="41" t="s">
        <v>251</v>
      </c>
      <c r="C171" s="42" t="s">
        <v>260</v>
      </c>
      <c r="D171" s="43"/>
      <c r="E171" s="44">
        <v>6977708</v>
      </c>
      <c r="F171" s="44" t="s">
        <v>122</v>
      </c>
      <c r="G171" s="44" t="s">
        <v>31</v>
      </c>
      <c r="H171" s="44"/>
      <c r="I171" s="45">
        <f>+L171*36</f>
        <v>360</v>
      </c>
      <c r="J171" s="45" t="s">
        <v>32</v>
      </c>
      <c r="K171" s="45" t="s">
        <v>33</v>
      </c>
      <c r="L171" s="46">
        <v>10</v>
      </c>
      <c r="M171" s="43">
        <f>+U171</f>
        <v>0.118773956</v>
      </c>
      <c r="N171" s="46" t="s">
        <v>34</v>
      </c>
      <c r="O171" s="44" t="s">
        <v>62</v>
      </c>
      <c r="P171" s="48"/>
      <c r="Q171" s="8">
        <f>VLOOKUP($F171,[1]装箱单!$A:$E,5,0)</f>
        <v>31.75</v>
      </c>
      <c r="R171" s="8">
        <f>VLOOKUP($F171,[1]装箱单!$A:$F,6,0)</f>
        <v>18.41</v>
      </c>
      <c r="S171" s="8">
        <f>VLOOKUP($F171,[1]装箱单!$A:$G,7,0)</f>
        <v>20.32</v>
      </c>
      <c r="T171" s="10">
        <f>VLOOKUP($F171,[1]装箱单!$A:$J,10,0)</f>
        <v>0.0118773956</v>
      </c>
      <c r="U171" s="11">
        <f>+T171*L171</f>
        <v>0.118773956</v>
      </c>
    </row>
    <row r="172" ht="29.1" customHeight="1" spans="1:21">
      <c r="A172" s="40">
        <v>46056</v>
      </c>
      <c r="B172" s="41" t="s">
        <v>261</v>
      </c>
      <c r="C172" s="42" t="s">
        <v>262</v>
      </c>
      <c r="D172" s="43"/>
      <c r="E172" s="44">
        <v>6977727</v>
      </c>
      <c r="F172" s="44" t="s">
        <v>263</v>
      </c>
      <c r="G172" s="44" t="s">
        <v>31</v>
      </c>
      <c r="H172" s="44"/>
      <c r="I172" s="45">
        <f>+L172*48</f>
        <v>144</v>
      </c>
      <c r="J172" s="45" t="s">
        <v>32</v>
      </c>
      <c r="K172" s="45" t="s">
        <v>33</v>
      </c>
      <c r="L172" s="46">
        <v>3</v>
      </c>
      <c r="M172" s="43">
        <v>0</v>
      </c>
      <c r="N172" s="46" t="s">
        <v>34</v>
      </c>
      <c r="O172" s="44" t="s">
        <v>62</v>
      </c>
      <c r="P172" s="48"/>
    </row>
    <row r="173" ht="29.1" customHeight="1" spans="1:21">
      <c r="A173" s="40">
        <v>46056</v>
      </c>
      <c r="B173" s="41" t="s">
        <v>264</v>
      </c>
      <c r="C173" s="42" t="s">
        <v>265</v>
      </c>
      <c r="D173" s="43"/>
      <c r="E173" s="44">
        <v>6977726</v>
      </c>
      <c r="F173" s="44" t="s">
        <v>263</v>
      </c>
      <c r="G173" s="44" t="s">
        <v>31</v>
      </c>
      <c r="H173" s="44"/>
      <c r="I173" s="45">
        <f>+L173*48</f>
        <v>288</v>
      </c>
      <c r="J173" s="45" t="s">
        <v>32</v>
      </c>
      <c r="K173" s="45" t="s">
        <v>33</v>
      </c>
      <c r="L173" s="46">
        <v>6</v>
      </c>
      <c r="M173" s="43">
        <v>1</v>
      </c>
      <c r="N173" s="46" t="s">
        <v>34</v>
      </c>
      <c r="O173" s="44" t="s">
        <v>62</v>
      </c>
      <c r="P173" s="48"/>
    </row>
    <row r="174" ht="29.1" customHeight="1" spans="1:21">
      <c r="A174" s="40">
        <v>46056</v>
      </c>
      <c r="B174" s="41" t="s">
        <v>40</v>
      </c>
      <c r="C174" s="42" t="s">
        <v>266</v>
      </c>
      <c r="D174" s="43"/>
      <c r="E174" s="139" t="s">
        <v>267</v>
      </c>
      <c r="F174" s="44">
        <v>28483</v>
      </c>
      <c r="G174" s="44" t="s">
        <v>31</v>
      </c>
      <c r="H174" s="44"/>
      <c r="I174" s="45">
        <f>+L174*48</f>
        <v>69120</v>
      </c>
      <c r="J174" s="45" t="s">
        <v>32</v>
      </c>
      <c r="K174" s="45" t="s">
        <v>33</v>
      </c>
      <c r="L174" s="46">
        <v>1440</v>
      </c>
      <c r="M174" s="43">
        <f>+U174</f>
        <v>8.3126736</v>
      </c>
      <c r="N174" s="46" t="s">
        <v>34</v>
      </c>
      <c r="O174" s="44"/>
      <c r="P174" s="48"/>
      <c r="Q174" s="8">
        <f>VLOOKUP($F174,[1]装箱单!$A:$E,5,0)</f>
        <v>16.83</v>
      </c>
      <c r="R174" s="8">
        <f>VLOOKUP($F174,[1]装箱单!$A:$F,6,0)</f>
        <v>17.15</v>
      </c>
      <c r="S174" s="8">
        <f>VLOOKUP($F174,[1]装箱单!$A:$G,7,0)</f>
        <v>20</v>
      </c>
      <c r="T174" s="10">
        <f>VLOOKUP($F174,[1]装箱单!$A:$J,10,0)</f>
        <v>0.00577269</v>
      </c>
      <c r="U174" s="11">
        <f>+T174*L174</f>
        <v>8.3126736</v>
      </c>
    </row>
    <row r="175" ht="29.1" customHeight="1" spans="1:21">
      <c r="A175" s="40">
        <v>46056</v>
      </c>
      <c r="B175" s="41" t="s">
        <v>54</v>
      </c>
      <c r="C175" s="42">
        <v>1002044</v>
      </c>
      <c r="D175" s="43"/>
      <c r="E175" s="139" t="s">
        <v>268</v>
      </c>
      <c r="F175" s="44">
        <v>470191</v>
      </c>
      <c r="G175" s="44" t="s">
        <v>31</v>
      </c>
      <c r="H175" s="44"/>
      <c r="I175" s="45">
        <f>+L175</f>
        <v>219</v>
      </c>
      <c r="J175" s="45" t="s">
        <v>32</v>
      </c>
      <c r="K175" s="45" t="s">
        <v>33</v>
      </c>
      <c r="L175" s="46">
        <v>219</v>
      </c>
      <c r="M175" s="43">
        <f>+U175</f>
        <v>13.747725</v>
      </c>
      <c r="N175" s="46" t="s">
        <v>34</v>
      </c>
      <c r="O175" s="44"/>
      <c r="P175" s="48"/>
      <c r="Q175" s="8">
        <f>VLOOKUP($F175,[1]装箱单!$A:$E,5,0)</f>
        <v>62</v>
      </c>
      <c r="R175" s="8">
        <f>VLOOKUP($F175,[1]装箱单!$A:$F,6,0)</f>
        <v>25</v>
      </c>
      <c r="S175" s="8">
        <f>VLOOKUP($F175,[1]装箱单!$A:$G,7,0)</f>
        <v>40.5</v>
      </c>
      <c r="T175" s="10">
        <f>VLOOKUP($F175,[1]装箱单!$A:$J,10,0)</f>
        <v>0.062775</v>
      </c>
      <c r="U175" s="11">
        <f>+T175*L175</f>
        <v>13.747725</v>
      </c>
    </row>
    <row r="176" ht="29.1" customHeight="1" spans="1:21">
      <c r="A176" s="40">
        <v>46056</v>
      </c>
      <c r="B176" s="41"/>
      <c r="C176" s="42"/>
      <c r="D176" s="43"/>
      <c r="E176" s="44"/>
      <c r="F176" s="44" t="s">
        <v>269</v>
      </c>
      <c r="G176" s="44" t="s">
        <v>269</v>
      </c>
      <c r="H176" s="44"/>
      <c r="I176" s="45">
        <v>1</v>
      </c>
      <c r="J176" s="45" t="s">
        <v>270</v>
      </c>
      <c r="K176" s="45" t="s">
        <v>218</v>
      </c>
      <c r="L176" s="46">
        <v>1</v>
      </c>
      <c r="M176" s="43">
        <v>0</v>
      </c>
      <c r="N176" s="46"/>
      <c r="O176" s="44"/>
      <c r="P176" s="48"/>
    </row>
    <row r="177" ht="29.1" customHeight="1" spans="1:21">
      <c r="A177" s="40"/>
      <c r="B177" s="41"/>
      <c r="C177" s="42"/>
      <c r="D177" s="43"/>
      <c r="E177" s="44"/>
      <c r="F177" s="44"/>
      <c r="G177" s="44"/>
      <c r="H177" s="44"/>
      <c r="I177" s="45"/>
      <c r="J177" s="45"/>
      <c r="K177" s="45"/>
      <c r="L177" s="46"/>
      <c r="M177" s="43">
        <f>SUM(M156:M176)</f>
        <v>168.236561316</v>
      </c>
      <c r="N177" s="46"/>
      <c r="O177" s="44"/>
      <c r="P177" s="51"/>
    </row>
    <row r="178" ht="29.1" customHeight="1" spans="1:21">
      <c r="A178" s="40">
        <v>46057</v>
      </c>
      <c r="B178" s="41" t="s">
        <v>54</v>
      </c>
      <c r="C178" s="42">
        <v>1002044</v>
      </c>
      <c r="D178" s="43"/>
      <c r="E178" s="44">
        <v>963279604</v>
      </c>
      <c r="F178" s="44">
        <v>470191</v>
      </c>
      <c r="G178" s="44" t="s">
        <v>31</v>
      </c>
      <c r="H178" s="44"/>
      <c r="I178" s="45">
        <f>+L178</f>
        <v>405</v>
      </c>
      <c r="J178" s="45" t="s">
        <v>32</v>
      </c>
      <c r="K178" s="45" t="s">
        <v>33</v>
      </c>
      <c r="L178" s="46">
        <v>405</v>
      </c>
      <c r="M178" s="43">
        <f t="shared" ref="M178:M188" si="24">+U178</f>
        <v>25.423875</v>
      </c>
      <c r="N178" s="46" t="s">
        <v>34</v>
      </c>
      <c r="O178" s="44"/>
      <c r="P178" s="47" t="s">
        <v>271</v>
      </c>
      <c r="Q178" s="8">
        <f>VLOOKUP($F178,[1]装箱单!$A:$E,5,0)</f>
        <v>62</v>
      </c>
      <c r="R178" s="8">
        <f>VLOOKUP($F178,[1]装箱单!$A:$F,6,0)</f>
        <v>25</v>
      </c>
      <c r="S178" s="8">
        <f>VLOOKUP($F178,[1]装箱单!$A:$G,7,0)</f>
        <v>40.5</v>
      </c>
      <c r="T178" s="10">
        <f>VLOOKUP($F178,[1]装箱单!$A:$J,10,0)</f>
        <v>0.062775</v>
      </c>
      <c r="U178" s="11">
        <f t="shared" ref="U178:U188" si="25">+T178*L178</f>
        <v>25.423875</v>
      </c>
    </row>
    <row r="179" ht="29.1" customHeight="1" spans="1:21">
      <c r="A179" s="40">
        <v>46057</v>
      </c>
      <c r="B179" s="41" t="s">
        <v>54</v>
      </c>
      <c r="C179" s="42">
        <v>1002044</v>
      </c>
      <c r="D179" s="43"/>
      <c r="E179" s="139" t="s">
        <v>268</v>
      </c>
      <c r="F179" s="44">
        <v>470191</v>
      </c>
      <c r="G179" s="44" t="s">
        <v>31</v>
      </c>
      <c r="H179" s="44"/>
      <c r="I179" s="45">
        <f>+L179</f>
        <v>228</v>
      </c>
      <c r="J179" s="45" t="s">
        <v>32</v>
      </c>
      <c r="K179" s="45" t="s">
        <v>33</v>
      </c>
      <c r="L179" s="46">
        <v>228</v>
      </c>
      <c r="M179" s="43">
        <f t="shared" si="24"/>
        <v>14.3127</v>
      </c>
      <c r="N179" s="46" t="s">
        <v>34</v>
      </c>
      <c r="O179" s="44"/>
      <c r="P179" s="48"/>
      <c r="Q179" s="8">
        <f>VLOOKUP($F179,[1]装箱单!$A:$E,5,0)</f>
        <v>62</v>
      </c>
      <c r="R179" s="8">
        <f>VLOOKUP($F179,[1]装箱单!$A:$F,6,0)</f>
        <v>25</v>
      </c>
      <c r="S179" s="8">
        <f>VLOOKUP($F179,[1]装箱单!$A:$G,7,0)</f>
        <v>40.5</v>
      </c>
      <c r="T179" s="10">
        <f>VLOOKUP($F179,[1]装箱单!$A:$J,10,0)</f>
        <v>0.062775</v>
      </c>
      <c r="U179" s="11">
        <f t="shared" si="25"/>
        <v>14.3127</v>
      </c>
    </row>
    <row r="180" ht="29.1" customHeight="1" spans="1:21">
      <c r="A180" s="40">
        <v>46058</v>
      </c>
      <c r="B180" s="41" t="s">
        <v>40</v>
      </c>
      <c r="C180" s="42" t="s">
        <v>272</v>
      </c>
      <c r="D180" s="43"/>
      <c r="E180" s="44">
        <v>954188468</v>
      </c>
      <c r="F180" s="44">
        <v>28483</v>
      </c>
      <c r="G180" s="44" t="s">
        <v>31</v>
      </c>
      <c r="H180" s="44"/>
      <c r="I180" s="45">
        <f>+L180</f>
        <v>2520</v>
      </c>
      <c r="J180" s="45" t="s">
        <v>32</v>
      </c>
      <c r="K180" s="45" t="s">
        <v>33</v>
      </c>
      <c r="L180" s="46">
        <v>2520</v>
      </c>
      <c r="M180" s="43">
        <f t="shared" si="24"/>
        <v>14.5471788</v>
      </c>
      <c r="N180" s="46" t="s">
        <v>34</v>
      </c>
      <c r="O180" s="44"/>
      <c r="P180" s="48"/>
      <c r="Q180" s="8">
        <f>VLOOKUP($F180,[1]装箱单!$A:$E,5,0)</f>
        <v>16.83</v>
      </c>
      <c r="R180" s="8">
        <f>VLOOKUP($F180,[1]装箱单!$A:$F,6,0)</f>
        <v>17.15</v>
      </c>
      <c r="S180" s="8">
        <f>VLOOKUP($F180,[1]装箱单!$A:$G,7,0)</f>
        <v>20</v>
      </c>
      <c r="T180" s="10">
        <f>VLOOKUP($F180,[1]装箱单!$A:$J,10,0)</f>
        <v>0.00577269</v>
      </c>
      <c r="U180" s="11">
        <f t="shared" si="25"/>
        <v>14.5471788</v>
      </c>
    </row>
    <row r="181" ht="29.1" customHeight="1" spans="1:21">
      <c r="A181" s="40">
        <v>46058</v>
      </c>
      <c r="B181" s="41" t="s">
        <v>54</v>
      </c>
      <c r="C181" s="42" t="s">
        <v>273</v>
      </c>
      <c r="D181" s="43"/>
      <c r="E181" s="44">
        <v>963687731</v>
      </c>
      <c r="F181" s="44">
        <v>28472</v>
      </c>
      <c r="G181" s="44" t="s">
        <v>31</v>
      </c>
      <c r="H181" s="44"/>
      <c r="I181" s="45">
        <f>+L181</f>
        <v>1440</v>
      </c>
      <c r="J181" s="45" t="s">
        <v>32</v>
      </c>
      <c r="K181" s="45" t="s">
        <v>33</v>
      </c>
      <c r="L181" s="46">
        <v>1440</v>
      </c>
      <c r="M181" s="43">
        <f t="shared" si="24"/>
        <v>26.4384</v>
      </c>
      <c r="N181" s="46" t="s">
        <v>34</v>
      </c>
      <c r="O181" s="44"/>
      <c r="P181" s="48"/>
      <c r="Q181" s="8">
        <f>VLOOKUP($F181,[1]装箱单!$A:$E,5,0)</f>
        <v>30</v>
      </c>
      <c r="R181" s="8">
        <f>VLOOKUP($F181,[1]装箱单!$A:$F,6,0)</f>
        <v>17</v>
      </c>
      <c r="S181" s="8">
        <f>VLOOKUP($F181,[1]装箱单!$A:$G,7,0)</f>
        <v>36</v>
      </c>
      <c r="T181" s="10">
        <f>VLOOKUP($F181,[1]装箱单!$A:$J,10,0)</f>
        <v>0.01836</v>
      </c>
      <c r="U181" s="11">
        <f t="shared" si="25"/>
        <v>26.4384</v>
      </c>
    </row>
    <row r="182" ht="29.1" customHeight="1" spans="1:21">
      <c r="A182" s="40">
        <v>46058</v>
      </c>
      <c r="B182" s="41" t="s">
        <v>54</v>
      </c>
      <c r="C182" s="42" t="s">
        <v>274</v>
      </c>
      <c r="D182" s="43"/>
      <c r="E182" s="44">
        <v>963687736</v>
      </c>
      <c r="F182" s="44">
        <v>28472</v>
      </c>
      <c r="G182" s="44" t="s">
        <v>31</v>
      </c>
      <c r="H182" s="44"/>
      <c r="I182" s="45">
        <f>+L182</f>
        <v>720</v>
      </c>
      <c r="J182" s="45" t="s">
        <v>32</v>
      </c>
      <c r="K182" s="45" t="s">
        <v>33</v>
      </c>
      <c r="L182" s="46">
        <v>720</v>
      </c>
      <c r="M182" s="43">
        <f t="shared" si="24"/>
        <v>13.2192</v>
      </c>
      <c r="N182" s="46" t="s">
        <v>34</v>
      </c>
      <c r="O182" s="44"/>
      <c r="P182" s="48"/>
      <c r="Q182" s="8">
        <f>VLOOKUP($F182,[1]装箱单!$A:$E,5,0)</f>
        <v>30</v>
      </c>
      <c r="R182" s="8">
        <f>VLOOKUP($F182,[1]装箱单!$A:$F,6,0)</f>
        <v>17</v>
      </c>
      <c r="S182" s="8">
        <f>VLOOKUP($F182,[1]装箱单!$A:$G,7,0)</f>
        <v>36</v>
      </c>
      <c r="T182" s="10">
        <f>VLOOKUP($F182,[1]装箱单!$A:$J,10,0)</f>
        <v>0.01836</v>
      </c>
      <c r="U182" s="11">
        <f t="shared" si="25"/>
        <v>13.2192</v>
      </c>
    </row>
    <row r="183" ht="29.1" customHeight="1" spans="1:21">
      <c r="A183" s="40">
        <v>46057</v>
      </c>
      <c r="B183" s="41" t="s">
        <v>40</v>
      </c>
      <c r="C183" s="42" t="s">
        <v>275</v>
      </c>
      <c r="D183" s="43"/>
      <c r="E183" s="44">
        <v>960449009</v>
      </c>
      <c r="F183" s="44">
        <v>28466</v>
      </c>
      <c r="G183" s="44" t="s">
        <v>31</v>
      </c>
      <c r="H183" s="44"/>
      <c r="I183" s="45">
        <f>+L183*2</f>
        <v>1920</v>
      </c>
      <c r="J183" s="45" t="s">
        <v>32</v>
      </c>
      <c r="K183" s="45" t="s">
        <v>33</v>
      </c>
      <c r="L183" s="46">
        <v>960</v>
      </c>
      <c r="M183" s="43">
        <f t="shared" si="24"/>
        <v>16.128</v>
      </c>
      <c r="N183" s="46" t="s">
        <v>34</v>
      </c>
      <c r="O183" s="44" t="s">
        <v>62</v>
      </c>
      <c r="P183" s="48"/>
      <c r="Q183" s="8">
        <f>VLOOKUP($F183,[1]装箱单!$A:$E,5,0)</f>
        <v>30</v>
      </c>
      <c r="R183" s="8">
        <f>VLOOKUP($F183,[1]装箱单!$A:$F,6,0)</f>
        <v>20</v>
      </c>
      <c r="S183" s="8">
        <f>VLOOKUP($F183,[1]装箱单!$A:$G,7,0)</f>
        <v>28</v>
      </c>
      <c r="T183" s="10">
        <f>VLOOKUP($F183,[1]装箱单!$A:$J,10,0)</f>
        <v>0.0168</v>
      </c>
      <c r="U183" s="11">
        <f t="shared" si="25"/>
        <v>16.128</v>
      </c>
    </row>
    <row r="184" ht="29.1" customHeight="1" spans="1:21">
      <c r="A184" s="40">
        <v>46057</v>
      </c>
      <c r="B184" s="41" t="s">
        <v>40</v>
      </c>
      <c r="C184" s="42" t="s">
        <v>276</v>
      </c>
      <c r="D184" s="43"/>
      <c r="E184" s="44">
        <v>960448995</v>
      </c>
      <c r="F184" s="44">
        <v>28466</v>
      </c>
      <c r="G184" s="44" t="s">
        <v>31</v>
      </c>
      <c r="H184" s="44"/>
      <c r="I184" s="45">
        <f>+L184*2</f>
        <v>480</v>
      </c>
      <c r="J184" s="45" t="s">
        <v>32</v>
      </c>
      <c r="K184" s="45" t="s">
        <v>33</v>
      </c>
      <c r="L184" s="46">
        <v>240</v>
      </c>
      <c r="M184" s="43">
        <f t="shared" si="24"/>
        <v>4.032</v>
      </c>
      <c r="N184" s="46" t="s">
        <v>34</v>
      </c>
      <c r="O184" s="44"/>
      <c r="P184" s="48"/>
      <c r="Q184" s="8">
        <f>VLOOKUP($F184,[1]装箱单!$A:$E,5,0)</f>
        <v>30</v>
      </c>
      <c r="R184" s="8">
        <f>VLOOKUP($F184,[1]装箱单!$A:$F,6,0)</f>
        <v>20</v>
      </c>
      <c r="S184" s="8">
        <f>VLOOKUP($F184,[1]装箱单!$A:$G,7,0)</f>
        <v>28</v>
      </c>
      <c r="T184" s="10">
        <f>VLOOKUP($F184,[1]装箱单!$A:$J,10,0)</f>
        <v>0.0168</v>
      </c>
      <c r="U184" s="11">
        <f t="shared" si="25"/>
        <v>4.032</v>
      </c>
    </row>
    <row r="185" ht="29.1" customHeight="1" spans="1:21">
      <c r="A185" s="40">
        <v>46057</v>
      </c>
      <c r="B185" s="41" t="s">
        <v>138</v>
      </c>
      <c r="C185" s="42" t="s">
        <v>277</v>
      </c>
      <c r="D185" s="43"/>
      <c r="E185" s="44" t="s">
        <v>278</v>
      </c>
      <c r="F185" s="44" t="s">
        <v>279</v>
      </c>
      <c r="G185" s="44" t="s">
        <v>31</v>
      </c>
      <c r="H185" s="44"/>
      <c r="I185" s="45">
        <v>2250</v>
      </c>
      <c r="J185" s="45" t="s">
        <v>32</v>
      </c>
      <c r="K185" s="45" t="s">
        <v>33</v>
      </c>
      <c r="L185" s="46">
        <v>125</v>
      </c>
      <c r="M185" s="43">
        <f t="shared" si="24"/>
        <v>0.7241265759375</v>
      </c>
      <c r="N185" s="46" t="s">
        <v>34</v>
      </c>
      <c r="O185" s="44" t="s">
        <v>62</v>
      </c>
      <c r="P185" s="48"/>
      <c r="Q185" s="8">
        <f>VLOOKUP($F185,[1]装箱单!$A:$E,5,0)</f>
        <v>32.385</v>
      </c>
      <c r="R185" s="8">
        <f>VLOOKUP($F185,[1]装箱单!$A:$F,6,0)</f>
        <v>18.78</v>
      </c>
      <c r="S185" s="8">
        <f>VLOOKUP($F185,[1]装箱单!$A:$G,7,0)</f>
        <v>9.525</v>
      </c>
      <c r="T185" s="10">
        <f>VLOOKUP($F185,[1]装箱单!$A:$J,10,0)</f>
        <v>0.0057930126075</v>
      </c>
      <c r="U185" s="11">
        <f t="shared" si="25"/>
        <v>0.7241265759375</v>
      </c>
    </row>
    <row r="186" ht="29.1" customHeight="1" spans="1:21">
      <c r="A186" s="40">
        <v>46057</v>
      </c>
      <c r="B186" s="41" t="s">
        <v>138</v>
      </c>
      <c r="C186" s="42" t="s">
        <v>277</v>
      </c>
      <c r="D186" s="119"/>
      <c r="E186" s="49" t="s">
        <v>278</v>
      </c>
      <c r="F186" s="44" t="s">
        <v>280</v>
      </c>
      <c r="G186" s="44" t="s">
        <v>31</v>
      </c>
      <c r="H186" s="44"/>
      <c r="I186" s="45">
        <v>2250</v>
      </c>
      <c r="J186" s="45" t="s">
        <v>32</v>
      </c>
      <c r="K186" s="45" t="s">
        <v>33</v>
      </c>
      <c r="L186" s="46">
        <v>125</v>
      </c>
      <c r="M186" s="43">
        <f t="shared" si="24"/>
        <v>0.7241265759375</v>
      </c>
      <c r="N186" s="46" t="s">
        <v>34</v>
      </c>
      <c r="O186" s="44" t="s">
        <v>62</v>
      </c>
      <c r="P186" s="48"/>
      <c r="Q186" s="8">
        <f>VLOOKUP($F186,[1]装箱单!$A:$E,5,0)</f>
        <v>32.385</v>
      </c>
      <c r="R186" s="8">
        <f>VLOOKUP($F186,[1]装箱单!$A:$F,6,0)</f>
        <v>18.78</v>
      </c>
      <c r="S186" s="8">
        <f>VLOOKUP($F186,[1]装箱单!$A:$G,7,0)</f>
        <v>9.525</v>
      </c>
      <c r="T186" s="10">
        <f>VLOOKUP($F186,[1]装箱单!$A:$J,10,0)</f>
        <v>0.0057930126075</v>
      </c>
      <c r="U186" s="11">
        <f t="shared" si="25"/>
        <v>0.7241265759375</v>
      </c>
    </row>
    <row r="187" ht="29.1" customHeight="1" spans="1:21">
      <c r="A187" s="40">
        <v>46057</v>
      </c>
      <c r="B187" s="41" t="s">
        <v>138</v>
      </c>
      <c r="C187" s="42" t="s">
        <v>281</v>
      </c>
      <c r="D187" s="43"/>
      <c r="E187" s="44" t="s">
        <v>282</v>
      </c>
      <c r="F187" s="44" t="s">
        <v>45</v>
      </c>
      <c r="G187" s="44" t="s">
        <v>31</v>
      </c>
      <c r="H187" s="44"/>
      <c r="I187" s="45">
        <v>10008</v>
      </c>
      <c r="J187" s="45" t="s">
        <v>32</v>
      </c>
      <c r="K187" s="45" t="s">
        <v>33</v>
      </c>
      <c r="L187" s="46">
        <v>556</v>
      </c>
      <c r="M187" s="43">
        <f t="shared" si="24"/>
        <v>3.22091500977</v>
      </c>
      <c r="N187" s="46" t="s">
        <v>34</v>
      </c>
      <c r="O187" s="44" t="s">
        <v>62</v>
      </c>
      <c r="P187" s="48"/>
      <c r="Q187" s="8">
        <f>VLOOKUP($F187,[1]装箱单!$A:$E,5,0)</f>
        <v>32.385</v>
      </c>
      <c r="R187" s="8">
        <f>VLOOKUP($F187,[1]装箱单!$A:$F,6,0)</f>
        <v>18.78</v>
      </c>
      <c r="S187" s="8">
        <f>VLOOKUP($F187,[1]装箱单!$A:$G,7,0)</f>
        <v>9.525</v>
      </c>
      <c r="T187" s="10">
        <f>VLOOKUP($F187,[1]装箱单!$A:$J,10,0)</f>
        <v>0.0057930126075</v>
      </c>
      <c r="U187" s="11">
        <f t="shared" si="25"/>
        <v>3.22091500977</v>
      </c>
    </row>
    <row r="188" ht="29.1" customHeight="1" spans="1:21">
      <c r="A188" s="40">
        <v>46057</v>
      </c>
      <c r="B188" s="41" t="s">
        <v>138</v>
      </c>
      <c r="C188" s="42" t="s">
        <v>281</v>
      </c>
      <c r="D188" s="43"/>
      <c r="E188" s="44" t="s">
        <v>282</v>
      </c>
      <c r="F188" s="44" t="s">
        <v>111</v>
      </c>
      <c r="G188" s="44" t="s">
        <v>31</v>
      </c>
      <c r="H188" s="44"/>
      <c r="I188" s="45">
        <f>+L188*18</f>
        <v>20016</v>
      </c>
      <c r="J188" s="45" t="s">
        <v>32</v>
      </c>
      <c r="K188" s="45" t="s">
        <v>33</v>
      </c>
      <c r="L188" s="46">
        <v>1112</v>
      </c>
      <c r="M188" s="43">
        <f t="shared" si="24"/>
        <v>6.44183001954</v>
      </c>
      <c r="N188" s="46" t="s">
        <v>34</v>
      </c>
      <c r="O188" s="44" t="s">
        <v>62</v>
      </c>
      <c r="P188" s="48"/>
      <c r="Q188" s="8">
        <f>VLOOKUP($F188,[1]装箱单!$A:$E,5,0)</f>
        <v>32.385</v>
      </c>
      <c r="R188" s="8">
        <f>VLOOKUP($F188,[1]装箱单!$A:$F,6,0)</f>
        <v>18.78</v>
      </c>
      <c r="S188" s="8">
        <f>VLOOKUP($F188,[1]装箱单!$A:$G,7,0)</f>
        <v>9.525</v>
      </c>
      <c r="T188" s="10">
        <f>VLOOKUP($F188,[1]装箱单!$A:$J,10,0)</f>
        <v>0.0057930126075</v>
      </c>
      <c r="U188" s="11">
        <f t="shared" si="25"/>
        <v>6.44183001954</v>
      </c>
    </row>
    <row r="189" ht="29.1" customHeight="1" spans="1:21">
      <c r="A189" s="40"/>
      <c r="B189" s="41"/>
      <c r="C189" s="42"/>
      <c r="D189" s="124"/>
      <c r="E189" s="53"/>
      <c r="F189" s="44"/>
      <c r="G189" s="44"/>
      <c r="H189" s="44"/>
      <c r="I189" s="45"/>
      <c r="J189" s="45"/>
      <c r="K189" s="45"/>
      <c r="L189" s="46"/>
      <c r="M189" s="43">
        <f>SUM(M178:M188)</f>
        <v>125.212351981185</v>
      </c>
      <c r="N189" s="46"/>
      <c r="O189" s="44"/>
      <c r="P189" s="51"/>
    </row>
    <row r="190" ht="29.1" customHeight="1" spans="1:21">
      <c r="A190" s="40">
        <v>46057</v>
      </c>
      <c r="B190" s="41" t="s">
        <v>54</v>
      </c>
      <c r="C190" s="42">
        <v>1002044</v>
      </c>
      <c r="D190" s="43"/>
      <c r="E190" s="44">
        <v>963279606</v>
      </c>
      <c r="F190" s="44">
        <v>470191</v>
      </c>
      <c r="G190" s="44" t="s">
        <v>31</v>
      </c>
      <c r="H190" s="44"/>
      <c r="I190" s="45">
        <f>+L190</f>
        <v>334</v>
      </c>
      <c r="J190" s="45" t="s">
        <v>32</v>
      </c>
      <c r="K190" s="45" t="s">
        <v>33</v>
      </c>
      <c r="L190" s="46">
        <v>334</v>
      </c>
      <c r="M190" s="43">
        <f t="shared" ref="M190:M195" si="26">+U190</f>
        <v>20.96685</v>
      </c>
      <c r="N190" s="46" t="s">
        <v>34</v>
      </c>
      <c r="O190" s="44"/>
      <c r="P190" s="47" t="s">
        <v>283</v>
      </c>
      <c r="Q190" s="8">
        <f>VLOOKUP($F190,[1]装箱单!$A:$E,5,0)</f>
        <v>62</v>
      </c>
      <c r="R190" s="8">
        <f>VLOOKUP($F190,[1]装箱单!$A:$F,6,0)</f>
        <v>25</v>
      </c>
      <c r="S190" s="8">
        <f>VLOOKUP($F190,[1]装箱单!$A:$G,7,0)</f>
        <v>40.5</v>
      </c>
      <c r="T190" s="10">
        <f>VLOOKUP($F190,[1]装箱单!$A:$J,10,0)</f>
        <v>0.062775</v>
      </c>
      <c r="U190" s="11">
        <f t="shared" ref="U190:U195" si="27">+T190*L190</f>
        <v>20.96685</v>
      </c>
    </row>
    <row r="191" ht="29.1" customHeight="1" spans="1:21">
      <c r="A191" s="40">
        <v>46057</v>
      </c>
      <c r="B191" s="41" t="s">
        <v>54</v>
      </c>
      <c r="C191" s="42">
        <v>1002044</v>
      </c>
      <c r="D191" s="43"/>
      <c r="E191" s="139" t="s">
        <v>268</v>
      </c>
      <c r="F191" s="44">
        <v>470191</v>
      </c>
      <c r="G191" s="44" t="s">
        <v>31</v>
      </c>
      <c r="H191" s="44"/>
      <c r="I191" s="45">
        <f>+L191</f>
        <v>48</v>
      </c>
      <c r="J191" s="45" t="s">
        <v>32</v>
      </c>
      <c r="K191" s="45" t="s">
        <v>33</v>
      </c>
      <c r="L191" s="46">
        <v>48</v>
      </c>
      <c r="M191" s="43">
        <f t="shared" si="26"/>
        <v>3.0132</v>
      </c>
      <c r="N191" s="46" t="s">
        <v>34</v>
      </c>
      <c r="O191" s="44"/>
      <c r="P191" s="48"/>
      <c r="Q191" s="8">
        <f>VLOOKUP($F191,[1]装箱单!$A:$E,5,0)</f>
        <v>62</v>
      </c>
      <c r="R191" s="8">
        <f>VLOOKUP($F191,[1]装箱单!$A:$F,6,0)</f>
        <v>25</v>
      </c>
      <c r="S191" s="8">
        <f>VLOOKUP($F191,[1]装箱单!$A:$G,7,0)</f>
        <v>40.5</v>
      </c>
      <c r="T191" s="10">
        <f>VLOOKUP($F191,[1]装箱单!$A:$J,10,0)</f>
        <v>0.062775</v>
      </c>
      <c r="U191" s="11">
        <f t="shared" si="27"/>
        <v>3.0132</v>
      </c>
    </row>
    <row r="192" ht="29.1" customHeight="1" spans="1:21">
      <c r="A192" s="40">
        <v>46057</v>
      </c>
      <c r="B192" s="41" t="s">
        <v>40</v>
      </c>
      <c r="C192" s="42" t="s">
        <v>276</v>
      </c>
      <c r="D192" s="43"/>
      <c r="E192" s="44">
        <v>960448995</v>
      </c>
      <c r="F192" s="44">
        <v>28466</v>
      </c>
      <c r="G192" s="44" t="s">
        <v>31</v>
      </c>
      <c r="H192" s="44"/>
      <c r="I192" s="45">
        <f>+L192*2</f>
        <v>3000</v>
      </c>
      <c r="J192" s="45" t="s">
        <v>32</v>
      </c>
      <c r="K192" s="45" t="s">
        <v>33</v>
      </c>
      <c r="L192" s="46">
        <f>1740-240</f>
        <v>1500</v>
      </c>
      <c r="M192" s="43">
        <f t="shared" si="26"/>
        <v>25.2</v>
      </c>
      <c r="N192" s="46" t="s">
        <v>34</v>
      </c>
      <c r="O192" s="44"/>
      <c r="P192" s="48"/>
      <c r="Q192" s="8">
        <f>VLOOKUP($F192,[1]装箱单!$A:$E,5,0)</f>
        <v>30</v>
      </c>
      <c r="R192" s="8">
        <f>VLOOKUP($F192,[1]装箱单!$A:$F,6,0)</f>
        <v>20</v>
      </c>
      <c r="S192" s="8">
        <f>VLOOKUP($F192,[1]装箱单!$A:$G,7,0)</f>
        <v>28</v>
      </c>
      <c r="T192" s="10">
        <f>VLOOKUP($F192,[1]装箱单!$A:$J,10,0)</f>
        <v>0.0168</v>
      </c>
      <c r="U192" s="11">
        <f t="shared" si="27"/>
        <v>25.2</v>
      </c>
    </row>
    <row r="193" ht="29.1" customHeight="1" spans="1:21">
      <c r="A193" s="40">
        <v>46057</v>
      </c>
      <c r="B193" s="41" t="s">
        <v>40</v>
      </c>
      <c r="C193" s="42" t="s">
        <v>284</v>
      </c>
      <c r="D193" s="43"/>
      <c r="E193" s="44">
        <v>960449018</v>
      </c>
      <c r="F193" s="44">
        <v>28466</v>
      </c>
      <c r="G193" s="44" t="s">
        <v>31</v>
      </c>
      <c r="H193" s="44"/>
      <c r="I193" s="45">
        <f>+L193*2</f>
        <v>2760</v>
      </c>
      <c r="J193" s="45" t="s">
        <v>32</v>
      </c>
      <c r="K193" s="45" t="s">
        <v>33</v>
      </c>
      <c r="L193" s="46">
        <v>1380</v>
      </c>
      <c r="M193" s="43">
        <f t="shared" si="26"/>
        <v>23.184</v>
      </c>
      <c r="N193" s="46" t="s">
        <v>34</v>
      </c>
      <c r="O193" s="44"/>
      <c r="P193" s="48"/>
      <c r="Q193" s="8">
        <f>VLOOKUP($F193,[1]装箱单!$A:$E,5,0)</f>
        <v>30</v>
      </c>
      <c r="R193" s="8">
        <f>VLOOKUP($F193,[1]装箱单!$A:$F,6,0)</f>
        <v>20</v>
      </c>
      <c r="S193" s="8">
        <f>VLOOKUP($F193,[1]装箱单!$A:$G,7,0)</f>
        <v>28</v>
      </c>
      <c r="T193" s="10">
        <f>VLOOKUP($F193,[1]装箱单!$A:$J,10,0)</f>
        <v>0.0168</v>
      </c>
      <c r="U193" s="11">
        <f t="shared" si="27"/>
        <v>23.184</v>
      </c>
    </row>
    <row r="194" ht="29.1" customHeight="1" spans="1:21">
      <c r="A194" s="40">
        <v>46057</v>
      </c>
      <c r="B194" s="41" t="s">
        <v>40</v>
      </c>
      <c r="C194" s="42" t="s">
        <v>285</v>
      </c>
      <c r="D194" s="43"/>
      <c r="E194" s="44">
        <v>960448977</v>
      </c>
      <c r="F194" s="44">
        <v>28466</v>
      </c>
      <c r="G194" s="44" t="s">
        <v>31</v>
      </c>
      <c r="H194" s="44"/>
      <c r="I194" s="45">
        <f>+L194*2</f>
        <v>2160</v>
      </c>
      <c r="J194" s="45" t="s">
        <v>32</v>
      </c>
      <c r="K194" s="45" t="s">
        <v>33</v>
      </c>
      <c r="L194" s="46">
        <v>1080</v>
      </c>
      <c r="M194" s="43">
        <f t="shared" si="26"/>
        <v>18.144</v>
      </c>
      <c r="N194" s="46" t="s">
        <v>34</v>
      </c>
      <c r="O194" s="44"/>
      <c r="P194" s="48"/>
      <c r="Q194" s="8">
        <f>VLOOKUP($F194,[1]装箱单!$A:$E,5,0)</f>
        <v>30</v>
      </c>
      <c r="R194" s="8">
        <f>VLOOKUP($F194,[1]装箱单!$A:$F,6,0)</f>
        <v>20</v>
      </c>
      <c r="S194" s="8">
        <f>VLOOKUP($F194,[1]装箱单!$A:$G,7,0)</f>
        <v>28</v>
      </c>
      <c r="T194" s="10">
        <f>VLOOKUP($F194,[1]装箱单!$A:$J,10,0)</f>
        <v>0.0168</v>
      </c>
      <c r="U194" s="11">
        <f t="shared" si="27"/>
        <v>18.144</v>
      </c>
    </row>
    <row r="195" ht="29.1" customHeight="1" spans="1:21">
      <c r="A195" s="40">
        <v>46057</v>
      </c>
      <c r="B195" s="41" t="s">
        <v>40</v>
      </c>
      <c r="C195" s="42" t="s">
        <v>286</v>
      </c>
      <c r="D195" s="43"/>
      <c r="E195" s="44">
        <v>960449004</v>
      </c>
      <c r="F195" s="44">
        <v>28466</v>
      </c>
      <c r="G195" s="44" t="s">
        <v>31</v>
      </c>
      <c r="H195" s="44"/>
      <c r="I195" s="45">
        <f>+L195*2</f>
        <v>2160</v>
      </c>
      <c r="J195" s="45" t="s">
        <v>32</v>
      </c>
      <c r="K195" s="45" t="s">
        <v>33</v>
      </c>
      <c r="L195" s="46">
        <v>1080</v>
      </c>
      <c r="M195" s="43">
        <f t="shared" si="26"/>
        <v>18.144</v>
      </c>
      <c r="N195" s="46" t="s">
        <v>34</v>
      </c>
      <c r="O195" s="44"/>
      <c r="P195" s="48"/>
      <c r="Q195" s="8">
        <f>VLOOKUP($F195,[1]装箱单!$A:$E,5,0)</f>
        <v>30</v>
      </c>
      <c r="R195" s="8">
        <f>VLOOKUP($F195,[1]装箱单!$A:$F,6,0)</f>
        <v>20</v>
      </c>
      <c r="S195" s="8">
        <f>VLOOKUP($F195,[1]装箱单!$A:$G,7,0)</f>
        <v>28</v>
      </c>
      <c r="T195" s="10">
        <f>VLOOKUP($F195,[1]装箱单!$A:$J,10,0)</f>
        <v>0.0168</v>
      </c>
      <c r="U195" s="11">
        <f t="shared" si="27"/>
        <v>18.144</v>
      </c>
    </row>
    <row r="196" ht="29.1" customHeight="1" spans="1:21">
      <c r="A196" s="40">
        <v>46057</v>
      </c>
      <c r="B196" s="41"/>
      <c r="C196" s="42"/>
      <c r="D196" s="43"/>
      <c r="E196" s="44"/>
      <c r="F196" s="44">
        <v>26891</v>
      </c>
      <c r="G196" s="44" t="s">
        <v>287</v>
      </c>
      <c r="H196" s="44"/>
      <c r="I196" s="45">
        <v>24</v>
      </c>
      <c r="J196" s="45" t="s">
        <v>32</v>
      </c>
      <c r="K196" s="45" t="s">
        <v>218</v>
      </c>
      <c r="L196" s="46">
        <v>1</v>
      </c>
      <c r="M196" s="119">
        <v>1</v>
      </c>
      <c r="N196" s="46"/>
      <c r="O196" s="44"/>
      <c r="P196" s="48"/>
    </row>
    <row r="197" ht="29.1" customHeight="1" spans="1:21">
      <c r="A197" s="40">
        <v>46057</v>
      </c>
      <c r="B197" s="41"/>
      <c r="C197" s="42"/>
      <c r="D197" s="43"/>
      <c r="E197" s="44"/>
      <c r="F197" s="44">
        <v>26892</v>
      </c>
      <c r="G197" s="44" t="s">
        <v>288</v>
      </c>
      <c r="H197" s="44"/>
      <c r="I197" s="45">
        <v>24</v>
      </c>
      <c r="J197" s="45" t="s">
        <v>32</v>
      </c>
      <c r="K197" s="45" t="s">
        <v>218</v>
      </c>
      <c r="L197" s="46">
        <v>1</v>
      </c>
      <c r="M197" s="124"/>
      <c r="N197" s="46"/>
      <c r="O197" s="44"/>
      <c r="P197" s="48"/>
    </row>
    <row r="198" ht="29.1" customHeight="1" spans="1:21">
      <c r="A198" s="40">
        <v>46057</v>
      </c>
      <c r="B198" s="41"/>
      <c r="C198" s="42"/>
      <c r="D198" s="43"/>
      <c r="E198" s="44"/>
      <c r="F198" s="44">
        <v>26893</v>
      </c>
      <c r="G198" s="44" t="s">
        <v>289</v>
      </c>
      <c r="H198" s="44"/>
      <c r="I198" s="45">
        <v>24</v>
      </c>
      <c r="J198" s="45" t="s">
        <v>32</v>
      </c>
      <c r="K198" s="45" t="s">
        <v>218</v>
      </c>
      <c r="L198" s="46">
        <v>2</v>
      </c>
      <c r="M198" s="124"/>
      <c r="N198" s="46"/>
      <c r="O198" s="44"/>
      <c r="P198" s="48"/>
    </row>
    <row r="199" ht="29.1" customHeight="1" spans="1:21">
      <c r="A199" s="40">
        <v>46057</v>
      </c>
      <c r="B199" s="41"/>
      <c r="C199" s="42"/>
      <c r="D199" s="43"/>
      <c r="E199" s="44"/>
      <c r="F199" s="44">
        <v>26894</v>
      </c>
      <c r="G199" s="44" t="s">
        <v>290</v>
      </c>
      <c r="H199" s="44"/>
      <c r="I199" s="45">
        <v>24</v>
      </c>
      <c r="J199" s="45" t="s">
        <v>32</v>
      </c>
      <c r="K199" s="45" t="s">
        <v>218</v>
      </c>
      <c r="L199" s="46">
        <v>2</v>
      </c>
      <c r="M199" s="124"/>
      <c r="N199" s="46"/>
      <c r="O199" s="44"/>
      <c r="P199" s="48"/>
    </row>
    <row r="200" ht="29.1" customHeight="1" spans="1:21">
      <c r="A200" s="40">
        <v>46057</v>
      </c>
      <c r="B200" s="41"/>
      <c r="C200" s="42"/>
      <c r="D200" s="43"/>
      <c r="E200" s="44"/>
      <c r="F200" s="44">
        <v>26895</v>
      </c>
      <c r="G200" s="44" t="s">
        <v>291</v>
      </c>
      <c r="H200" s="44"/>
      <c r="I200" s="45">
        <v>24</v>
      </c>
      <c r="J200" s="45" t="s">
        <v>32</v>
      </c>
      <c r="K200" s="45" t="s">
        <v>218</v>
      </c>
      <c r="L200" s="46">
        <v>2</v>
      </c>
      <c r="M200" s="124"/>
      <c r="N200" s="46"/>
      <c r="O200" s="44"/>
      <c r="P200" s="48"/>
    </row>
    <row r="201" ht="29.1" customHeight="1" spans="1:21">
      <c r="A201" s="40">
        <v>46057</v>
      </c>
      <c r="B201" s="41"/>
      <c r="C201" s="42"/>
      <c r="D201" s="43"/>
      <c r="E201" s="44"/>
      <c r="F201" s="44">
        <v>26897</v>
      </c>
      <c r="G201" s="44" t="s">
        <v>292</v>
      </c>
      <c r="H201" s="44"/>
      <c r="I201" s="45">
        <v>24</v>
      </c>
      <c r="J201" s="45" t="s">
        <v>32</v>
      </c>
      <c r="K201" s="45" t="s">
        <v>218</v>
      </c>
      <c r="L201" s="46">
        <v>2</v>
      </c>
      <c r="M201" s="124"/>
      <c r="N201" s="46"/>
      <c r="O201" s="44"/>
      <c r="P201" s="48"/>
    </row>
    <row r="202" ht="29.1" customHeight="1" spans="1:21">
      <c r="A202" s="40">
        <v>46057</v>
      </c>
      <c r="B202" s="41"/>
      <c r="C202" s="42"/>
      <c r="D202" s="43"/>
      <c r="E202" s="44"/>
      <c r="F202" s="44">
        <v>26898</v>
      </c>
      <c r="G202" s="44" t="s">
        <v>293</v>
      </c>
      <c r="H202" s="44"/>
      <c r="I202" s="45">
        <v>24</v>
      </c>
      <c r="J202" s="45" t="s">
        <v>32</v>
      </c>
      <c r="K202" s="45" t="s">
        <v>218</v>
      </c>
      <c r="L202" s="46">
        <v>2</v>
      </c>
      <c r="M202" s="125"/>
      <c r="N202" s="46"/>
      <c r="O202" s="44"/>
      <c r="P202" s="48"/>
    </row>
    <row r="203" ht="29.1" customHeight="1" spans="1:21">
      <c r="A203" s="40"/>
      <c r="B203" s="41"/>
      <c r="C203" s="42"/>
      <c r="D203" s="43"/>
      <c r="E203" s="44"/>
      <c r="F203" s="44"/>
      <c r="G203" s="44"/>
      <c r="H203" s="44"/>
      <c r="I203" s="45"/>
      <c r="J203" s="45"/>
      <c r="K203" s="45"/>
      <c r="L203" s="46"/>
      <c r="M203" s="43">
        <v>109</v>
      </c>
      <c r="N203" s="46"/>
      <c r="O203" s="44"/>
      <c r="P203" s="51"/>
    </row>
    <row r="204" ht="29.1" customHeight="1" spans="1:21">
      <c r="A204" s="40">
        <v>46058</v>
      </c>
      <c r="B204" s="41" t="s">
        <v>40</v>
      </c>
      <c r="C204" s="42" t="s">
        <v>286</v>
      </c>
      <c r="D204" s="43"/>
      <c r="E204" s="44">
        <v>960449004</v>
      </c>
      <c r="F204" s="44">
        <v>28466</v>
      </c>
      <c r="G204" s="44" t="s">
        <v>31</v>
      </c>
      <c r="H204" s="44"/>
      <c r="I204" s="45">
        <f>+L204*2</f>
        <v>360</v>
      </c>
      <c r="J204" s="45" t="s">
        <v>32</v>
      </c>
      <c r="K204" s="45" t="s">
        <v>33</v>
      </c>
      <c r="L204" s="46">
        <f>1260-1080</f>
        <v>180</v>
      </c>
      <c r="M204" s="43">
        <f t="shared" ref="M204:M225" si="28">+U204</f>
        <v>3.024</v>
      </c>
      <c r="N204" s="46" t="s">
        <v>34</v>
      </c>
      <c r="O204" s="44"/>
      <c r="P204" s="47" t="s">
        <v>294</v>
      </c>
      <c r="Q204" s="8">
        <f>VLOOKUP($F204,[1]装箱单!$A:$E,5,0)</f>
        <v>30</v>
      </c>
      <c r="R204" s="8">
        <f>VLOOKUP($F204,[1]装箱单!$A:$F,6,0)</f>
        <v>20</v>
      </c>
      <c r="S204" s="8">
        <f>VLOOKUP($F204,[1]装箱单!$A:$G,7,0)</f>
        <v>28</v>
      </c>
      <c r="T204" s="10">
        <f>VLOOKUP($F204,[1]装箱单!$A:$J,10,0)</f>
        <v>0.0168</v>
      </c>
      <c r="U204" s="11">
        <f t="shared" ref="U204:U225" si="29">+T204*L204</f>
        <v>3.024</v>
      </c>
    </row>
    <row r="205" ht="29.1" customHeight="1" spans="1:21">
      <c r="A205" s="40">
        <v>46058</v>
      </c>
      <c r="B205" s="41" t="s">
        <v>40</v>
      </c>
      <c r="C205" s="42" t="s">
        <v>295</v>
      </c>
      <c r="D205" s="43"/>
      <c r="E205" s="44">
        <v>960449018</v>
      </c>
      <c r="F205" s="44">
        <v>28466</v>
      </c>
      <c r="G205" s="44" t="s">
        <v>31</v>
      </c>
      <c r="H205" s="44"/>
      <c r="I205" s="45">
        <f>+L205*2</f>
        <v>2040</v>
      </c>
      <c r="J205" s="45" t="s">
        <v>32</v>
      </c>
      <c r="K205" s="45" t="s">
        <v>33</v>
      </c>
      <c r="L205" s="46">
        <v>1020</v>
      </c>
      <c r="M205" s="43">
        <f t="shared" si="28"/>
        <v>17.136</v>
      </c>
      <c r="N205" s="46" t="s">
        <v>34</v>
      </c>
      <c r="O205" s="44"/>
      <c r="P205" s="48"/>
      <c r="Q205" s="8">
        <f>VLOOKUP($F205,[1]装箱单!$A:$E,5,0)</f>
        <v>30</v>
      </c>
      <c r="R205" s="8">
        <f>VLOOKUP($F205,[1]装箱单!$A:$F,6,0)</f>
        <v>20</v>
      </c>
      <c r="S205" s="8">
        <f>VLOOKUP($F205,[1]装箱单!$A:$G,7,0)</f>
        <v>28</v>
      </c>
      <c r="T205" s="10">
        <f>VLOOKUP($F205,[1]装箱单!$A:$J,10,0)</f>
        <v>0.0168</v>
      </c>
      <c r="U205" s="11">
        <f t="shared" si="29"/>
        <v>17.136</v>
      </c>
    </row>
    <row r="206" ht="29.1" customHeight="1" spans="1:21">
      <c r="A206" s="40">
        <v>46058</v>
      </c>
      <c r="B206" s="41" t="s">
        <v>40</v>
      </c>
      <c r="C206" s="42" t="s">
        <v>296</v>
      </c>
      <c r="D206" s="43"/>
      <c r="E206" s="44">
        <v>960449060</v>
      </c>
      <c r="F206" s="44">
        <v>28466</v>
      </c>
      <c r="G206" s="44" t="s">
        <v>31</v>
      </c>
      <c r="H206" s="44"/>
      <c r="I206" s="45">
        <f>+L206*2</f>
        <v>2160</v>
      </c>
      <c r="J206" s="45" t="s">
        <v>32</v>
      </c>
      <c r="K206" s="45" t="s">
        <v>33</v>
      </c>
      <c r="L206" s="46">
        <v>1080</v>
      </c>
      <c r="M206" s="43">
        <f t="shared" si="28"/>
        <v>18.144</v>
      </c>
      <c r="N206" s="46" t="s">
        <v>34</v>
      </c>
      <c r="O206" s="44"/>
      <c r="P206" s="48"/>
      <c r="Q206" s="8">
        <f>VLOOKUP($F206,[1]装箱单!$A:$E,5,0)</f>
        <v>30</v>
      </c>
      <c r="R206" s="8">
        <f>VLOOKUP($F206,[1]装箱单!$A:$F,6,0)</f>
        <v>20</v>
      </c>
      <c r="S206" s="8">
        <f>VLOOKUP($F206,[1]装箱单!$A:$G,7,0)</f>
        <v>28</v>
      </c>
      <c r="T206" s="10">
        <f>VLOOKUP($F206,[1]装箱单!$A:$J,10,0)</f>
        <v>0.0168</v>
      </c>
      <c r="U206" s="11">
        <f t="shared" si="29"/>
        <v>18.144</v>
      </c>
    </row>
    <row r="207" ht="29.1" customHeight="1" spans="1:21">
      <c r="A207" s="40">
        <v>46058</v>
      </c>
      <c r="B207" s="41" t="s">
        <v>40</v>
      </c>
      <c r="C207" s="42" t="s">
        <v>276</v>
      </c>
      <c r="D207" s="43"/>
      <c r="E207" s="44">
        <v>960448995</v>
      </c>
      <c r="F207" s="44">
        <v>28467</v>
      </c>
      <c r="G207" s="44" t="s">
        <v>31</v>
      </c>
      <c r="H207" s="44"/>
      <c r="I207" s="45">
        <f>+L207*2</f>
        <v>1296</v>
      </c>
      <c r="J207" s="45" t="s">
        <v>32</v>
      </c>
      <c r="K207" s="45" t="s">
        <v>33</v>
      </c>
      <c r="L207" s="46">
        <v>648</v>
      </c>
      <c r="M207" s="43">
        <f t="shared" si="28"/>
        <v>10.8864</v>
      </c>
      <c r="N207" s="46" t="s">
        <v>34</v>
      </c>
      <c r="O207" s="44"/>
      <c r="P207" s="48"/>
      <c r="Q207" s="8">
        <f>VLOOKUP($F207,[1]装箱单!$A:$E,5,0)</f>
        <v>30</v>
      </c>
      <c r="R207" s="8">
        <f>VLOOKUP($F207,[1]装箱单!$A:$F,6,0)</f>
        <v>20</v>
      </c>
      <c r="S207" s="8">
        <f>VLOOKUP($F207,[1]装箱单!$A:$G,7,0)</f>
        <v>28</v>
      </c>
      <c r="T207" s="10">
        <f>VLOOKUP($F207,[1]装箱单!$A:$J,10,0)</f>
        <v>0.0168</v>
      </c>
      <c r="U207" s="11">
        <f t="shared" si="29"/>
        <v>10.8864</v>
      </c>
    </row>
    <row r="208" ht="29.1" customHeight="1" spans="1:21">
      <c r="A208" s="40">
        <v>46058</v>
      </c>
      <c r="B208" s="41" t="s">
        <v>138</v>
      </c>
      <c r="C208" s="42" t="s">
        <v>277</v>
      </c>
      <c r="D208" s="43"/>
      <c r="E208" s="44" t="s">
        <v>278</v>
      </c>
      <c r="F208" s="44">
        <v>82165</v>
      </c>
      <c r="G208" s="44" t="s">
        <v>31</v>
      </c>
      <c r="H208" s="44"/>
      <c r="I208" s="45">
        <v>1500</v>
      </c>
      <c r="J208" s="45" t="s">
        <v>32</v>
      </c>
      <c r="K208" s="45" t="s">
        <v>33</v>
      </c>
      <c r="L208" s="46">
        <v>250</v>
      </c>
      <c r="M208" s="43">
        <f t="shared" si="28"/>
        <v>3.577905342</v>
      </c>
      <c r="N208" s="46" t="s">
        <v>34</v>
      </c>
      <c r="O208" s="44"/>
      <c r="P208" s="48"/>
      <c r="Q208" s="8">
        <f>VLOOKUP($F208,[1]装箱单!$A:$E,5,0)</f>
        <v>25.72</v>
      </c>
      <c r="R208" s="8">
        <f>VLOOKUP($F208,[1]装箱单!$A:$F,6,0)</f>
        <v>19.69</v>
      </c>
      <c r="S208" s="8">
        <f>VLOOKUP($F208,[1]装箱单!$A:$G,7,0)</f>
        <v>28.26</v>
      </c>
      <c r="T208" s="10">
        <f>VLOOKUP($F208,[1]装箱单!$A:$J,10,0)</f>
        <v>0.014311621368</v>
      </c>
      <c r="U208" s="11">
        <f t="shared" si="29"/>
        <v>3.577905342</v>
      </c>
    </row>
    <row r="209" ht="29.1" customHeight="1" spans="1:21">
      <c r="A209" s="40">
        <v>46058</v>
      </c>
      <c r="B209" s="41" t="s">
        <v>177</v>
      </c>
      <c r="C209" s="42" t="s">
        <v>297</v>
      </c>
      <c r="D209" s="43"/>
      <c r="E209" s="44">
        <v>8150972747</v>
      </c>
      <c r="F209" s="44" t="s">
        <v>179</v>
      </c>
      <c r="G209" s="44" t="s">
        <v>31</v>
      </c>
      <c r="H209" s="44"/>
      <c r="I209" s="45">
        <v>100824</v>
      </c>
      <c r="J209" s="45" t="s">
        <v>32</v>
      </c>
      <c r="K209" s="45" t="s">
        <v>33</v>
      </c>
      <c r="L209" s="46">
        <f>4201-705</f>
        <v>3496</v>
      </c>
      <c r="M209" s="43">
        <f t="shared" si="28"/>
        <v>46.493304</v>
      </c>
      <c r="N209" s="46" t="s">
        <v>34</v>
      </c>
      <c r="O209" s="44"/>
      <c r="P209" s="48"/>
      <c r="Q209" s="8">
        <f>VLOOKUP($F209,[1]装箱单!$A:$E,5,0)</f>
        <v>31</v>
      </c>
      <c r="R209" s="8">
        <f>VLOOKUP($F209,[1]装箱单!$A:$F,6,0)</f>
        <v>22</v>
      </c>
      <c r="S209" s="8">
        <f>VLOOKUP($F209,[1]装箱单!$A:$G,7,0)</f>
        <v>19.5</v>
      </c>
      <c r="T209" s="10">
        <f>VLOOKUP($F209,[1]装箱单!$A:$J,10,0)</f>
        <v>0.013299</v>
      </c>
      <c r="U209" s="11">
        <f t="shared" si="29"/>
        <v>46.493304</v>
      </c>
    </row>
    <row r="210" ht="29.1" customHeight="1" spans="1:21">
      <c r="A210" s="40">
        <v>46058</v>
      </c>
      <c r="B210" s="41" t="s">
        <v>298</v>
      </c>
      <c r="C210" s="42" t="s">
        <v>299</v>
      </c>
      <c r="D210" s="43"/>
      <c r="E210" s="44"/>
      <c r="F210" s="44" t="s">
        <v>45</v>
      </c>
      <c r="G210" s="44" t="s">
        <v>31</v>
      </c>
      <c r="H210" s="44"/>
      <c r="I210" s="45">
        <v>20016</v>
      </c>
      <c r="J210" s="45" t="s">
        <v>32</v>
      </c>
      <c r="K210" s="45" t="s">
        <v>33</v>
      </c>
      <c r="L210" s="46">
        <v>1112</v>
      </c>
      <c r="M210" s="43">
        <f t="shared" si="28"/>
        <v>6.44183001954</v>
      </c>
      <c r="N210" s="46" t="s">
        <v>34</v>
      </c>
      <c r="O210" s="44"/>
      <c r="P210" s="48"/>
      <c r="Q210" s="8">
        <f>VLOOKUP($F210,[1]装箱单!$A:$E,5,0)</f>
        <v>32.385</v>
      </c>
      <c r="R210" s="8">
        <f>VLOOKUP($F210,[1]装箱单!$A:$F,6,0)</f>
        <v>18.78</v>
      </c>
      <c r="S210" s="8">
        <f>VLOOKUP($F210,[1]装箱单!$A:$G,7,0)</f>
        <v>9.525</v>
      </c>
      <c r="T210" s="10">
        <f>VLOOKUP($F210,[1]装箱单!$A:$J,10,0)</f>
        <v>0.0057930126075</v>
      </c>
      <c r="U210" s="11">
        <f t="shared" si="29"/>
        <v>6.44183001954</v>
      </c>
    </row>
    <row r="211" ht="29.1" customHeight="1" spans="1:21">
      <c r="A211" s="40">
        <v>46058</v>
      </c>
      <c r="B211" s="41" t="s">
        <v>77</v>
      </c>
      <c r="C211" s="42" t="s">
        <v>300</v>
      </c>
      <c r="D211" s="43"/>
      <c r="E211" s="44" t="s">
        <v>301</v>
      </c>
      <c r="F211" s="44" t="s">
        <v>45</v>
      </c>
      <c r="G211" s="44" t="s">
        <v>31</v>
      </c>
      <c r="H211" s="44"/>
      <c r="I211" s="45">
        <v>9360</v>
      </c>
      <c r="J211" s="45" t="s">
        <v>32</v>
      </c>
      <c r="K211" s="45" t="s">
        <v>33</v>
      </c>
      <c r="L211" s="46">
        <f t="shared" ref="L211:L223" si="30">+I211/18</f>
        <v>520</v>
      </c>
      <c r="M211" s="43">
        <f t="shared" si="28"/>
        <v>3.0123665559</v>
      </c>
      <c r="N211" s="46" t="s">
        <v>34</v>
      </c>
      <c r="O211" s="44"/>
      <c r="P211" s="48"/>
      <c r="Q211" s="8">
        <f>VLOOKUP($F211,[1]装箱单!$A:$E,5,0)</f>
        <v>32.385</v>
      </c>
      <c r="R211" s="8">
        <f>VLOOKUP($F211,[1]装箱单!$A:$F,6,0)</f>
        <v>18.78</v>
      </c>
      <c r="S211" s="8">
        <f>VLOOKUP($F211,[1]装箱单!$A:$G,7,0)</f>
        <v>9.525</v>
      </c>
      <c r="T211" s="10">
        <f>VLOOKUP($F211,[1]装箱单!$A:$J,10,0)</f>
        <v>0.0057930126075</v>
      </c>
      <c r="U211" s="11">
        <f t="shared" si="29"/>
        <v>3.0123665559</v>
      </c>
    </row>
    <row r="212" ht="29.1" customHeight="1" spans="1:21">
      <c r="A212" s="40">
        <v>46058</v>
      </c>
      <c r="B212" s="41" t="s">
        <v>77</v>
      </c>
      <c r="C212" s="42" t="s">
        <v>300</v>
      </c>
      <c r="D212" s="43"/>
      <c r="E212" s="44" t="s">
        <v>301</v>
      </c>
      <c r="F212" s="44" t="s">
        <v>45</v>
      </c>
      <c r="G212" s="44" t="s">
        <v>31</v>
      </c>
      <c r="H212" s="44"/>
      <c r="I212" s="45">
        <v>7020</v>
      </c>
      <c r="J212" s="45" t="s">
        <v>32</v>
      </c>
      <c r="K212" s="45" t="s">
        <v>33</v>
      </c>
      <c r="L212" s="46">
        <f t="shared" si="30"/>
        <v>390</v>
      </c>
      <c r="M212" s="43">
        <f t="shared" si="28"/>
        <v>2.259274916925</v>
      </c>
      <c r="N212" s="46" t="s">
        <v>34</v>
      </c>
      <c r="O212" s="44"/>
      <c r="P212" s="48"/>
      <c r="Q212" s="8">
        <f>VLOOKUP($F212,[1]装箱单!$A:$E,5,0)</f>
        <v>32.385</v>
      </c>
      <c r="R212" s="8">
        <f>VLOOKUP($F212,[1]装箱单!$A:$F,6,0)</f>
        <v>18.78</v>
      </c>
      <c r="S212" s="8">
        <f>VLOOKUP($F212,[1]装箱单!$A:$G,7,0)</f>
        <v>9.525</v>
      </c>
      <c r="T212" s="10">
        <f>VLOOKUP($F212,[1]装箱单!$A:$J,10,0)</f>
        <v>0.0057930126075</v>
      </c>
      <c r="U212" s="11">
        <f t="shared" si="29"/>
        <v>2.259274916925</v>
      </c>
    </row>
    <row r="213" ht="29.1" customHeight="1" spans="1:21">
      <c r="A213" s="40">
        <v>46058</v>
      </c>
      <c r="B213" s="41" t="s">
        <v>77</v>
      </c>
      <c r="C213" s="42" t="s">
        <v>300</v>
      </c>
      <c r="D213" s="43"/>
      <c r="E213" s="44" t="s">
        <v>301</v>
      </c>
      <c r="F213" s="44" t="s">
        <v>45</v>
      </c>
      <c r="G213" s="44" t="s">
        <v>31</v>
      </c>
      <c r="H213" s="44"/>
      <c r="I213" s="45">
        <v>9360</v>
      </c>
      <c r="J213" s="45" t="s">
        <v>32</v>
      </c>
      <c r="K213" s="45" t="s">
        <v>33</v>
      </c>
      <c r="L213" s="46">
        <f t="shared" si="30"/>
        <v>520</v>
      </c>
      <c r="M213" s="43">
        <f t="shared" si="28"/>
        <v>3.0123665559</v>
      </c>
      <c r="N213" s="46" t="s">
        <v>34</v>
      </c>
      <c r="O213" s="44"/>
      <c r="P213" s="48"/>
      <c r="Q213" s="8">
        <f>VLOOKUP($F213,[1]装箱单!$A:$E,5,0)</f>
        <v>32.385</v>
      </c>
      <c r="R213" s="8">
        <f>VLOOKUP($F213,[1]装箱单!$A:$F,6,0)</f>
        <v>18.78</v>
      </c>
      <c r="S213" s="8">
        <f>VLOOKUP($F213,[1]装箱单!$A:$G,7,0)</f>
        <v>9.525</v>
      </c>
      <c r="T213" s="10">
        <f>VLOOKUP($F213,[1]装箱单!$A:$J,10,0)</f>
        <v>0.0057930126075</v>
      </c>
      <c r="U213" s="11">
        <f t="shared" si="29"/>
        <v>3.0123665559</v>
      </c>
    </row>
    <row r="214" ht="29.1" customHeight="1" spans="1:21">
      <c r="A214" s="40">
        <v>46058</v>
      </c>
      <c r="B214" s="41" t="s">
        <v>77</v>
      </c>
      <c r="C214" s="42" t="s">
        <v>300</v>
      </c>
      <c r="D214" s="43"/>
      <c r="E214" s="44" t="s">
        <v>301</v>
      </c>
      <c r="F214" s="44" t="s">
        <v>45</v>
      </c>
      <c r="G214" s="44" t="s">
        <v>31</v>
      </c>
      <c r="H214" s="44"/>
      <c r="I214" s="45">
        <v>10530</v>
      </c>
      <c r="J214" s="45" t="s">
        <v>32</v>
      </c>
      <c r="K214" s="45" t="s">
        <v>33</v>
      </c>
      <c r="L214" s="46">
        <f t="shared" si="30"/>
        <v>585</v>
      </c>
      <c r="M214" s="43">
        <f t="shared" si="28"/>
        <v>3.3889123753875</v>
      </c>
      <c r="N214" s="46" t="s">
        <v>34</v>
      </c>
      <c r="O214" s="44"/>
      <c r="P214" s="48"/>
      <c r="Q214" s="8">
        <f>VLOOKUP($F214,[1]装箱单!$A:$E,5,0)</f>
        <v>32.385</v>
      </c>
      <c r="R214" s="8">
        <f>VLOOKUP($F214,[1]装箱单!$A:$F,6,0)</f>
        <v>18.78</v>
      </c>
      <c r="S214" s="8">
        <f>VLOOKUP($F214,[1]装箱单!$A:$G,7,0)</f>
        <v>9.525</v>
      </c>
      <c r="T214" s="10">
        <f>VLOOKUP($F214,[1]装箱单!$A:$J,10,0)</f>
        <v>0.0057930126075</v>
      </c>
      <c r="U214" s="11">
        <f t="shared" si="29"/>
        <v>3.3889123753875</v>
      </c>
    </row>
    <row r="215" ht="29.1" customHeight="1" spans="1:21">
      <c r="A215" s="40">
        <v>46058</v>
      </c>
      <c r="B215" s="41" t="s">
        <v>77</v>
      </c>
      <c r="C215" s="42" t="s">
        <v>300</v>
      </c>
      <c r="D215" s="43"/>
      <c r="E215" s="44" t="s">
        <v>301</v>
      </c>
      <c r="F215" s="44" t="s">
        <v>45</v>
      </c>
      <c r="G215" s="44" t="s">
        <v>31</v>
      </c>
      <c r="H215" s="44"/>
      <c r="I215" s="45">
        <v>7020</v>
      </c>
      <c r="J215" s="45" t="s">
        <v>32</v>
      </c>
      <c r="K215" s="45" t="s">
        <v>33</v>
      </c>
      <c r="L215" s="46">
        <f t="shared" si="30"/>
        <v>390</v>
      </c>
      <c r="M215" s="43">
        <f t="shared" si="28"/>
        <v>2.259274916925</v>
      </c>
      <c r="N215" s="46" t="s">
        <v>34</v>
      </c>
      <c r="O215" s="44"/>
      <c r="P215" s="48"/>
      <c r="Q215" s="8">
        <f>VLOOKUP($F215,[1]装箱单!$A:$E,5,0)</f>
        <v>32.385</v>
      </c>
      <c r="R215" s="8">
        <f>VLOOKUP($F215,[1]装箱单!$A:$F,6,0)</f>
        <v>18.78</v>
      </c>
      <c r="S215" s="8">
        <f>VLOOKUP($F215,[1]装箱单!$A:$G,7,0)</f>
        <v>9.525</v>
      </c>
      <c r="T215" s="10">
        <f>VLOOKUP($F215,[1]装箱单!$A:$J,10,0)</f>
        <v>0.0057930126075</v>
      </c>
      <c r="U215" s="11">
        <f t="shared" si="29"/>
        <v>2.259274916925</v>
      </c>
    </row>
    <row r="216" ht="29.1" customHeight="1" spans="1:21">
      <c r="A216" s="40">
        <v>46058</v>
      </c>
      <c r="B216" s="41" t="s">
        <v>77</v>
      </c>
      <c r="C216" s="42" t="s">
        <v>300</v>
      </c>
      <c r="D216" s="43"/>
      <c r="E216" s="44" t="s">
        <v>301</v>
      </c>
      <c r="F216" s="44" t="s">
        <v>45</v>
      </c>
      <c r="G216" s="44" t="s">
        <v>31</v>
      </c>
      <c r="H216" s="44"/>
      <c r="I216" s="45">
        <v>3510</v>
      </c>
      <c r="J216" s="45" t="s">
        <v>32</v>
      </c>
      <c r="K216" s="45" t="s">
        <v>33</v>
      </c>
      <c r="L216" s="46">
        <f t="shared" si="30"/>
        <v>195</v>
      </c>
      <c r="M216" s="43">
        <f t="shared" si="28"/>
        <v>1.1296374584625</v>
      </c>
      <c r="N216" s="46" t="s">
        <v>34</v>
      </c>
      <c r="O216" s="44"/>
      <c r="P216" s="48"/>
      <c r="Q216" s="8">
        <f>VLOOKUP($F216,[1]装箱单!$A:$E,5,0)</f>
        <v>32.385</v>
      </c>
      <c r="R216" s="8">
        <f>VLOOKUP($F216,[1]装箱单!$A:$F,6,0)</f>
        <v>18.78</v>
      </c>
      <c r="S216" s="8">
        <f>VLOOKUP($F216,[1]装箱单!$A:$G,7,0)</f>
        <v>9.525</v>
      </c>
      <c r="T216" s="10">
        <f>VLOOKUP($F216,[1]装箱单!$A:$J,10,0)</f>
        <v>0.0057930126075</v>
      </c>
      <c r="U216" s="11">
        <f t="shared" si="29"/>
        <v>1.1296374584625</v>
      </c>
    </row>
    <row r="217" ht="29.1" customHeight="1" spans="1:21">
      <c r="A217" s="40">
        <v>46058</v>
      </c>
      <c r="B217" s="41" t="s">
        <v>77</v>
      </c>
      <c r="C217" s="42" t="s">
        <v>300</v>
      </c>
      <c r="D217" s="43"/>
      <c r="E217" s="44" t="s">
        <v>301</v>
      </c>
      <c r="F217" s="44" t="s">
        <v>45</v>
      </c>
      <c r="G217" s="44" t="s">
        <v>31</v>
      </c>
      <c r="H217" s="44"/>
      <c r="I217" s="45">
        <v>3510</v>
      </c>
      <c r="J217" s="45" t="s">
        <v>32</v>
      </c>
      <c r="K217" s="45" t="s">
        <v>33</v>
      </c>
      <c r="L217" s="46">
        <f t="shared" si="30"/>
        <v>195</v>
      </c>
      <c r="M217" s="43">
        <f t="shared" si="28"/>
        <v>1.1296374584625</v>
      </c>
      <c r="N217" s="46" t="s">
        <v>34</v>
      </c>
      <c r="O217" s="44"/>
      <c r="P217" s="48"/>
      <c r="Q217" s="8">
        <f>VLOOKUP($F217,[1]装箱单!$A:$E,5,0)</f>
        <v>32.385</v>
      </c>
      <c r="R217" s="8">
        <f>VLOOKUP($F217,[1]装箱单!$A:$F,6,0)</f>
        <v>18.78</v>
      </c>
      <c r="S217" s="8">
        <f>VLOOKUP($F217,[1]装箱单!$A:$G,7,0)</f>
        <v>9.525</v>
      </c>
      <c r="T217" s="10">
        <f>VLOOKUP($F217,[1]装箱单!$A:$J,10,0)</f>
        <v>0.0057930126075</v>
      </c>
      <c r="U217" s="11">
        <f t="shared" si="29"/>
        <v>1.1296374584625</v>
      </c>
    </row>
    <row r="218" ht="29.1" customHeight="1" spans="1:21">
      <c r="A218" s="40">
        <v>46058</v>
      </c>
      <c r="B218" s="41" t="s">
        <v>77</v>
      </c>
      <c r="C218" s="42" t="s">
        <v>302</v>
      </c>
      <c r="D218" s="43"/>
      <c r="E218" s="44" t="s">
        <v>303</v>
      </c>
      <c r="F218" s="44" t="s">
        <v>45</v>
      </c>
      <c r="G218" s="44" t="s">
        <v>31</v>
      </c>
      <c r="H218" s="44"/>
      <c r="I218" s="45">
        <v>11700</v>
      </c>
      <c r="J218" s="45" t="s">
        <v>32</v>
      </c>
      <c r="K218" s="45" t="s">
        <v>33</v>
      </c>
      <c r="L218" s="46">
        <f t="shared" si="30"/>
        <v>650</v>
      </c>
      <c r="M218" s="43">
        <f t="shared" si="28"/>
        <v>3.765458194875</v>
      </c>
      <c r="N218" s="46" t="s">
        <v>34</v>
      </c>
      <c r="O218" s="44"/>
      <c r="P218" s="48"/>
      <c r="Q218" s="8">
        <f>VLOOKUP($F218,[1]装箱单!$A:$E,5,0)</f>
        <v>32.385</v>
      </c>
      <c r="R218" s="8">
        <f>VLOOKUP($F218,[1]装箱单!$A:$F,6,0)</f>
        <v>18.78</v>
      </c>
      <c r="S218" s="8">
        <f>VLOOKUP($F218,[1]装箱单!$A:$G,7,0)</f>
        <v>9.525</v>
      </c>
      <c r="T218" s="10">
        <f>VLOOKUP($F218,[1]装箱单!$A:$J,10,0)</f>
        <v>0.0057930126075</v>
      </c>
      <c r="U218" s="11">
        <f t="shared" si="29"/>
        <v>3.765458194875</v>
      </c>
    </row>
    <row r="219" ht="29.1" customHeight="1" spans="1:21">
      <c r="A219" s="40">
        <v>46058</v>
      </c>
      <c r="B219" s="41" t="s">
        <v>77</v>
      </c>
      <c r="C219" s="42" t="s">
        <v>302</v>
      </c>
      <c r="D219" s="43"/>
      <c r="E219" s="44" t="s">
        <v>303</v>
      </c>
      <c r="F219" s="44" t="s">
        <v>45</v>
      </c>
      <c r="G219" s="44" t="s">
        <v>31</v>
      </c>
      <c r="H219" s="44"/>
      <c r="I219" s="45">
        <v>2340</v>
      </c>
      <c r="J219" s="45" t="s">
        <v>32</v>
      </c>
      <c r="K219" s="45" t="s">
        <v>33</v>
      </c>
      <c r="L219" s="46">
        <f t="shared" si="30"/>
        <v>130</v>
      </c>
      <c r="M219" s="43">
        <f t="shared" si="28"/>
        <v>0.753091638975</v>
      </c>
      <c r="N219" s="46" t="s">
        <v>34</v>
      </c>
      <c r="O219" s="44"/>
      <c r="P219" s="48"/>
      <c r="Q219" s="8">
        <f>VLOOKUP($F219,[1]装箱单!$A:$E,5,0)</f>
        <v>32.385</v>
      </c>
      <c r="R219" s="8">
        <f>VLOOKUP($F219,[1]装箱单!$A:$F,6,0)</f>
        <v>18.78</v>
      </c>
      <c r="S219" s="8">
        <f>VLOOKUP($F219,[1]装箱单!$A:$G,7,0)</f>
        <v>9.525</v>
      </c>
      <c r="T219" s="10">
        <f>VLOOKUP($F219,[1]装箱单!$A:$J,10,0)</f>
        <v>0.0057930126075</v>
      </c>
      <c r="U219" s="11">
        <f t="shared" si="29"/>
        <v>0.753091638975</v>
      </c>
    </row>
    <row r="220" ht="29.1" customHeight="1" spans="1:21">
      <c r="A220" s="40">
        <v>46058</v>
      </c>
      <c r="B220" s="41" t="s">
        <v>77</v>
      </c>
      <c r="C220" s="42" t="s">
        <v>302</v>
      </c>
      <c r="D220" s="43"/>
      <c r="E220" s="44" t="s">
        <v>303</v>
      </c>
      <c r="F220" s="44" t="s">
        <v>45</v>
      </c>
      <c r="G220" s="44" t="s">
        <v>31</v>
      </c>
      <c r="H220" s="44"/>
      <c r="I220" s="45">
        <v>7020</v>
      </c>
      <c r="J220" s="45" t="s">
        <v>32</v>
      </c>
      <c r="K220" s="45" t="s">
        <v>33</v>
      </c>
      <c r="L220" s="46">
        <f t="shared" si="30"/>
        <v>390</v>
      </c>
      <c r="M220" s="43">
        <f t="shared" si="28"/>
        <v>2.259274916925</v>
      </c>
      <c r="N220" s="46" t="s">
        <v>34</v>
      </c>
      <c r="O220" s="44"/>
      <c r="P220" s="48"/>
      <c r="Q220" s="8">
        <f>VLOOKUP($F220,[1]装箱单!$A:$E,5,0)</f>
        <v>32.385</v>
      </c>
      <c r="R220" s="8">
        <f>VLOOKUP($F220,[1]装箱单!$A:$F,6,0)</f>
        <v>18.78</v>
      </c>
      <c r="S220" s="8">
        <f>VLOOKUP($F220,[1]装箱单!$A:$G,7,0)</f>
        <v>9.525</v>
      </c>
      <c r="T220" s="10">
        <f>VLOOKUP($F220,[1]装箱单!$A:$J,10,0)</f>
        <v>0.0057930126075</v>
      </c>
      <c r="U220" s="11">
        <f t="shared" si="29"/>
        <v>2.259274916925</v>
      </c>
    </row>
    <row r="221" ht="29.1" customHeight="1" spans="1:21">
      <c r="A221" s="40">
        <v>46058</v>
      </c>
      <c r="B221" s="41" t="s">
        <v>77</v>
      </c>
      <c r="C221" s="42" t="s">
        <v>302</v>
      </c>
      <c r="D221" s="43"/>
      <c r="E221" s="44" t="s">
        <v>303</v>
      </c>
      <c r="F221" s="44" t="s">
        <v>45</v>
      </c>
      <c r="G221" s="44" t="s">
        <v>31</v>
      </c>
      <c r="H221" s="44"/>
      <c r="I221" s="45">
        <v>8190</v>
      </c>
      <c r="J221" s="45" t="s">
        <v>32</v>
      </c>
      <c r="K221" s="45" t="s">
        <v>33</v>
      </c>
      <c r="L221" s="46">
        <f t="shared" si="30"/>
        <v>455</v>
      </c>
      <c r="M221" s="43">
        <f t="shared" si="28"/>
        <v>2.6358207364125</v>
      </c>
      <c r="N221" s="46" t="s">
        <v>34</v>
      </c>
      <c r="O221" s="44"/>
      <c r="P221" s="48"/>
      <c r="Q221" s="8">
        <f>VLOOKUP($F221,[1]装箱单!$A:$E,5,0)</f>
        <v>32.385</v>
      </c>
      <c r="R221" s="8">
        <f>VLOOKUP($F221,[1]装箱单!$A:$F,6,0)</f>
        <v>18.78</v>
      </c>
      <c r="S221" s="8">
        <f>VLOOKUP($F221,[1]装箱单!$A:$G,7,0)</f>
        <v>9.525</v>
      </c>
      <c r="T221" s="10">
        <f>VLOOKUP($F221,[1]装箱单!$A:$J,10,0)</f>
        <v>0.0057930126075</v>
      </c>
      <c r="U221" s="11">
        <f t="shared" si="29"/>
        <v>2.6358207364125</v>
      </c>
    </row>
    <row r="222" ht="29.1" customHeight="1" spans="1:21">
      <c r="A222" s="40">
        <v>46058</v>
      </c>
      <c r="B222" s="41" t="s">
        <v>77</v>
      </c>
      <c r="C222" s="42" t="s">
        <v>302</v>
      </c>
      <c r="D222" s="43"/>
      <c r="E222" s="44" t="s">
        <v>303</v>
      </c>
      <c r="F222" s="44" t="s">
        <v>45</v>
      </c>
      <c r="G222" s="44" t="s">
        <v>31</v>
      </c>
      <c r="H222" s="44"/>
      <c r="I222" s="45">
        <v>7020</v>
      </c>
      <c r="J222" s="45" t="s">
        <v>32</v>
      </c>
      <c r="K222" s="45" t="s">
        <v>33</v>
      </c>
      <c r="L222" s="46">
        <f t="shared" si="30"/>
        <v>390</v>
      </c>
      <c r="M222" s="43">
        <f t="shared" si="28"/>
        <v>2.259274916925</v>
      </c>
      <c r="N222" s="46" t="s">
        <v>34</v>
      </c>
      <c r="O222" s="44"/>
      <c r="P222" s="48"/>
      <c r="Q222" s="8">
        <f>VLOOKUP($F222,[1]装箱单!$A:$E,5,0)</f>
        <v>32.385</v>
      </c>
      <c r="R222" s="8">
        <f>VLOOKUP($F222,[1]装箱单!$A:$F,6,0)</f>
        <v>18.78</v>
      </c>
      <c r="S222" s="8">
        <f>VLOOKUP($F222,[1]装箱单!$A:$G,7,0)</f>
        <v>9.525</v>
      </c>
      <c r="T222" s="10">
        <f>VLOOKUP($F222,[1]装箱单!$A:$J,10,0)</f>
        <v>0.0057930126075</v>
      </c>
      <c r="U222" s="11">
        <f t="shared" si="29"/>
        <v>2.259274916925</v>
      </c>
    </row>
    <row r="223" ht="29.1" customHeight="1" spans="1:21">
      <c r="A223" s="40">
        <v>46058</v>
      </c>
      <c r="B223" s="41" t="s">
        <v>77</v>
      </c>
      <c r="C223" s="42" t="s">
        <v>302</v>
      </c>
      <c r="D223" s="43"/>
      <c r="E223" s="44" t="s">
        <v>303</v>
      </c>
      <c r="F223" s="44" t="s">
        <v>45</v>
      </c>
      <c r="G223" s="44" t="s">
        <v>31</v>
      </c>
      <c r="H223" s="44"/>
      <c r="I223" s="45">
        <v>7020</v>
      </c>
      <c r="J223" s="45" t="s">
        <v>32</v>
      </c>
      <c r="K223" s="45" t="s">
        <v>33</v>
      </c>
      <c r="L223" s="46">
        <f t="shared" si="30"/>
        <v>390</v>
      </c>
      <c r="M223" s="43">
        <f t="shared" si="28"/>
        <v>2.259274916925</v>
      </c>
      <c r="N223" s="46" t="s">
        <v>34</v>
      </c>
      <c r="O223" s="44"/>
      <c r="P223" s="48"/>
      <c r="Q223" s="8">
        <f>VLOOKUP($F223,[1]装箱单!$A:$E,5,0)</f>
        <v>32.385</v>
      </c>
      <c r="R223" s="8">
        <f>VLOOKUP($F223,[1]装箱单!$A:$F,6,0)</f>
        <v>18.78</v>
      </c>
      <c r="S223" s="8">
        <f>VLOOKUP($F223,[1]装箱单!$A:$G,7,0)</f>
        <v>9.525</v>
      </c>
      <c r="T223" s="10">
        <f>VLOOKUP($F223,[1]装箱单!$A:$J,10,0)</f>
        <v>0.0057930126075</v>
      </c>
      <c r="U223" s="11">
        <f t="shared" si="29"/>
        <v>2.259274916925</v>
      </c>
    </row>
    <row r="224" ht="29.1" customHeight="1" spans="1:21">
      <c r="A224" s="40">
        <v>46058</v>
      </c>
      <c r="B224" s="41" t="s">
        <v>77</v>
      </c>
      <c r="C224" s="42" t="s">
        <v>302</v>
      </c>
      <c r="D224" s="43"/>
      <c r="E224" s="44" t="s">
        <v>303</v>
      </c>
      <c r="F224" s="44" t="s">
        <v>111</v>
      </c>
      <c r="G224" s="44" t="s">
        <v>31</v>
      </c>
      <c r="H224" s="44"/>
      <c r="I224" s="45">
        <v>2340</v>
      </c>
      <c r="J224" s="45" t="s">
        <v>32</v>
      </c>
      <c r="K224" s="45" t="s">
        <v>33</v>
      </c>
      <c r="L224" s="46">
        <v>455</v>
      </c>
      <c r="M224" s="43">
        <f t="shared" si="28"/>
        <v>2.6358207364125</v>
      </c>
      <c r="N224" s="46" t="s">
        <v>34</v>
      </c>
      <c r="O224" s="44"/>
      <c r="P224" s="48"/>
      <c r="Q224" s="8">
        <f>VLOOKUP($F224,[1]装箱单!$A:$E,5,0)</f>
        <v>32.385</v>
      </c>
      <c r="R224" s="8">
        <f>VLOOKUP($F224,[1]装箱单!$A:$F,6,0)</f>
        <v>18.78</v>
      </c>
      <c r="S224" s="8">
        <f>VLOOKUP($F224,[1]装箱单!$A:$G,7,0)</f>
        <v>9.525</v>
      </c>
      <c r="T224" s="10">
        <f>VLOOKUP($F224,[1]装箱单!$A:$J,10,0)</f>
        <v>0.0057930126075</v>
      </c>
      <c r="U224" s="11">
        <f t="shared" si="29"/>
        <v>2.6358207364125</v>
      </c>
    </row>
    <row r="225" ht="29.1" customHeight="1" spans="1:21">
      <c r="A225" s="40">
        <v>46058</v>
      </c>
      <c r="B225" s="41" t="s">
        <v>77</v>
      </c>
      <c r="C225" s="42" t="s">
        <v>302</v>
      </c>
      <c r="D225" s="43"/>
      <c r="E225" s="44" t="s">
        <v>303</v>
      </c>
      <c r="F225" s="44" t="s">
        <v>111</v>
      </c>
      <c r="G225" s="44" t="s">
        <v>31</v>
      </c>
      <c r="H225" s="44"/>
      <c r="I225" s="45">
        <v>2340</v>
      </c>
      <c r="J225" s="45" t="s">
        <v>32</v>
      </c>
      <c r="K225" s="45" t="s">
        <v>33</v>
      </c>
      <c r="L225" s="46">
        <v>455</v>
      </c>
      <c r="M225" s="43">
        <f t="shared" si="28"/>
        <v>2.6358207364125</v>
      </c>
      <c r="N225" s="46" t="s">
        <v>34</v>
      </c>
      <c r="O225" s="44"/>
      <c r="P225" s="48"/>
      <c r="Q225" s="8">
        <f>VLOOKUP($F225,[1]装箱单!$A:$E,5,0)</f>
        <v>32.385</v>
      </c>
      <c r="R225" s="8">
        <f>VLOOKUP($F225,[1]装箱单!$A:$F,6,0)</f>
        <v>18.78</v>
      </c>
      <c r="S225" s="8">
        <f>VLOOKUP($F225,[1]装箱单!$A:$G,7,0)</f>
        <v>9.525</v>
      </c>
      <c r="T225" s="10">
        <f>VLOOKUP($F225,[1]装箱单!$A:$J,10,0)</f>
        <v>0.0057930126075</v>
      </c>
      <c r="U225" s="11">
        <f t="shared" si="29"/>
        <v>2.6358207364125</v>
      </c>
    </row>
    <row r="226" ht="29.1" customHeight="1" spans="1:21">
      <c r="A226" s="40"/>
      <c r="B226" s="41"/>
      <c r="C226" s="42"/>
      <c r="D226" s="43"/>
      <c r="E226" s="44"/>
      <c r="F226" s="44"/>
      <c r="G226" s="44"/>
      <c r="H226" s="44"/>
      <c r="I226" s="45"/>
      <c r="J226" s="45"/>
      <c r="K226" s="45"/>
      <c r="L226" s="46"/>
      <c r="M226" s="43">
        <f>SUM(M204:M225)</f>
        <v>141.098746393365</v>
      </c>
      <c r="N226" s="46"/>
      <c r="O226" s="44"/>
      <c r="P226" s="51"/>
    </row>
    <row r="227" ht="29.1" customHeight="1" spans="1:21">
      <c r="A227" s="40">
        <v>46058</v>
      </c>
      <c r="B227" s="41" t="s">
        <v>40</v>
      </c>
      <c r="C227" s="42" t="s">
        <v>295</v>
      </c>
      <c r="D227" s="43"/>
      <c r="E227" s="44">
        <v>960449018</v>
      </c>
      <c r="F227" s="44">
        <v>28466</v>
      </c>
      <c r="G227" s="44" t="s">
        <v>31</v>
      </c>
      <c r="H227" s="44"/>
      <c r="I227" s="45">
        <f>+L227*2</f>
        <v>720</v>
      </c>
      <c r="J227" s="45" t="s">
        <v>32</v>
      </c>
      <c r="K227" s="45" t="s">
        <v>33</v>
      </c>
      <c r="L227" s="46">
        <f>1380-1020</f>
        <v>360</v>
      </c>
      <c r="M227" s="43">
        <f t="shared" ref="M227:M233" si="31">+U227</f>
        <v>6.048</v>
      </c>
      <c r="N227" s="46" t="s">
        <v>34</v>
      </c>
      <c r="O227" s="44"/>
      <c r="P227" s="123" t="s">
        <v>239</v>
      </c>
      <c r="Q227" s="8">
        <f>VLOOKUP($F227,[1]装箱单!$A:$E,5,0)</f>
        <v>30</v>
      </c>
      <c r="R227" s="8">
        <f>VLOOKUP($F227,[1]装箱单!$A:$F,6,0)</f>
        <v>20</v>
      </c>
      <c r="S227" s="8">
        <f>VLOOKUP($F227,[1]装箱单!$A:$G,7,0)</f>
        <v>28</v>
      </c>
      <c r="T227" s="10">
        <f>VLOOKUP($F227,[1]装箱单!$A:$J,10,0)</f>
        <v>0.0168</v>
      </c>
      <c r="U227" s="11">
        <f t="shared" ref="U227:U233" si="32">+T227*L227</f>
        <v>6.048</v>
      </c>
    </row>
    <row r="228" ht="29.1" customHeight="1" spans="1:21">
      <c r="A228" s="40">
        <v>46084</v>
      </c>
      <c r="B228" s="41" t="s">
        <v>40</v>
      </c>
      <c r="C228" s="42" t="s">
        <v>304</v>
      </c>
      <c r="D228" s="43" t="s">
        <v>305</v>
      </c>
      <c r="E228" s="44">
        <v>963687754</v>
      </c>
      <c r="F228" s="44" t="s">
        <v>306</v>
      </c>
      <c r="G228" s="44" t="s">
        <v>31</v>
      </c>
      <c r="H228" s="44"/>
      <c r="I228" s="45">
        <v>630</v>
      </c>
      <c r="J228" s="45" t="s">
        <v>32</v>
      </c>
      <c r="K228" s="45" t="s">
        <v>33</v>
      </c>
      <c r="L228" s="46">
        <v>630</v>
      </c>
      <c r="M228" s="43">
        <f t="shared" si="31"/>
        <v>9.93025352655</v>
      </c>
      <c r="N228" s="46" t="s">
        <v>34</v>
      </c>
      <c r="O228" s="44"/>
      <c r="P228" s="47" t="s">
        <v>307</v>
      </c>
      <c r="Q228" s="8">
        <f>VLOOKUP($F228,[1]装箱单!$A:$E,5,0)</f>
        <v>24.13</v>
      </c>
      <c r="R228" s="8">
        <f>VLOOKUP($F228,[1]装箱单!$A:$F,6,0)</f>
        <v>19.05</v>
      </c>
      <c r="S228" s="8">
        <f>VLOOKUP($F228,[1]装箱单!$A:$G,7,0)</f>
        <v>34.29</v>
      </c>
      <c r="T228" s="10">
        <f>VLOOKUP($F228,[1]装箱单!$A:$J,10,0)</f>
        <v>0.015762307185</v>
      </c>
      <c r="U228" s="11">
        <f t="shared" si="32"/>
        <v>9.93025352655</v>
      </c>
    </row>
    <row r="229" ht="29.1" customHeight="1" spans="1:21">
      <c r="A229" s="40">
        <v>46084</v>
      </c>
      <c r="B229" s="41" t="s">
        <v>308</v>
      </c>
      <c r="C229" s="42" t="s">
        <v>309</v>
      </c>
      <c r="D229" s="43"/>
      <c r="E229" s="44" t="s">
        <v>310</v>
      </c>
      <c r="F229" s="44">
        <v>25250</v>
      </c>
      <c r="G229" s="44" t="s">
        <v>31</v>
      </c>
      <c r="H229" s="44"/>
      <c r="I229" s="45">
        <f>+L229*8</f>
        <v>4000</v>
      </c>
      <c r="J229" s="45" t="s">
        <v>32</v>
      </c>
      <c r="K229" s="45" t="s">
        <v>33</v>
      </c>
      <c r="L229" s="46">
        <v>500</v>
      </c>
      <c r="M229" s="43">
        <f t="shared" si="31"/>
        <v>6.05556</v>
      </c>
      <c r="N229" s="46" t="s">
        <v>34</v>
      </c>
      <c r="O229" s="44"/>
      <c r="P229" s="48"/>
      <c r="Q229" s="8">
        <f>VLOOKUP($F229,[1]装箱单!$A:$E,5,0)</f>
        <v>32.4</v>
      </c>
      <c r="R229" s="8">
        <f>VLOOKUP($F229,[1]装箱单!$A:$F,6,0)</f>
        <v>21</v>
      </c>
      <c r="S229" s="8">
        <f>VLOOKUP($F229,[1]装箱单!$A:$G,7,0)</f>
        <v>17.8</v>
      </c>
      <c r="T229" s="10">
        <f>VLOOKUP($F229,[1]装箱单!$A:$J,10,0)</f>
        <v>0.01211112</v>
      </c>
      <c r="U229" s="11">
        <f t="shared" si="32"/>
        <v>6.05556</v>
      </c>
    </row>
    <row r="230" ht="29.1" customHeight="1" spans="1:21">
      <c r="A230" s="40">
        <v>46084</v>
      </c>
      <c r="B230" s="41" t="s">
        <v>52</v>
      </c>
      <c r="C230" s="42">
        <v>44871</v>
      </c>
      <c r="D230" s="43" t="s">
        <v>311</v>
      </c>
      <c r="E230" s="44"/>
      <c r="F230" s="44">
        <v>570974</v>
      </c>
      <c r="G230" s="44" t="s">
        <v>31</v>
      </c>
      <c r="H230" s="44"/>
      <c r="I230" s="45">
        <f>+L230</f>
        <v>760</v>
      </c>
      <c r="J230" s="45" t="s">
        <v>32</v>
      </c>
      <c r="K230" s="45" t="s">
        <v>33</v>
      </c>
      <c r="L230" s="46">
        <v>760</v>
      </c>
      <c r="M230" s="43">
        <f t="shared" si="31"/>
        <v>65.3026599456</v>
      </c>
      <c r="N230" s="46" t="s">
        <v>34</v>
      </c>
      <c r="O230" s="44"/>
      <c r="P230" s="48"/>
      <c r="Q230" s="8">
        <f>VLOOKUP($F230,[1]装箱单!$A:$E,5,0)</f>
        <v>59.05</v>
      </c>
      <c r="R230" s="8">
        <f>VLOOKUP($F230,[1]装箱单!$A:$F,6,0)</f>
        <v>26.04</v>
      </c>
      <c r="S230" s="8">
        <f>VLOOKUP($F230,[1]装箱单!$A:$G,7,0)</f>
        <v>55.88</v>
      </c>
      <c r="T230" s="10">
        <f>VLOOKUP($F230,[1]装箱单!$A:$J,10,0)</f>
        <v>0.08592455256</v>
      </c>
      <c r="U230" s="11">
        <f t="shared" si="32"/>
        <v>65.3026599456</v>
      </c>
    </row>
    <row r="231" ht="29.1" customHeight="1" spans="1:21">
      <c r="A231" s="40">
        <v>46084</v>
      </c>
      <c r="B231" s="41" t="s">
        <v>177</v>
      </c>
      <c r="C231" s="42" t="s">
        <v>297</v>
      </c>
      <c r="D231" s="43" t="s">
        <v>312</v>
      </c>
      <c r="E231" s="44">
        <v>8150972747</v>
      </c>
      <c r="F231" s="44" t="s">
        <v>179</v>
      </c>
      <c r="G231" s="44" t="s">
        <v>31</v>
      </c>
      <c r="H231" s="44"/>
      <c r="I231" s="45">
        <f>+L231*24</f>
        <v>16920</v>
      </c>
      <c r="J231" s="45" t="s">
        <v>32</v>
      </c>
      <c r="K231" s="45" t="s">
        <v>33</v>
      </c>
      <c r="L231" s="46">
        <f>4201-3496</f>
        <v>705</v>
      </c>
      <c r="M231" s="43">
        <f t="shared" si="31"/>
        <v>9.375795</v>
      </c>
      <c r="N231" s="46" t="s">
        <v>34</v>
      </c>
      <c r="O231" s="44"/>
      <c r="P231" s="48"/>
      <c r="Q231" s="8">
        <f>VLOOKUP($F231,[1]装箱单!$A:$E,5,0)</f>
        <v>31</v>
      </c>
      <c r="R231" s="8">
        <f>VLOOKUP($F231,[1]装箱单!$A:$F,6,0)</f>
        <v>22</v>
      </c>
      <c r="S231" s="8">
        <f>VLOOKUP($F231,[1]装箱单!$A:$G,7,0)</f>
        <v>19.5</v>
      </c>
      <c r="T231" s="10">
        <f>VLOOKUP($F231,[1]装箱单!$A:$J,10,0)</f>
        <v>0.013299</v>
      </c>
      <c r="U231" s="11">
        <f t="shared" si="32"/>
        <v>9.375795</v>
      </c>
    </row>
    <row r="232" ht="29.1" customHeight="1" spans="1:21">
      <c r="A232" s="40">
        <v>46084</v>
      </c>
      <c r="B232" s="41" t="s">
        <v>118</v>
      </c>
      <c r="C232" s="42" t="s">
        <v>313</v>
      </c>
      <c r="D232" s="43" t="s">
        <v>314</v>
      </c>
      <c r="E232" s="44">
        <v>5925678</v>
      </c>
      <c r="F232" s="44" t="s">
        <v>122</v>
      </c>
      <c r="G232" s="44" t="s">
        <v>31</v>
      </c>
      <c r="H232" s="44"/>
      <c r="I232" s="45">
        <f>+L232*36</f>
        <v>94896</v>
      </c>
      <c r="J232" s="45" t="s">
        <v>32</v>
      </c>
      <c r="K232" s="45" t="s">
        <v>33</v>
      </c>
      <c r="L232" s="76">
        <v>2636</v>
      </c>
      <c r="M232" s="43">
        <f t="shared" si="31"/>
        <v>31.3088148016</v>
      </c>
      <c r="N232" s="46" t="s">
        <v>34</v>
      </c>
      <c r="O232" s="44" t="s">
        <v>315</v>
      </c>
      <c r="P232" s="48"/>
      <c r="Q232" s="8">
        <f>VLOOKUP($F232,[1]装箱单!$A:$E,5,0)</f>
        <v>31.75</v>
      </c>
      <c r="R232" s="8">
        <f>VLOOKUP($F232,[1]装箱单!$A:$F,6,0)</f>
        <v>18.41</v>
      </c>
      <c r="S232" s="8">
        <f>VLOOKUP($F232,[1]装箱单!$A:$G,7,0)</f>
        <v>20.32</v>
      </c>
      <c r="T232" s="10">
        <f>VLOOKUP($F232,[1]装箱单!$A:$J,10,0)</f>
        <v>0.0118773956</v>
      </c>
      <c r="U232" s="11">
        <f t="shared" si="32"/>
        <v>31.3088148016</v>
      </c>
    </row>
    <row r="233" ht="29.1" customHeight="1" spans="1:21">
      <c r="A233" s="40">
        <v>46084</v>
      </c>
      <c r="B233" s="41" t="s">
        <v>316</v>
      </c>
      <c r="C233" s="42" t="s">
        <v>317</v>
      </c>
      <c r="D233" s="43" t="s">
        <v>318</v>
      </c>
      <c r="E233" s="44">
        <v>36137</v>
      </c>
      <c r="F233" s="44" t="s">
        <v>279</v>
      </c>
      <c r="G233" s="44" t="s">
        <v>31</v>
      </c>
      <c r="H233" s="44"/>
      <c r="I233" s="45">
        <f>+L233*18</f>
        <v>24012</v>
      </c>
      <c r="J233" s="45" t="s">
        <v>32</v>
      </c>
      <c r="K233" s="45" t="s">
        <v>33</v>
      </c>
      <c r="L233" s="46">
        <v>1334</v>
      </c>
      <c r="M233" s="43">
        <f t="shared" si="31"/>
        <v>7.727878818405</v>
      </c>
      <c r="N233" s="46" t="s">
        <v>34</v>
      </c>
      <c r="O233" s="44"/>
      <c r="P233" s="48"/>
      <c r="Q233" s="8">
        <f>VLOOKUP($F233,[1]装箱单!$A:$E,5,0)</f>
        <v>32.385</v>
      </c>
      <c r="R233" s="8">
        <f>VLOOKUP($F233,[1]装箱单!$A:$F,6,0)</f>
        <v>18.78</v>
      </c>
      <c r="S233" s="8">
        <f>VLOOKUP($F233,[1]装箱单!$A:$G,7,0)</f>
        <v>9.525</v>
      </c>
      <c r="T233" s="10">
        <f>VLOOKUP($F233,[1]装箱单!$A:$J,10,0)</f>
        <v>0.0057930126075</v>
      </c>
      <c r="U233" s="11">
        <f t="shared" si="32"/>
        <v>7.727878818405</v>
      </c>
    </row>
    <row r="234" ht="29.1" customHeight="1" spans="1:21">
      <c r="A234" s="40"/>
      <c r="B234" s="41"/>
      <c r="C234" s="42"/>
      <c r="D234" s="43"/>
      <c r="E234" s="44"/>
      <c r="F234" s="44"/>
      <c r="G234" s="44"/>
      <c r="H234" s="44"/>
      <c r="I234" s="45"/>
      <c r="J234" s="45"/>
      <c r="K234" s="45"/>
      <c r="L234" s="46"/>
      <c r="M234" s="43">
        <f>SUM(M228:M233)</f>
        <v>129.700962092155</v>
      </c>
      <c r="N234" s="46"/>
      <c r="O234" s="44"/>
      <c r="P234" s="51"/>
    </row>
    <row r="235" ht="29.1" customHeight="1" spans="1:21">
      <c r="A235" s="40">
        <v>46085</v>
      </c>
      <c r="B235" s="41" t="s">
        <v>319</v>
      </c>
      <c r="C235" s="42" t="s">
        <v>320</v>
      </c>
      <c r="D235" s="43" t="s">
        <v>321</v>
      </c>
      <c r="E235" s="44">
        <v>15957038</v>
      </c>
      <c r="F235" s="44" t="s">
        <v>175</v>
      </c>
      <c r="G235" s="44" t="s">
        <v>31</v>
      </c>
      <c r="H235" s="44"/>
      <c r="I235" s="45">
        <v>200</v>
      </c>
      <c r="J235" s="45" t="s">
        <v>32</v>
      </c>
      <c r="K235" s="45" t="s">
        <v>33</v>
      </c>
      <c r="L235" s="46">
        <v>50</v>
      </c>
      <c r="M235" s="43">
        <f t="shared" ref="M235:M263" si="33">+U235</f>
        <v>5.0247603133625</v>
      </c>
      <c r="N235" s="46" t="s">
        <v>34</v>
      </c>
      <c r="O235" s="44"/>
      <c r="P235" s="47" t="s">
        <v>322</v>
      </c>
      <c r="Q235" s="8">
        <f>VLOOKUP($F235,[1]装箱单!$A:$E,5,0)</f>
        <v>64.135</v>
      </c>
      <c r="R235" s="8">
        <f>VLOOKUP($F235,[1]装箱单!$A:$F,6,0)</f>
        <v>36.83</v>
      </c>
      <c r="S235" s="8">
        <f>VLOOKUP($F235,[1]装箱单!$A:$G,7,0)</f>
        <v>42.545</v>
      </c>
      <c r="T235" s="10">
        <f>VLOOKUP($F235,[1]装箱单!$A:$J,10,0)</f>
        <v>0.10049520626725</v>
      </c>
      <c r="U235" s="11">
        <f t="shared" ref="U235:U263" si="34">+T235*L235</f>
        <v>5.0247603133625</v>
      </c>
    </row>
    <row r="236" ht="29.1" customHeight="1" spans="1:21">
      <c r="A236" s="40">
        <v>46085</v>
      </c>
      <c r="B236" s="41" t="s">
        <v>40</v>
      </c>
      <c r="C236" s="42" t="s">
        <v>273</v>
      </c>
      <c r="D236" s="43" t="s">
        <v>323</v>
      </c>
      <c r="E236" s="44">
        <v>963687731</v>
      </c>
      <c r="F236" s="44">
        <v>28468</v>
      </c>
      <c r="G236" s="44" t="s">
        <v>31</v>
      </c>
      <c r="H236" s="44"/>
      <c r="I236" s="45">
        <f>+L236*2</f>
        <v>1584</v>
      </c>
      <c r="J236" s="45" t="s">
        <v>32</v>
      </c>
      <c r="K236" s="45" t="s">
        <v>33</v>
      </c>
      <c r="L236" s="46">
        <v>792</v>
      </c>
      <c r="M236" s="43">
        <f t="shared" si="33"/>
        <v>13.3056</v>
      </c>
      <c r="N236" s="46" t="s">
        <v>34</v>
      </c>
      <c r="O236" s="44"/>
      <c r="P236" s="48"/>
      <c r="Q236" s="8">
        <f>VLOOKUP($F236,[1]装箱单!$A:$E,5,0)</f>
        <v>30</v>
      </c>
      <c r="R236" s="8">
        <f>VLOOKUP($F236,[1]装箱单!$A:$F,6,0)</f>
        <v>20</v>
      </c>
      <c r="S236" s="8">
        <f>VLOOKUP($F236,[1]装箱单!$A:$G,7,0)</f>
        <v>28</v>
      </c>
      <c r="T236" s="10">
        <f>VLOOKUP($F236,[1]装箱单!$A:$J,10,0)</f>
        <v>0.0168</v>
      </c>
      <c r="U236" s="11">
        <f t="shared" si="34"/>
        <v>13.3056</v>
      </c>
    </row>
    <row r="237" ht="29.1" customHeight="1" spans="1:21">
      <c r="A237" s="40">
        <v>46085</v>
      </c>
      <c r="B237" s="41" t="s">
        <v>184</v>
      </c>
      <c r="C237" s="42" t="s">
        <v>324</v>
      </c>
      <c r="D237" s="43" t="s">
        <v>325</v>
      </c>
      <c r="E237" s="44">
        <v>47906164</v>
      </c>
      <c r="F237" s="44">
        <v>21150</v>
      </c>
      <c r="G237" s="44" t="s">
        <v>31</v>
      </c>
      <c r="H237" s="44"/>
      <c r="I237" s="45">
        <f>+L237*12</f>
        <v>1068</v>
      </c>
      <c r="J237" s="45" t="s">
        <v>32</v>
      </c>
      <c r="K237" s="45" t="s">
        <v>33</v>
      </c>
      <c r="L237" s="46">
        <v>89</v>
      </c>
      <c r="M237" s="43">
        <f t="shared" si="33"/>
        <v>1.4738262862125</v>
      </c>
      <c r="N237" s="46" t="s">
        <v>34</v>
      </c>
      <c r="O237" s="44"/>
      <c r="P237" s="48"/>
      <c r="Q237" s="8">
        <f>VLOOKUP($F237,[1]装箱单!$A:$E,5,0)</f>
        <v>41.91</v>
      </c>
      <c r="R237" s="8">
        <f>VLOOKUP($F237,[1]装箱单!$A:$F,6,0)</f>
        <v>32.75</v>
      </c>
      <c r="S237" s="8">
        <f>VLOOKUP($F237,[1]装箱单!$A:$G,7,0)</f>
        <v>12.065</v>
      </c>
      <c r="T237" s="10">
        <f>VLOOKUP($F237,[1]装箱单!$A:$J,10,0)</f>
        <v>0.0165598459125</v>
      </c>
      <c r="U237" s="11">
        <f t="shared" si="34"/>
        <v>1.4738262862125</v>
      </c>
    </row>
    <row r="238" ht="29.1" customHeight="1" spans="1:21">
      <c r="A238" s="40">
        <v>46085</v>
      </c>
      <c r="B238" s="41" t="s">
        <v>184</v>
      </c>
      <c r="C238" s="42" t="s">
        <v>326</v>
      </c>
      <c r="D238" s="43" t="s">
        <v>325</v>
      </c>
      <c r="E238" s="44">
        <v>47906165</v>
      </c>
      <c r="F238" s="44">
        <v>21150</v>
      </c>
      <c r="G238" s="44" t="s">
        <v>31</v>
      </c>
      <c r="H238" s="44"/>
      <c r="I238" s="45">
        <f>+L238*12</f>
        <v>780</v>
      </c>
      <c r="J238" s="45" t="s">
        <v>32</v>
      </c>
      <c r="K238" s="45" t="s">
        <v>33</v>
      </c>
      <c r="L238" s="46">
        <v>65</v>
      </c>
      <c r="M238" s="43">
        <f t="shared" si="33"/>
        <v>1.0763899843125</v>
      </c>
      <c r="N238" s="46" t="s">
        <v>34</v>
      </c>
      <c r="O238" s="44"/>
      <c r="P238" s="48"/>
      <c r="Q238" s="8">
        <f>VLOOKUP($F238,[1]装箱单!$A:$E,5,0)</f>
        <v>41.91</v>
      </c>
      <c r="R238" s="8">
        <f>VLOOKUP($F238,[1]装箱单!$A:$F,6,0)</f>
        <v>32.75</v>
      </c>
      <c r="S238" s="8">
        <f>VLOOKUP($F238,[1]装箱单!$A:$G,7,0)</f>
        <v>12.065</v>
      </c>
      <c r="T238" s="10">
        <f>VLOOKUP($F238,[1]装箱单!$A:$J,10,0)</f>
        <v>0.0165598459125</v>
      </c>
      <c r="U238" s="11">
        <f t="shared" si="34"/>
        <v>1.0763899843125</v>
      </c>
    </row>
    <row r="239" ht="29.1" customHeight="1" spans="1:21">
      <c r="A239" s="40">
        <v>46085</v>
      </c>
      <c r="B239" s="41" t="s">
        <v>184</v>
      </c>
      <c r="C239" s="42" t="s">
        <v>327</v>
      </c>
      <c r="D239" s="43" t="s">
        <v>325</v>
      </c>
      <c r="E239" s="44">
        <v>47906166</v>
      </c>
      <c r="F239" s="44">
        <v>21150</v>
      </c>
      <c r="G239" s="44" t="s">
        <v>31</v>
      </c>
      <c r="H239" s="44"/>
      <c r="I239" s="45">
        <f>+L239*12</f>
        <v>864</v>
      </c>
      <c r="J239" s="45" t="s">
        <v>32</v>
      </c>
      <c r="K239" s="45" t="s">
        <v>33</v>
      </c>
      <c r="L239" s="46">
        <v>72</v>
      </c>
      <c r="M239" s="43">
        <f t="shared" si="33"/>
        <v>1.1923089057</v>
      </c>
      <c r="N239" s="46" t="s">
        <v>34</v>
      </c>
      <c r="O239" s="44"/>
      <c r="P239" s="48"/>
      <c r="Q239" s="8">
        <f>VLOOKUP($F239,[1]装箱单!$A:$E,5,0)</f>
        <v>41.91</v>
      </c>
      <c r="R239" s="8">
        <f>VLOOKUP($F239,[1]装箱单!$A:$F,6,0)</f>
        <v>32.75</v>
      </c>
      <c r="S239" s="8">
        <f>VLOOKUP($F239,[1]装箱单!$A:$G,7,0)</f>
        <v>12.065</v>
      </c>
      <c r="T239" s="10">
        <f>VLOOKUP($F239,[1]装箱单!$A:$J,10,0)</f>
        <v>0.0165598459125</v>
      </c>
      <c r="U239" s="11">
        <f t="shared" si="34"/>
        <v>1.1923089057</v>
      </c>
    </row>
    <row r="240" ht="29.1" customHeight="1" spans="1:21">
      <c r="A240" s="40">
        <v>46085</v>
      </c>
      <c r="B240" s="41" t="s">
        <v>184</v>
      </c>
      <c r="C240" s="42" t="s">
        <v>328</v>
      </c>
      <c r="D240" s="43" t="s">
        <v>325</v>
      </c>
      <c r="E240" s="44">
        <v>47906167</v>
      </c>
      <c r="F240" s="44">
        <v>21150</v>
      </c>
      <c r="G240" s="44" t="s">
        <v>31</v>
      </c>
      <c r="H240" s="44"/>
      <c r="I240" s="45">
        <f>+L240*12</f>
        <v>288</v>
      </c>
      <c r="J240" s="45" t="s">
        <v>32</v>
      </c>
      <c r="K240" s="45" t="s">
        <v>33</v>
      </c>
      <c r="L240" s="46">
        <v>24</v>
      </c>
      <c r="M240" s="43">
        <f t="shared" si="33"/>
        <v>0.3974363019</v>
      </c>
      <c r="N240" s="46" t="s">
        <v>34</v>
      </c>
      <c r="O240" s="44"/>
      <c r="P240" s="48"/>
      <c r="Q240" s="8">
        <f>VLOOKUP($F240,[1]装箱单!$A:$E,5,0)</f>
        <v>41.91</v>
      </c>
      <c r="R240" s="8">
        <f>VLOOKUP($F240,[1]装箱单!$A:$F,6,0)</f>
        <v>32.75</v>
      </c>
      <c r="S240" s="8">
        <f>VLOOKUP($F240,[1]装箱单!$A:$G,7,0)</f>
        <v>12.065</v>
      </c>
      <c r="T240" s="10">
        <f>VLOOKUP($F240,[1]装箱单!$A:$J,10,0)</f>
        <v>0.0165598459125</v>
      </c>
      <c r="U240" s="11">
        <f t="shared" si="34"/>
        <v>0.3974363019</v>
      </c>
    </row>
    <row r="241" ht="29.1" customHeight="1" spans="1:21">
      <c r="A241" s="40">
        <v>46084</v>
      </c>
      <c r="B241" s="41" t="s">
        <v>118</v>
      </c>
      <c r="C241" s="42" t="s">
        <v>329</v>
      </c>
      <c r="D241" s="119" t="s">
        <v>330</v>
      </c>
      <c r="E241" s="44">
        <v>5930894</v>
      </c>
      <c r="F241" s="44" t="s">
        <v>120</v>
      </c>
      <c r="G241" s="44" t="s">
        <v>31</v>
      </c>
      <c r="H241" s="44"/>
      <c r="I241" s="45">
        <f>+L241*36</f>
        <v>100008</v>
      </c>
      <c r="J241" s="45" t="s">
        <v>32</v>
      </c>
      <c r="K241" s="45" t="s">
        <v>33</v>
      </c>
      <c r="L241" s="46">
        <v>2778</v>
      </c>
      <c r="M241" s="43">
        <f t="shared" si="33"/>
        <v>34.28144635188</v>
      </c>
      <c r="N241" s="46" t="s">
        <v>34</v>
      </c>
      <c r="O241" s="44"/>
      <c r="P241" s="48"/>
      <c r="Q241" s="8">
        <f>VLOOKUP($F241,[1]装箱单!$A:$E,5,0)</f>
        <v>33.02</v>
      </c>
      <c r="R241" s="8">
        <f>VLOOKUP($F241,[1]装箱单!$A:$F,6,0)</f>
        <v>18.41</v>
      </c>
      <c r="S241" s="8">
        <f>VLOOKUP($F241,[1]装箱单!$A:$G,7,0)</f>
        <v>20.3</v>
      </c>
      <c r="T241" s="10">
        <f>VLOOKUP($F241,[1]装箱单!$A:$J,10,0)</f>
        <v>0.01234033346</v>
      </c>
      <c r="U241" s="11">
        <f t="shared" si="34"/>
        <v>34.28144635188</v>
      </c>
    </row>
    <row r="242" ht="29.1" customHeight="1" spans="1:21">
      <c r="A242" s="40">
        <v>46085</v>
      </c>
      <c r="B242" s="41" t="s">
        <v>331</v>
      </c>
      <c r="C242" s="42" t="s">
        <v>332</v>
      </c>
      <c r="D242" s="43" t="s">
        <v>333</v>
      </c>
      <c r="E242" s="44">
        <v>2950867592</v>
      </c>
      <c r="F242" s="44" t="s">
        <v>45</v>
      </c>
      <c r="G242" s="44" t="s">
        <v>31</v>
      </c>
      <c r="H242" s="44"/>
      <c r="I242" s="45">
        <f>+L242*18</f>
        <v>10008</v>
      </c>
      <c r="J242" s="45" t="s">
        <v>32</v>
      </c>
      <c r="K242" s="45" t="s">
        <v>33</v>
      </c>
      <c r="L242" s="46">
        <v>556</v>
      </c>
      <c r="M242" s="43">
        <f t="shared" si="33"/>
        <v>3.22091500977</v>
      </c>
      <c r="N242" s="46" t="s">
        <v>34</v>
      </c>
      <c r="O242" s="44"/>
      <c r="P242" s="48"/>
      <c r="Q242" s="8">
        <f>VLOOKUP($F242,[1]装箱单!$A:$E,5,0)</f>
        <v>32.385</v>
      </c>
      <c r="R242" s="8">
        <f>VLOOKUP($F242,[1]装箱单!$A:$F,6,0)</f>
        <v>18.78</v>
      </c>
      <c r="S242" s="8">
        <f>VLOOKUP($F242,[1]装箱单!$A:$G,7,0)</f>
        <v>9.525</v>
      </c>
      <c r="T242" s="10">
        <f>VLOOKUP($F242,[1]装箱单!$A:$J,10,0)</f>
        <v>0.0057930126075</v>
      </c>
      <c r="U242" s="11">
        <f t="shared" si="34"/>
        <v>3.22091500977</v>
      </c>
    </row>
    <row r="243" ht="29.1" customHeight="1" spans="1:21">
      <c r="A243" s="40">
        <v>46085</v>
      </c>
      <c r="B243" s="41" t="s">
        <v>40</v>
      </c>
      <c r="C243" s="42" t="s">
        <v>334</v>
      </c>
      <c r="D243" s="43" t="s">
        <v>335</v>
      </c>
      <c r="E243" s="44">
        <v>953860534</v>
      </c>
      <c r="F243" s="44" t="s">
        <v>179</v>
      </c>
      <c r="G243" s="44" t="s">
        <v>31</v>
      </c>
      <c r="H243" s="44"/>
      <c r="I243" s="45">
        <f t="shared" ref="I243:I251" si="35">+L243*24</f>
        <v>10800</v>
      </c>
      <c r="J243" s="45" t="s">
        <v>32</v>
      </c>
      <c r="K243" s="45" t="s">
        <v>33</v>
      </c>
      <c r="L243" s="46">
        <v>450</v>
      </c>
      <c r="M243" s="43">
        <f t="shared" si="33"/>
        <v>5.98455</v>
      </c>
      <c r="N243" s="46" t="s">
        <v>34</v>
      </c>
      <c r="O243" s="44"/>
      <c r="P243" s="48"/>
      <c r="Q243" s="8">
        <f>VLOOKUP($F243,[1]装箱单!$A:$E,5,0)</f>
        <v>31</v>
      </c>
      <c r="R243" s="8">
        <f>VLOOKUP($F243,[1]装箱单!$A:$F,6,0)</f>
        <v>22</v>
      </c>
      <c r="S243" s="8">
        <f>VLOOKUP($F243,[1]装箱单!$A:$G,7,0)</f>
        <v>19.5</v>
      </c>
      <c r="T243" s="10">
        <f>VLOOKUP($F243,[1]装箱单!$A:$J,10,0)</f>
        <v>0.013299</v>
      </c>
      <c r="U243" s="11">
        <f t="shared" si="34"/>
        <v>5.98455</v>
      </c>
    </row>
    <row r="244" ht="29.1" customHeight="1" spans="1:21">
      <c r="A244" s="40">
        <v>46085</v>
      </c>
      <c r="B244" s="41" t="s">
        <v>40</v>
      </c>
      <c r="C244" s="42" t="s">
        <v>336</v>
      </c>
      <c r="D244" s="43" t="s">
        <v>335</v>
      </c>
      <c r="E244" s="44">
        <v>953860538</v>
      </c>
      <c r="F244" s="44" t="s">
        <v>179</v>
      </c>
      <c r="G244" s="44" t="s">
        <v>31</v>
      </c>
      <c r="H244" s="44"/>
      <c r="I244" s="45">
        <f t="shared" si="35"/>
        <v>4320</v>
      </c>
      <c r="J244" s="45" t="s">
        <v>32</v>
      </c>
      <c r="K244" s="45" t="s">
        <v>33</v>
      </c>
      <c r="L244" s="46">
        <v>180</v>
      </c>
      <c r="M244" s="43">
        <f t="shared" si="33"/>
        <v>2.39382</v>
      </c>
      <c r="N244" s="46" t="s">
        <v>34</v>
      </c>
      <c r="O244" s="44"/>
      <c r="P244" s="48"/>
      <c r="Q244" s="8">
        <f>VLOOKUP($F244,[1]装箱单!$A:$E,5,0)</f>
        <v>31</v>
      </c>
      <c r="R244" s="8">
        <f>VLOOKUP($F244,[1]装箱单!$A:$F,6,0)</f>
        <v>22</v>
      </c>
      <c r="S244" s="8">
        <f>VLOOKUP($F244,[1]装箱单!$A:$G,7,0)</f>
        <v>19.5</v>
      </c>
      <c r="T244" s="10">
        <f>VLOOKUP($F244,[1]装箱单!$A:$J,10,0)</f>
        <v>0.013299</v>
      </c>
      <c r="U244" s="11">
        <f t="shared" si="34"/>
        <v>2.39382</v>
      </c>
    </row>
    <row r="245" ht="29.1" customHeight="1" spans="1:21">
      <c r="A245" s="40">
        <v>46085</v>
      </c>
      <c r="B245" s="41" t="s">
        <v>40</v>
      </c>
      <c r="C245" s="42" t="s">
        <v>337</v>
      </c>
      <c r="D245" s="43" t="s">
        <v>335</v>
      </c>
      <c r="E245" s="44">
        <v>953860579</v>
      </c>
      <c r="F245" s="44" t="s">
        <v>179</v>
      </c>
      <c r="G245" s="44" t="s">
        <v>31</v>
      </c>
      <c r="H245" s="44"/>
      <c r="I245" s="45">
        <f t="shared" si="35"/>
        <v>30240</v>
      </c>
      <c r="J245" s="45" t="s">
        <v>32</v>
      </c>
      <c r="K245" s="45" t="s">
        <v>33</v>
      </c>
      <c r="L245" s="46">
        <v>1260</v>
      </c>
      <c r="M245" s="43">
        <f t="shared" si="33"/>
        <v>16.75674</v>
      </c>
      <c r="N245" s="46" t="s">
        <v>34</v>
      </c>
      <c r="O245" s="44"/>
      <c r="P245" s="48"/>
      <c r="Q245" s="8">
        <f>VLOOKUP($F245,[1]装箱单!$A:$E,5,0)</f>
        <v>31</v>
      </c>
      <c r="R245" s="8">
        <f>VLOOKUP($F245,[1]装箱单!$A:$F,6,0)</f>
        <v>22</v>
      </c>
      <c r="S245" s="8">
        <f>VLOOKUP($F245,[1]装箱单!$A:$G,7,0)</f>
        <v>19.5</v>
      </c>
      <c r="T245" s="10">
        <f>VLOOKUP($F245,[1]装箱单!$A:$J,10,0)</f>
        <v>0.013299</v>
      </c>
      <c r="U245" s="11">
        <f t="shared" si="34"/>
        <v>16.75674</v>
      </c>
    </row>
    <row r="246" ht="29.1" customHeight="1" spans="1:21">
      <c r="A246" s="40">
        <v>46085</v>
      </c>
      <c r="B246" s="41" t="s">
        <v>40</v>
      </c>
      <c r="C246" s="42" t="s">
        <v>338</v>
      </c>
      <c r="D246" s="43" t="s">
        <v>335</v>
      </c>
      <c r="E246" s="44">
        <v>956888522</v>
      </c>
      <c r="F246" s="44" t="s">
        <v>179</v>
      </c>
      <c r="G246" s="44" t="s">
        <v>31</v>
      </c>
      <c r="H246" s="44"/>
      <c r="I246" s="45">
        <f t="shared" si="35"/>
        <v>8640</v>
      </c>
      <c r="J246" s="45" t="s">
        <v>32</v>
      </c>
      <c r="K246" s="45" t="s">
        <v>33</v>
      </c>
      <c r="L246" s="46">
        <v>360</v>
      </c>
      <c r="M246" s="43">
        <f t="shared" si="33"/>
        <v>4.78764</v>
      </c>
      <c r="N246" s="46" t="s">
        <v>34</v>
      </c>
      <c r="O246" s="44"/>
      <c r="P246" s="48"/>
      <c r="Q246" s="8">
        <f>VLOOKUP($F246,[1]装箱单!$A:$E,5,0)</f>
        <v>31</v>
      </c>
      <c r="R246" s="8">
        <f>VLOOKUP($F246,[1]装箱单!$A:$F,6,0)</f>
        <v>22</v>
      </c>
      <c r="S246" s="8">
        <f>VLOOKUP($F246,[1]装箱单!$A:$G,7,0)</f>
        <v>19.5</v>
      </c>
      <c r="T246" s="10">
        <f>VLOOKUP($F246,[1]装箱单!$A:$J,10,0)</f>
        <v>0.013299</v>
      </c>
      <c r="U246" s="11">
        <f t="shared" si="34"/>
        <v>4.78764</v>
      </c>
    </row>
    <row r="247" ht="29.1" customHeight="1" spans="1:21">
      <c r="A247" s="40">
        <v>46085</v>
      </c>
      <c r="B247" s="41" t="s">
        <v>40</v>
      </c>
      <c r="C247" s="42" t="s">
        <v>339</v>
      </c>
      <c r="D247" s="43" t="s">
        <v>335</v>
      </c>
      <c r="E247" s="44">
        <v>956888528</v>
      </c>
      <c r="F247" s="44" t="s">
        <v>179</v>
      </c>
      <c r="G247" s="44" t="s">
        <v>31</v>
      </c>
      <c r="H247" s="44"/>
      <c r="I247" s="45">
        <f t="shared" si="35"/>
        <v>17280</v>
      </c>
      <c r="J247" s="45" t="s">
        <v>32</v>
      </c>
      <c r="K247" s="45" t="s">
        <v>33</v>
      </c>
      <c r="L247" s="46">
        <v>720</v>
      </c>
      <c r="M247" s="43">
        <f t="shared" si="33"/>
        <v>9.57528</v>
      </c>
      <c r="N247" s="46" t="s">
        <v>34</v>
      </c>
      <c r="O247" s="44"/>
      <c r="P247" s="48"/>
      <c r="Q247" s="8">
        <f>VLOOKUP($F247,[1]装箱单!$A:$E,5,0)</f>
        <v>31</v>
      </c>
      <c r="R247" s="8">
        <f>VLOOKUP($F247,[1]装箱单!$A:$F,6,0)</f>
        <v>22</v>
      </c>
      <c r="S247" s="8">
        <f>VLOOKUP($F247,[1]装箱单!$A:$G,7,0)</f>
        <v>19.5</v>
      </c>
      <c r="T247" s="10">
        <f>VLOOKUP($F247,[1]装箱单!$A:$J,10,0)</f>
        <v>0.013299</v>
      </c>
      <c r="U247" s="11">
        <f t="shared" si="34"/>
        <v>9.57528</v>
      </c>
    </row>
    <row r="248" ht="29.1" customHeight="1" spans="1:21">
      <c r="A248" s="40">
        <v>46085</v>
      </c>
      <c r="B248" s="41" t="s">
        <v>40</v>
      </c>
      <c r="C248" s="79" t="s">
        <v>340</v>
      </c>
      <c r="D248" s="43" t="s">
        <v>335</v>
      </c>
      <c r="E248" s="81">
        <v>956888531</v>
      </c>
      <c r="F248" s="44" t="s">
        <v>179</v>
      </c>
      <c r="G248" s="44" t="s">
        <v>31</v>
      </c>
      <c r="H248" s="44"/>
      <c r="I248" s="45">
        <f t="shared" si="35"/>
        <v>4320</v>
      </c>
      <c r="J248" s="45" t="s">
        <v>32</v>
      </c>
      <c r="K248" s="45" t="s">
        <v>33</v>
      </c>
      <c r="L248" s="46">
        <v>180</v>
      </c>
      <c r="M248" s="43">
        <f t="shared" si="33"/>
        <v>2.39382</v>
      </c>
      <c r="N248" s="46" t="s">
        <v>34</v>
      </c>
      <c r="O248" s="44"/>
      <c r="P248" s="48"/>
      <c r="Q248" s="8">
        <f>VLOOKUP($F248,[1]装箱单!$A:$E,5,0)</f>
        <v>31</v>
      </c>
      <c r="R248" s="8">
        <f>VLOOKUP($F248,[1]装箱单!$A:$F,6,0)</f>
        <v>22</v>
      </c>
      <c r="S248" s="8">
        <f>VLOOKUP($F248,[1]装箱单!$A:$G,7,0)</f>
        <v>19.5</v>
      </c>
      <c r="T248" s="10">
        <f>VLOOKUP($F248,[1]装箱单!$A:$J,10,0)</f>
        <v>0.013299</v>
      </c>
      <c r="U248" s="11">
        <f t="shared" si="34"/>
        <v>2.39382</v>
      </c>
    </row>
    <row r="249" ht="29.1" customHeight="1" spans="1:21">
      <c r="A249" s="40">
        <v>46085</v>
      </c>
      <c r="B249" s="41" t="s">
        <v>40</v>
      </c>
      <c r="C249" s="42" t="s">
        <v>341</v>
      </c>
      <c r="D249" s="43" t="s">
        <v>335</v>
      </c>
      <c r="E249" s="44">
        <v>956888540</v>
      </c>
      <c r="F249" s="44" t="s">
        <v>179</v>
      </c>
      <c r="G249" s="44" t="s">
        <v>31</v>
      </c>
      <c r="H249" s="44"/>
      <c r="I249" s="45">
        <f t="shared" si="35"/>
        <v>15120</v>
      </c>
      <c r="J249" s="45" t="s">
        <v>32</v>
      </c>
      <c r="K249" s="45" t="s">
        <v>33</v>
      </c>
      <c r="L249" s="46">
        <v>630</v>
      </c>
      <c r="M249" s="43">
        <f t="shared" si="33"/>
        <v>8.37837</v>
      </c>
      <c r="N249" s="46" t="s">
        <v>34</v>
      </c>
      <c r="O249" s="44"/>
      <c r="P249" s="48"/>
      <c r="Q249" s="8">
        <f>VLOOKUP($F249,[1]装箱单!$A:$E,5,0)</f>
        <v>31</v>
      </c>
      <c r="R249" s="8">
        <f>VLOOKUP($F249,[1]装箱单!$A:$F,6,0)</f>
        <v>22</v>
      </c>
      <c r="S249" s="8">
        <f>VLOOKUP($F249,[1]装箱单!$A:$G,7,0)</f>
        <v>19.5</v>
      </c>
      <c r="T249" s="10">
        <f>VLOOKUP($F249,[1]装箱单!$A:$J,10,0)</f>
        <v>0.013299</v>
      </c>
      <c r="U249" s="11">
        <f t="shared" si="34"/>
        <v>8.37837</v>
      </c>
    </row>
    <row r="250" ht="29.1" customHeight="1" spans="1:21">
      <c r="A250" s="40">
        <v>46085</v>
      </c>
      <c r="B250" s="41" t="s">
        <v>40</v>
      </c>
      <c r="C250" s="42" t="s">
        <v>342</v>
      </c>
      <c r="D250" s="43" t="s">
        <v>335</v>
      </c>
      <c r="E250" s="44">
        <v>960268392</v>
      </c>
      <c r="F250" s="44" t="s">
        <v>179</v>
      </c>
      <c r="G250" s="44" t="s">
        <v>31</v>
      </c>
      <c r="H250" s="44"/>
      <c r="I250" s="45">
        <f t="shared" si="35"/>
        <v>8640</v>
      </c>
      <c r="J250" s="45" t="s">
        <v>32</v>
      </c>
      <c r="K250" s="45" t="s">
        <v>33</v>
      </c>
      <c r="L250" s="46">
        <v>360</v>
      </c>
      <c r="M250" s="43">
        <f t="shared" si="33"/>
        <v>4.78764</v>
      </c>
      <c r="N250" s="46" t="s">
        <v>34</v>
      </c>
      <c r="O250" s="44"/>
      <c r="P250" s="48"/>
      <c r="Q250" s="8">
        <f>VLOOKUP($F250,[1]装箱单!$A:$E,5,0)</f>
        <v>31</v>
      </c>
      <c r="R250" s="8">
        <f>VLOOKUP($F250,[1]装箱单!$A:$F,6,0)</f>
        <v>22</v>
      </c>
      <c r="S250" s="8">
        <f>VLOOKUP($F250,[1]装箱单!$A:$G,7,0)</f>
        <v>19.5</v>
      </c>
      <c r="T250" s="10">
        <f>VLOOKUP($F250,[1]装箱单!$A:$J,10,0)</f>
        <v>0.013299</v>
      </c>
      <c r="U250" s="11">
        <f t="shared" si="34"/>
        <v>4.78764</v>
      </c>
    </row>
    <row r="251" ht="29.1" customHeight="1" spans="1:21">
      <c r="A251" s="40">
        <v>46085</v>
      </c>
      <c r="B251" s="41" t="s">
        <v>40</v>
      </c>
      <c r="C251" s="42" t="s">
        <v>343</v>
      </c>
      <c r="D251" s="43" t="s">
        <v>335</v>
      </c>
      <c r="E251" s="44">
        <v>960268407</v>
      </c>
      <c r="F251" s="44" t="s">
        <v>179</v>
      </c>
      <c r="G251" s="44" t="s">
        <v>31</v>
      </c>
      <c r="H251" s="44"/>
      <c r="I251" s="45">
        <f t="shared" si="35"/>
        <v>10800</v>
      </c>
      <c r="J251" s="45" t="s">
        <v>32</v>
      </c>
      <c r="K251" s="45" t="s">
        <v>33</v>
      </c>
      <c r="L251" s="46">
        <v>450</v>
      </c>
      <c r="M251" s="43">
        <f t="shared" si="33"/>
        <v>5.98455</v>
      </c>
      <c r="N251" s="46" t="s">
        <v>34</v>
      </c>
      <c r="O251" s="44"/>
      <c r="P251" s="48"/>
      <c r="Q251" s="8">
        <f>VLOOKUP($F251,[1]装箱单!$A:$E,5,0)</f>
        <v>31</v>
      </c>
      <c r="R251" s="8">
        <f>VLOOKUP($F251,[1]装箱单!$A:$F,6,0)</f>
        <v>22</v>
      </c>
      <c r="S251" s="8">
        <f>VLOOKUP($F251,[1]装箱单!$A:$G,7,0)</f>
        <v>19.5</v>
      </c>
      <c r="T251" s="10">
        <f>VLOOKUP($F251,[1]装箱单!$A:$J,10,0)</f>
        <v>0.013299</v>
      </c>
      <c r="U251" s="11">
        <f t="shared" si="34"/>
        <v>5.98455</v>
      </c>
    </row>
    <row r="252" ht="29.1" customHeight="1" spans="1:21">
      <c r="A252" s="40">
        <v>46085</v>
      </c>
      <c r="B252" s="41" t="s">
        <v>118</v>
      </c>
      <c r="C252" s="42" t="s">
        <v>313</v>
      </c>
      <c r="D252" s="43" t="s">
        <v>314</v>
      </c>
      <c r="E252" s="44">
        <v>5925678</v>
      </c>
      <c r="F252" s="44" t="s">
        <v>122</v>
      </c>
      <c r="G252" s="44" t="s">
        <v>31</v>
      </c>
      <c r="H252" s="44"/>
      <c r="I252" s="45">
        <f>+L252*36</f>
        <v>5112</v>
      </c>
      <c r="J252" s="45" t="s">
        <v>32</v>
      </c>
      <c r="K252" s="45" t="s">
        <v>33</v>
      </c>
      <c r="L252" s="46">
        <f>2778-2636</f>
        <v>142</v>
      </c>
      <c r="M252" s="43">
        <f t="shared" si="33"/>
        <v>1.6865901752</v>
      </c>
      <c r="N252" s="46" t="s">
        <v>34</v>
      </c>
      <c r="O252" s="44"/>
      <c r="P252" s="48"/>
      <c r="Q252" s="8">
        <f>VLOOKUP($F252,[1]装箱单!$A:$E,5,0)</f>
        <v>31.75</v>
      </c>
      <c r="R252" s="8">
        <f>VLOOKUP($F252,[1]装箱单!$A:$F,6,0)</f>
        <v>18.41</v>
      </c>
      <c r="S252" s="8">
        <f>VLOOKUP($F252,[1]装箱单!$A:$G,7,0)</f>
        <v>20.32</v>
      </c>
      <c r="T252" s="10">
        <f>VLOOKUP($F252,[1]装箱单!$A:$J,10,0)</f>
        <v>0.0118773956</v>
      </c>
      <c r="U252" s="11">
        <f t="shared" si="34"/>
        <v>1.6865901752</v>
      </c>
    </row>
    <row r="253" ht="29.1" customHeight="1" spans="1:21">
      <c r="A253" s="40">
        <v>46086</v>
      </c>
      <c r="B253" s="41" t="s">
        <v>101</v>
      </c>
      <c r="C253" s="42" t="s">
        <v>344</v>
      </c>
      <c r="D253" s="119" t="s">
        <v>345</v>
      </c>
      <c r="E253" s="49" t="s">
        <v>346</v>
      </c>
      <c r="F253" s="44" t="s">
        <v>37</v>
      </c>
      <c r="G253" s="44" t="s">
        <v>31</v>
      </c>
      <c r="H253" s="44"/>
      <c r="I253" s="45">
        <v>156</v>
      </c>
      <c r="J253" s="45" t="s">
        <v>32</v>
      </c>
      <c r="K253" s="45" t="s">
        <v>33</v>
      </c>
      <c r="L253" s="46">
        <v>13</v>
      </c>
      <c r="M253" s="43">
        <f t="shared" si="33"/>
        <v>1.35548632128</v>
      </c>
      <c r="N253" s="46" t="s">
        <v>34</v>
      </c>
      <c r="O253" s="44"/>
      <c r="P253" s="48"/>
      <c r="Q253" s="8">
        <f>VLOOKUP($F253,[1]装箱单!$A:$E,5,0)</f>
        <v>60.96</v>
      </c>
      <c r="R253" s="8">
        <f>VLOOKUP($F253,[1]装箱单!$A:$F,6,0)</f>
        <v>51.8</v>
      </c>
      <c r="S253" s="8">
        <f>VLOOKUP($F253,[1]装箱单!$A:$G,7,0)</f>
        <v>33.02</v>
      </c>
      <c r="T253" s="10">
        <f>VLOOKUP($F253,[1]装箱单!$A:$J,10,0)</f>
        <v>0.10426817856</v>
      </c>
      <c r="U253" s="11">
        <f t="shared" si="34"/>
        <v>1.35548632128</v>
      </c>
    </row>
    <row r="254" ht="29.1" customHeight="1" spans="1:21">
      <c r="A254" s="40">
        <v>46086</v>
      </c>
      <c r="B254" s="41" t="s">
        <v>101</v>
      </c>
      <c r="C254" s="42" t="s">
        <v>344</v>
      </c>
      <c r="D254" s="43" t="s">
        <v>345</v>
      </c>
      <c r="E254" s="44" t="s">
        <v>347</v>
      </c>
      <c r="F254" s="44" t="s">
        <v>89</v>
      </c>
      <c r="G254" s="44" t="s">
        <v>31</v>
      </c>
      <c r="H254" s="44"/>
      <c r="I254" s="45">
        <v>136</v>
      </c>
      <c r="J254" s="45" t="s">
        <v>32</v>
      </c>
      <c r="K254" s="45" t="s">
        <v>33</v>
      </c>
      <c r="L254" s="46">
        <v>17</v>
      </c>
      <c r="M254" s="43">
        <f t="shared" si="33"/>
        <v>1.42598182545</v>
      </c>
      <c r="N254" s="46" t="s">
        <v>34</v>
      </c>
      <c r="O254" s="44"/>
      <c r="P254" s="48"/>
      <c r="Q254" s="8">
        <f>VLOOKUP($F254,[1]装箱单!$A:$E,5,0)</f>
        <v>57.785</v>
      </c>
      <c r="R254" s="8">
        <f>VLOOKUP($F254,[1]装箱单!$A:$F,6,0)</f>
        <v>57.15</v>
      </c>
      <c r="S254" s="8">
        <f>VLOOKUP($F254,[1]装箱单!$A:$G,7,0)</f>
        <v>25.4</v>
      </c>
      <c r="T254" s="10">
        <f>VLOOKUP($F254,[1]装箱单!$A:$J,10,0)</f>
        <v>0.08388128385</v>
      </c>
      <c r="U254" s="11">
        <f t="shared" si="34"/>
        <v>1.42598182545</v>
      </c>
    </row>
    <row r="255" ht="29.1" customHeight="1" spans="1:21">
      <c r="A255" s="40">
        <v>46086</v>
      </c>
      <c r="B255" s="41" t="s">
        <v>101</v>
      </c>
      <c r="C255" s="42" t="s">
        <v>348</v>
      </c>
      <c r="D255" s="43" t="s">
        <v>349</v>
      </c>
      <c r="E255" s="44" t="s">
        <v>350</v>
      </c>
      <c r="F255" s="44" t="s">
        <v>89</v>
      </c>
      <c r="G255" s="44" t="s">
        <v>31</v>
      </c>
      <c r="H255" s="44"/>
      <c r="I255" s="45">
        <v>240</v>
      </c>
      <c r="J255" s="45" t="s">
        <v>32</v>
      </c>
      <c r="K255" s="45" t="s">
        <v>33</v>
      </c>
      <c r="L255" s="46">
        <v>30</v>
      </c>
      <c r="M255" s="43">
        <f t="shared" si="33"/>
        <v>2.5164385155</v>
      </c>
      <c r="N255" s="46" t="s">
        <v>34</v>
      </c>
      <c r="O255" s="44"/>
      <c r="P255" s="48"/>
      <c r="Q255" s="8">
        <f>VLOOKUP($F255,[1]装箱单!$A:$E,5,0)</f>
        <v>57.785</v>
      </c>
      <c r="R255" s="8">
        <f>VLOOKUP($F255,[1]装箱单!$A:$F,6,0)</f>
        <v>57.15</v>
      </c>
      <c r="S255" s="8">
        <f>VLOOKUP($F255,[1]装箱单!$A:$G,7,0)</f>
        <v>25.4</v>
      </c>
      <c r="T255" s="10">
        <f>VLOOKUP($F255,[1]装箱单!$A:$J,10,0)</f>
        <v>0.08388128385</v>
      </c>
      <c r="U255" s="11">
        <f t="shared" si="34"/>
        <v>2.5164385155</v>
      </c>
    </row>
    <row r="256" ht="29.1" customHeight="1" spans="1:21">
      <c r="A256" s="40">
        <v>46086</v>
      </c>
      <c r="B256" s="41" t="s">
        <v>101</v>
      </c>
      <c r="C256" s="42" t="s">
        <v>344</v>
      </c>
      <c r="D256" s="43" t="s">
        <v>345</v>
      </c>
      <c r="E256" s="47" t="s">
        <v>351</v>
      </c>
      <c r="F256" s="44">
        <v>45586</v>
      </c>
      <c r="G256" s="44" t="s">
        <v>31</v>
      </c>
      <c r="H256" s="44"/>
      <c r="I256" s="45">
        <v>528</v>
      </c>
      <c r="J256" s="45" t="s">
        <v>32</v>
      </c>
      <c r="K256" s="45" t="s">
        <v>33</v>
      </c>
      <c r="L256" s="46">
        <v>22</v>
      </c>
      <c r="M256" s="43">
        <f t="shared" si="33"/>
        <v>0.314855670096</v>
      </c>
      <c r="N256" s="46" t="s">
        <v>34</v>
      </c>
      <c r="O256" s="44"/>
      <c r="P256" s="48"/>
      <c r="Q256" s="8">
        <f>VLOOKUP($F256,[1]装箱单!$A:$E,5,0)</f>
        <v>25.72</v>
      </c>
      <c r="R256" s="8">
        <f>VLOOKUP($F256,[1]装箱单!$A:$F,6,0)</f>
        <v>19.69</v>
      </c>
      <c r="S256" s="8">
        <f>VLOOKUP($F256,[1]装箱单!$A:$G,7,0)</f>
        <v>28.26</v>
      </c>
      <c r="T256" s="10">
        <f>VLOOKUP($F256,[1]装箱单!$A:$J,10,0)</f>
        <v>0.014311621368</v>
      </c>
      <c r="U256" s="11">
        <f t="shared" si="34"/>
        <v>0.314855670096</v>
      </c>
    </row>
    <row r="257" ht="29.1" customHeight="1" spans="1:21">
      <c r="A257" s="40">
        <v>46086</v>
      </c>
      <c r="B257" s="41" t="s">
        <v>101</v>
      </c>
      <c r="C257" s="42" t="s">
        <v>344</v>
      </c>
      <c r="D257" s="43" t="s">
        <v>345</v>
      </c>
      <c r="E257" s="48"/>
      <c r="F257" s="44">
        <v>11781</v>
      </c>
      <c r="G257" s="44" t="s">
        <v>31</v>
      </c>
      <c r="H257" s="44"/>
      <c r="I257" s="45">
        <v>240</v>
      </c>
      <c r="J257" s="45" t="s">
        <v>32</v>
      </c>
      <c r="K257" s="45" t="s">
        <v>33</v>
      </c>
      <c r="L257" s="46">
        <v>10</v>
      </c>
      <c r="M257" s="43">
        <f t="shared" si="33"/>
        <v>0.14311621368</v>
      </c>
      <c r="N257" s="46" t="s">
        <v>34</v>
      </c>
      <c r="O257" s="44"/>
      <c r="P257" s="48"/>
      <c r="Q257" s="8">
        <f>VLOOKUP($F257,[1]装箱单!$A:$E,5,0)</f>
        <v>25.72</v>
      </c>
      <c r="R257" s="8">
        <f>VLOOKUP($F257,[1]装箱单!$A:$F,6,0)</f>
        <v>19.69</v>
      </c>
      <c r="S257" s="8">
        <f>VLOOKUP($F257,[1]装箱单!$A:$G,7,0)</f>
        <v>28.26</v>
      </c>
      <c r="T257" s="10">
        <f>VLOOKUP($F257,[1]装箱单!$A:$J,10,0)</f>
        <v>0.014311621368</v>
      </c>
      <c r="U257" s="11">
        <f t="shared" si="34"/>
        <v>0.14311621368</v>
      </c>
    </row>
    <row r="258" ht="29.1" customHeight="1" spans="1:21">
      <c r="A258" s="40">
        <v>46086</v>
      </c>
      <c r="B258" s="41" t="s">
        <v>101</v>
      </c>
      <c r="C258" s="42" t="s">
        <v>344</v>
      </c>
      <c r="D258" s="43" t="s">
        <v>345</v>
      </c>
      <c r="E258" s="51"/>
      <c r="F258" s="44">
        <v>11783</v>
      </c>
      <c r="G258" s="44" t="s">
        <v>31</v>
      </c>
      <c r="H258" s="44"/>
      <c r="I258" s="45">
        <v>144</v>
      </c>
      <c r="J258" s="45" t="s">
        <v>32</v>
      </c>
      <c r="K258" s="45" t="s">
        <v>33</v>
      </c>
      <c r="L258" s="46">
        <v>6</v>
      </c>
      <c r="M258" s="43">
        <f t="shared" si="33"/>
        <v>0.085869728208</v>
      </c>
      <c r="N258" s="46" t="s">
        <v>34</v>
      </c>
      <c r="O258" s="44"/>
      <c r="P258" s="48"/>
      <c r="Q258" s="8">
        <f>VLOOKUP($F258,[1]装箱单!$A:$E,5,0)</f>
        <v>25.72</v>
      </c>
      <c r="R258" s="8">
        <f>VLOOKUP($F258,[1]装箱单!$A:$F,6,0)</f>
        <v>19.69</v>
      </c>
      <c r="S258" s="8">
        <f>VLOOKUP($F258,[1]装箱单!$A:$G,7,0)</f>
        <v>28.26</v>
      </c>
      <c r="T258" s="10">
        <f>VLOOKUP($F258,[1]装箱单!$A:$J,10,0)</f>
        <v>0.014311621368</v>
      </c>
      <c r="U258" s="11">
        <f t="shared" si="34"/>
        <v>0.085869728208</v>
      </c>
    </row>
    <row r="259" ht="29.1" customHeight="1" spans="1:21">
      <c r="A259" s="40">
        <v>46086</v>
      </c>
      <c r="B259" s="41" t="s">
        <v>101</v>
      </c>
      <c r="C259" s="42" t="s">
        <v>344</v>
      </c>
      <c r="D259" s="43" t="s">
        <v>345</v>
      </c>
      <c r="E259" s="44" t="s">
        <v>352</v>
      </c>
      <c r="F259" s="44" t="s">
        <v>175</v>
      </c>
      <c r="G259" s="44" t="s">
        <v>31</v>
      </c>
      <c r="H259" s="44"/>
      <c r="I259" s="45">
        <v>184</v>
      </c>
      <c r="J259" s="45" t="s">
        <v>32</v>
      </c>
      <c r="K259" s="45" t="s">
        <v>33</v>
      </c>
      <c r="L259" s="46">
        <f>+I259/4</f>
        <v>46</v>
      </c>
      <c r="M259" s="43">
        <f t="shared" si="33"/>
        <v>4.6227794882935</v>
      </c>
      <c r="N259" s="46" t="s">
        <v>34</v>
      </c>
      <c r="O259" s="44"/>
      <c r="P259" s="48"/>
      <c r="Q259" s="8">
        <f>VLOOKUP($F259,[1]装箱单!$A:$E,5,0)</f>
        <v>64.135</v>
      </c>
      <c r="R259" s="8">
        <f>VLOOKUP($F259,[1]装箱单!$A:$F,6,0)</f>
        <v>36.83</v>
      </c>
      <c r="S259" s="8">
        <f>VLOOKUP($F259,[1]装箱单!$A:$G,7,0)</f>
        <v>42.545</v>
      </c>
      <c r="T259" s="10">
        <f>VLOOKUP($F259,[1]装箱单!$A:$J,10,0)</f>
        <v>0.10049520626725</v>
      </c>
      <c r="U259" s="11">
        <f t="shared" si="34"/>
        <v>4.6227794882935</v>
      </c>
    </row>
    <row r="260" ht="29.1" customHeight="1" spans="1:21">
      <c r="A260" s="40">
        <v>46086</v>
      </c>
      <c r="B260" s="41" t="s">
        <v>101</v>
      </c>
      <c r="C260" s="42" t="s">
        <v>348</v>
      </c>
      <c r="D260" s="43" t="s">
        <v>349</v>
      </c>
      <c r="E260" s="44" t="s">
        <v>353</v>
      </c>
      <c r="F260" s="44" t="s">
        <v>30</v>
      </c>
      <c r="G260" s="44" t="s">
        <v>31</v>
      </c>
      <c r="H260" s="44"/>
      <c r="I260" s="45">
        <v>240</v>
      </c>
      <c r="J260" s="45" t="s">
        <v>32</v>
      </c>
      <c r="K260" s="45" t="s">
        <v>33</v>
      </c>
      <c r="L260" s="46">
        <v>80</v>
      </c>
      <c r="M260" s="43">
        <f t="shared" si="33"/>
        <v>6.04961241688</v>
      </c>
      <c r="N260" s="46" t="s">
        <v>34</v>
      </c>
      <c r="O260" s="44"/>
      <c r="P260" s="48"/>
      <c r="Q260" s="8">
        <f>VLOOKUP($F260,[1]装箱单!$A:$E,5,0)</f>
        <v>48.26</v>
      </c>
      <c r="R260" s="8">
        <f>VLOOKUP($F260,[1]装箱单!$A:$F,6,0)</f>
        <v>36.83</v>
      </c>
      <c r="S260" s="8">
        <f>VLOOKUP($F260,[1]装箱单!$A:$G,7,0)</f>
        <v>42.545</v>
      </c>
      <c r="T260" s="10">
        <f>VLOOKUP($F260,[1]装箱单!$A:$J,10,0)</f>
        <v>0.075620155211</v>
      </c>
      <c r="U260" s="11">
        <f t="shared" si="34"/>
        <v>6.04961241688</v>
      </c>
    </row>
    <row r="261" ht="29.1" customHeight="1" spans="1:21">
      <c r="A261" s="40">
        <v>46086</v>
      </c>
      <c r="B261" s="41" t="s">
        <v>101</v>
      </c>
      <c r="C261" s="42" t="s">
        <v>348</v>
      </c>
      <c r="D261" s="43" t="s">
        <v>349</v>
      </c>
      <c r="E261" s="44" t="s">
        <v>354</v>
      </c>
      <c r="F261" s="44" t="s">
        <v>30</v>
      </c>
      <c r="G261" s="44" t="s">
        <v>31</v>
      </c>
      <c r="H261" s="44"/>
      <c r="I261" s="45">
        <v>102</v>
      </c>
      <c r="J261" s="45" t="s">
        <v>32</v>
      </c>
      <c r="K261" s="45" t="s">
        <v>33</v>
      </c>
      <c r="L261" s="46">
        <f>+I261/3</f>
        <v>34</v>
      </c>
      <c r="M261" s="43">
        <f t="shared" si="33"/>
        <v>2.571085277174</v>
      </c>
      <c r="N261" s="46" t="s">
        <v>34</v>
      </c>
      <c r="O261" s="44"/>
      <c r="P261" s="48"/>
      <c r="Q261" s="8">
        <f>VLOOKUP($F261,[1]装箱单!$A:$E,5,0)</f>
        <v>48.26</v>
      </c>
      <c r="R261" s="8">
        <f>VLOOKUP($F261,[1]装箱单!$A:$F,6,0)</f>
        <v>36.83</v>
      </c>
      <c r="S261" s="8">
        <f>VLOOKUP($F261,[1]装箱单!$A:$G,7,0)</f>
        <v>42.545</v>
      </c>
      <c r="T261" s="10">
        <f>VLOOKUP($F261,[1]装箱单!$A:$J,10,0)</f>
        <v>0.075620155211</v>
      </c>
      <c r="U261" s="11">
        <f t="shared" si="34"/>
        <v>2.571085277174</v>
      </c>
    </row>
    <row r="262" ht="29.1" customHeight="1" spans="1:21">
      <c r="A262" s="40">
        <v>46086</v>
      </c>
      <c r="B262" s="41" t="s">
        <v>101</v>
      </c>
      <c r="C262" s="42" t="s">
        <v>348</v>
      </c>
      <c r="D262" s="43" t="s">
        <v>349</v>
      </c>
      <c r="E262" s="44" t="s">
        <v>355</v>
      </c>
      <c r="F262" s="44" t="s">
        <v>30</v>
      </c>
      <c r="G262" s="44" t="s">
        <v>31</v>
      </c>
      <c r="H262" s="44"/>
      <c r="I262" s="45">
        <v>402</v>
      </c>
      <c r="J262" s="45" t="s">
        <v>32</v>
      </c>
      <c r="K262" s="45" t="s">
        <v>33</v>
      </c>
      <c r="L262" s="46">
        <f>+I262/3</f>
        <v>134</v>
      </c>
      <c r="M262" s="43">
        <f t="shared" si="33"/>
        <v>10.133100798274</v>
      </c>
      <c r="N262" s="46" t="s">
        <v>34</v>
      </c>
      <c r="O262" s="44"/>
      <c r="P262" s="48"/>
      <c r="Q262" s="8">
        <f>VLOOKUP($F262,[1]装箱单!$A:$E,5,0)</f>
        <v>48.26</v>
      </c>
      <c r="R262" s="8">
        <f>VLOOKUP($F262,[1]装箱单!$A:$F,6,0)</f>
        <v>36.83</v>
      </c>
      <c r="S262" s="8">
        <f>VLOOKUP($F262,[1]装箱单!$A:$G,7,0)</f>
        <v>42.545</v>
      </c>
      <c r="T262" s="10">
        <f>VLOOKUP($F262,[1]装箱单!$A:$J,10,0)</f>
        <v>0.075620155211</v>
      </c>
      <c r="U262" s="11">
        <f t="shared" si="34"/>
        <v>10.133100798274</v>
      </c>
    </row>
    <row r="263" ht="29.1" customHeight="1" spans="1:21">
      <c r="A263" s="40">
        <v>46086</v>
      </c>
      <c r="B263" s="41" t="s">
        <v>101</v>
      </c>
      <c r="C263" s="42" t="s">
        <v>348</v>
      </c>
      <c r="D263" s="43" t="s">
        <v>349</v>
      </c>
      <c r="E263" s="44" t="s">
        <v>356</v>
      </c>
      <c r="F263" s="44" t="s">
        <v>87</v>
      </c>
      <c r="G263" s="44" t="s">
        <v>31</v>
      </c>
      <c r="H263" s="44"/>
      <c r="I263" s="45">
        <f>+L263*8</f>
        <v>88</v>
      </c>
      <c r="J263" s="45" t="s">
        <v>32</v>
      </c>
      <c r="K263" s="45" t="s">
        <v>33</v>
      </c>
      <c r="L263" s="46">
        <v>11</v>
      </c>
      <c r="M263" s="43">
        <f t="shared" si="33"/>
        <v>0.92269412235</v>
      </c>
      <c r="N263" s="46" t="s">
        <v>34</v>
      </c>
      <c r="O263" s="44"/>
      <c r="P263" s="48"/>
      <c r="Q263" s="8">
        <f>VLOOKUP($F263,[1]装箱单!$A:$E,5,0)</f>
        <v>57.785</v>
      </c>
      <c r="R263" s="8">
        <f>VLOOKUP($F263,[1]装箱单!$A:$F,6,0)</f>
        <v>57.15</v>
      </c>
      <c r="S263" s="8">
        <f>VLOOKUP($F263,[1]装箱单!$A:$G,7,0)</f>
        <v>25.4</v>
      </c>
      <c r="T263" s="10">
        <f>VLOOKUP($F263,[1]装箱单!$A:$J,10,0)</f>
        <v>0.08388128385</v>
      </c>
      <c r="U263" s="11">
        <f t="shared" si="34"/>
        <v>0.92269412235</v>
      </c>
    </row>
    <row r="264" ht="29.1" customHeight="1" spans="1:21">
      <c r="A264" s="40"/>
      <c r="B264" s="41"/>
      <c r="C264" s="42"/>
      <c r="D264" s="119"/>
      <c r="E264" s="49"/>
      <c r="F264" s="44"/>
      <c r="G264" s="44"/>
      <c r="H264" s="44"/>
      <c r="I264" s="45"/>
      <c r="J264" s="45"/>
      <c r="K264" s="45"/>
      <c r="L264" s="46"/>
      <c r="M264" s="43">
        <f>SUM(M235:M263)</f>
        <v>152.842703705523</v>
      </c>
      <c r="N264" s="46"/>
      <c r="O264" s="44"/>
      <c r="P264" s="51"/>
    </row>
    <row r="265" ht="29.1" customHeight="1" spans="1:21">
      <c r="A265" s="40">
        <v>46091</v>
      </c>
      <c r="B265" s="41" t="s">
        <v>52</v>
      </c>
      <c r="C265" s="42">
        <v>44871</v>
      </c>
      <c r="D265" s="43" t="s">
        <v>311</v>
      </c>
      <c r="E265" s="44"/>
      <c r="F265" s="44">
        <v>570974</v>
      </c>
      <c r="G265" s="44" t="s">
        <v>31</v>
      </c>
      <c r="H265" s="44"/>
      <c r="I265" s="45">
        <f>+L265</f>
        <v>1520</v>
      </c>
      <c r="J265" s="45" t="s">
        <v>32</v>
      </c>
      <c r="K265" s="45" t="s">
        <v>33</v>
      </c>
      <c r="L265" s="46">
        <v>1520</v>
      </c>
      <c r="M265" s="43">
        <f>+U265</f>
        <v>130.6053198912</v>
      </c>
      <c r="N265" s="46" t="s">
        <v>34</v>
      </c>
      <c r="O265" s="44"/>
      <c r="P265" s="47" t="s">
        <v>127</v>
      </c>
      <c r="Q265" s="8">
        <f>VLOOKUP($F265,[1]装箱单!$A:$E,5,0)</f>
        <v>59.05</v>
      </c>
      <c r="R265" s="8">
        <f>VLOOKUP($F265,[1]装箱单!$A:$F,6,0)</f>
        <v>26.04</v>
      </c>
      <c r="S265" s="8">
        <f>VLOOKUP($F265,[1]装箱单!$A:$G,7,0)</f>
        <v>55.88</v>
      </c>
      <c r="T265" s="10">
        <f>VLOOKUP($F265,[1]装箱单!$A:$J,10,0)</f>
        <v>0.08592455256</v>
      </c>
      <c r="U265" s="11">
        <f>+T265*L265</f>
        <v>130.6053198912</v>
      </c>
    </row>
    <row r="266" ht="29.1" customHeight="1" spans="1:21">
      <c r="A266" s="40">
        <v>46091</v>
      </c>
      <c r="B266" s="41" t="s">
        <v>40</v>
      </c>
      <c r="C266" s="42" t="s">
        <v>357</v>
      </c>
      <c r="D266" s="43" t="s">
        <v>335</v>
      </c>
      <c r="E266" s="44">
        <v>960268401</v>
      </c>
      <c r="F266" s="44" t="s">
        <v>179</v>
      </c>
      <c r="G266" s="44" t="s">
        <v>31</v>
      </c>
      <c r="H266" s="44"/>
      <c r="I266" s="45">
        <f>+L266*24</f>
        <v>10800</v>
      </c>
      <c r="J266" s="45" t="s">
        <v>32</v>
      </c>
      <c r="K266" s="45" t="s">
        <v>33</v>
      </c>
      <c r="L266" s="46">
        <v>450</v>
      </c>
      <c r="M266" s="43">
        <f>+U266</f>
        <v>5.98455</v>
      </c>
      <c r="N266" s="46" t="s">
        <v>34</v>
      </c>
      <c r="O266" s="44"/>
      <c r="P266" s="48"/>
      <c r="Q266" s="8">
        <f>VLOOKUP($F266,[1]装箱单!$A:$E,5,0)</f>
        <v>31</v>
      </c>
      <c r="R266" s="8">
        <f>VLOOKUP($F266,[1]装箱单!$A:$F,6,0)</f>
        <v>22</v>
      </c>
      <c r="S266" s="8">
        <f>VLOOKUP($F266,[1]装箱单!$A:$G,7,0)</f>
        <v>19.5</v>
      </c>
      <c r="T266" s="10">
        <f>VLOOKUP($F266,[1]装箱单!$A:$J,10,0)</f>
        <v>0.013299</v>
      </c>
      <c r="U266" s="11">
        <f>+T266*L266</f>
        <v>5.98455</v>
      </c>
    </row>
    <row r="267" ht="29.1" customHeight="1" spans="1:21">
      <c r="A267" s="40">
        <v>46091</v>
      </c>
      <c r="B267" s="41" t="s">
        <v>40</v>
      </c>
      <c r="C267" s="42" t="s">
        <v>358</v>
      </c>
      <c r="D267" s="43" t="s">
        <v>335</v>
      </c>
      <c r="E267" s="44">
        <v>956888532</v>
      </c>
      <c r="F267" s="44" t="s">
        <v>179</v>
      </c>
      <c r="G267" s="44" t="s">
        <v>31</v>
      </c>
      <c r="H267" s="44"/>
      <c r="I267" s="45">
        <f>+L267*24</f>
        <v>4320</v>
      </c>
      <c r="J267" s="45" t="s">
        <v>32</v>
      </c>
      <c r="K267" s="45" t="s">
        <v>33</v>
      </c>
      <c r="L267" s="46">
        <f>720-540</f>
        <v>180</v>
      </c>
      <c r="M267" s="43">
        <f>+U267</f>
        <v>2.39382</v>
      </c>
      <c r="N267" s="46" t="s">
        <v>34</v>
      </c>
      <c r="O267" s="44"/>
      <c r="P267" s="48"/>
      <c r="Q267" s="8">
        <f>VLOOKUP($F267,[1]装箱单!$A:$E,5,0)</f>
        <v>31</v>
      </c>
      <c r="R267" s="8">
        <f>VLOOKUP($F267,[1]装箱单!$A:$F,6,0)</f>
        <v>22</v>
      </c>
      <c r="S267" s="8">
        <f>VLOOKUP($F267,[1]装箱单!$A:$G,7,0)</f>
        <v>19.5</v>
      </c>
      <c r="T267" s="10">
        <f>VLOOKUP($F267,[1]装箱单!$A:$J,10,0)</f>
        <v>0.013299</v>
      </c>
      <c r="U267" s="11">
        <f>+T267*L267</f>
        <v>2.39382</v>
      </c>
    </row>
    <row r="268" ht="29.1" customHeight="1" spans="1:21">
      <c r="A268" s="40">
        <v>46091</v>
      </c>
      <c r="B268" s="41"/>
      <c r="C268" s="42"/>
      <c r="D268" s="43"/>
      <c r="E268" s="44"/>
      <c r="F268" s="44" t="s">
        <v>132</v>
      </c>
      <c r="G268" s="44" t="s">
        <v>359</v>
      </c>
      <c r="H268" s="44"/>
      <c r="I268" s="45">
        <v>25</v>
      </c>
      <c r="J268" s="45" t="s">
        <v>133</v>
      </c>
      <c r="K268" s="45" t="s">
        <v>218</v>
      </c>
      <c r="L268" s="46">
        <v>1</v>
      </c>
      <c r="M268" s="43">
        <v>0</v>
      </c>
      <c r="N268" s="46"/>
      <c r="O268" s="44"/>
      <c r="P268" s="48"/>
    </row>
    <row r="269" ht="29.1" customHeight="1" spans="1:21">
      <c r="A269" s="40"/>
      <c r="B269" s="41"/>
      <c r="C269" s="42"/>
      <c r="D269" s="43"/>
      <c r="E269" s="44"/>
      <c r="F269" s="44"/>
      <c r="G269" s="44"/>
      <c r="H269" s="44"/>
      <c r="I269" s="45"/>
      <c r="J269" s="45"/>
      <c r="K269" s="45"/>
      <c r="L269" s="46"/>
      <c r="M269" s="43">
        <f>SUM(M265:M268)</f>
        <v>138.9836898912</v>
      </c>
      <c r="N269" s="46"/>
      <c r="O269" s="44"/>
      <c r="P269" s="51"/>
    </row>
    <row r="270" ht="29.1" customHeight="1" spans="1:21">
      <c r="A270" s="40">
        <v>46092</v>
      </c>
      <c r="B270" s="41" t="s">
        <v>40</v>
      </c>
      <c r="C270" s="42" t="s">
        <v>340</v>
      </c>
      <c r="D270" s="43" t="s">
        <v>335</v>
      </c>
      <c r="E270" s="44">
        <v>956888531</v>
      </c>
      <c r="F270" s="44" t="s">
        <v>179</v>
      </c>
      <c r="G270" s="44" t="s">
        <v>31</v>
      </c>
      <c r="H270" s="44"/>
      <c r="I270" s="45">
        <f>+L270*24</f>
        <v>12960</v>
      </c>
      <c r="J270" s="45" t="s">
        <v>32</v>
      </c>
      <c r="K270" s="45" t="s">
        <v>33</v>
      </c>
      <c r="L270" s="46">
        <v>540</v>
      </c>
      <c r="M270" s="43">
        <f t="shared" ref="M270:M279" si="36">+U270</f>
        <v>7.18146</v>
      </c>
      <c r="N270" s="46" t="s">
        <v>34</v>
      </c>
      <c r="O270" s="44"/>
      <c r="P270" s="47" t="s">
        <v>360</v>
      </c>
      <c r="Q270" s="8">
        <f>VLOOKUP($F270,[1]装箱单!$A:$E,5,0)</f>
        <v>31</v>
      </c>
      <c r="R270" s="8">
        <f>VLOOKUP($F270,[1]装箱单!$A:$F,6,0)</f>
        <v>22</v>
      </c>
      <c r="S270" s="8">
        <f>VLOOKUP($F270,[1]装箱单!$A:$G,7,0)</f>
        <v>19.5</v>
      </c>
      <c r="T270" s="10">
        <f>VLOOKUP($F270,[1]装箱单!$A:$J,10,0)</f>
        <v>0.013299</v>
      </c>
      <c r="U270" s="11">
        <f t="shared" ref="U270:U279" si="37">+T270*L270</f>
        <v>7.18146</v>
      </c>
    </row>
    <row r="271" ht="29.1" customHeight="1" spans="1:21">
      <c r="A271" s="40">
        <v>46091</v>
      </c>
      <c r="B271" s="41" t="s">
        <v>361</v>
      </c>
      <c r="C271" s="42" t="s">
        <v>362</v>
      </c>
      <c r="D271" s="43" t="s">
        <v>363</v>
      </c>
      <c r="E271" s="44"/>
      <c r="F271" s="44" t="s">
        <v>45</v>
      </c>
      <c r="G271" s="44" t="s">
        <v>31</v>
      </c>
      <c r="H271" s="44"/>
      <c r="I271" s="45">
        <f>+L271*18</f>
        <v>1800</v>
      </c>
      <c r="J271" s="45" t="s">
        <v>32</v>
      </c>
      <c r="K271" s="45" t="s">
        <v>33</v>
      </c>
      <c r="L271" s="46">
        <v>100</v>
      </c>
      <c r="M271" s="43">
        <f t="shared" si="36"/>
        <v>0.57930126075</v>
      </c>
      <c r="N271" s="46" t="s">
        <v>34</v>
      </c>
      <c r="O271" s="44"/>
      <c r="P271" s="48"/>
      <c r="Q271" s="8">
        <f>VLOOKUP($F271,[1]装箱单!$A:$E,5,0)</f>
        <v>32.385</v>
      </c>
      <c r="R271" s="8">
        <f>VLOOKUP($F271,[1]装箱单!$A:$F,6,0)</f>
        <v>18.78</v>
      </c>
      <c r="S271" s="8">
        <f>VLOOKUP($F271,[1]装箱单!$A:$G,7,0)</f>
        <v>9.525</v>
      </c>
      <c r="T271" s="10">
        <f>VLOOKUP($F271,[1]装箱单!$A:$J,10,0)</f>
        <v>0.0057930126075</v>
      </c>
      <c r="U271" s="11">
        <f t="shared" si="37"/>
        <v>0.57930126075</v>
      </c>
    </row>
    <row r="272" ht="29.1" customHeight="1" spans="1:21">
      <c r="A272" s="40">
        <v>46091</v>
      </c>
      <c r="B272" s="41" t="s">
        <v>361</v>
      </c>
      <c r="C272" s="42" t="s">
        <v>362</v>
      </c>
      <c r="D272" s="43" t="s">
        <v>363</v>
      </c>
      <c r="E272" s="44"/>
      <c r="F272" s="44" t="s">
        <v>45</v>
      </c>
      <c r="G272" s="44" t="s">
        <v>31</v>
      </c>
      <c r="H272" s="44"/>
      <c r="I272" s="45">
        <f>+L272*18</f>
        <v>1800</v>
      </c>
      <c r="J272" s="45" t="s">
        <v>32</v>
      </c>
      <c r="K272" s="45" t="s">
        <v>33</v>
      </c>
      <c r="L272" s="46">
        <v>100</v>
      </c>
      <c r="M272" s="43">
        <f t="shared" si="36"/>
        <v>0.57930126075</v>
      </c>
      <c r="N272" s="46" t="s">
        <v>34</v>
      </c>
      <c r="O272" s="44"/>
      <c r="P272" s="48"/>
      <c r="Q272" s="8">
        <f>VLOOKUP($F272,[1]装箱单!$A:$E,5,0)</f>
        <v>32.385</v>
      </c>
      <c r="R272" s="8">
        <f>VLOOKUP($F272,[1]装箱单!$A:$F,6,0)</f>
        <v>18.78</v>
      </c>
      <c r="S272" s="8">
        <f>VLOOKUP($F272,[1]装箱单!$A:$G,7,0)</f>
        <v>9.525</v>
      </c>
      <c r="T272" s="10">
        <f>VLOOKUP($F272,[1]装箱单!$A:$J,10,0)</f>
        <v>0.0057930126075</v>
      </c>
      <c r="U272" s="11">
        <f t="shared" si="37"/>
        <v>0.57930126075</v>
      </c>
    </row>
    <row r="273" ht="29.1" customHeight="1" spans="1:21">
      <c r="A273" s="40">
        <v>46091</v>
      </c>
      <c r="B273" s="41" t="s">
        <v>361</v>
      </c>
      <c r="C273" s="42" t="s">
        <v>362</v>
      </c>
      <c r="D273" s="119" t="s">
        <v>363</v>
      </c>
      <c r="E273" s="44"/>
      <c r="F273" s="44" t="s">
        <v>111</v>
      </c>
      <c r="G273" s="44" t="s">
        <v>31</v>
      </c>
      <c r="H273" s="44"/>
      <c r="I273" s="45">
        <f>+L273*18</f>
        <v>1800</v>
      </c>
      <c r="J273" s="45" t="s">
        <v>32</v>
      </c>
      <c r="K273" s="45" t="s">
        <v>33</v>
      </c>
      <c r="L273" s="46">
        <v>100</v>
      </c>
      <c r="M273" s="43">
        <f t="shared" si="36"/>
        <v>0.57930126075</v>
      </c>
      <c r="N273" s="46" t="s">
        <v>34</v>
      </c>
      <c r="O273" s="44"/>
      <c r="P273" s="48"/>
      <c r="Q273" s="8">
        <f>VLOOKUP($F273,[1]装箱单!$A:$E,5,0)</f>
        <v>32.385</v>
      </c>
      <c r="R273" s="8">
        <f>VLOOKUP($F273,[1]装箱单!$A:$F,6,0)</f>
        <v>18.78</v>
      </c>
      <c r="S273" s="8">
        <f>VLOOKUP($F273,[1]装箱单!$A:$G,7,0)</f>
        <v>9.525</v>
      </c>
      <c r="T273" s="10">
        <f>VLOOKUP($F273,[1]装箱单!$A:$J,10,0)</f>
        <v>0.0057930126075</v>
      </c>
      <c r="U273" s="11">
        <f t="shared" si="37"/>
        <v>0.57930126075</v>
      </c>
    </row>
    <row r="274" ht="29.1" customHeight="1" spans="1:21">
      <c r="A274" s="40">
        <v>46091</v>
      </c>
      <c r="B274" s="41" t="s">
        <v>361</v>
      </c>
      <c r="C274" s="42" t="s">
        <v>362</v>
      </c>
      <c r="D274" s="43" t="s">
        <v>363</v>
      </c>
      <c r="E274" s="44"/>
      <c r="F274" s="44" t="s">
        <v>111</v>
      </c>
      <c r="G274" s="44" t="s">
        <v>31</v>
      </c>
      <c r="H274" s="44"/>
      <c r="I274" s="45">
        <f>+L274*18</f>
        <v>1800</v>
      </c>
      <c r="J274" s="45" t="s">
        <v>32</v>
      </c>
      <c r="K274" s="45" t="s">
        <v>33</v>
      </c>
      <c r="L274" s="46">
        <v>100</v>
      </c>
      <c r="M274" s="43">
        <f t="shared" si="36"/>
        <v>0.57930126075</v>
      </c>
      <c r="N274" s="46" t="s">
        <v>34</v>
      </c>
      <c r="O274" s="44"/>
      <c r="P274" s="48"/>
      <c r="Q274" s="8">
        <f>VLOOKUP($F274,[1]装箱单!$A:$E,5,0)</f>
        <v>32.385</v>
      </c>
      <c r="R274" s="8">
        <f>VLOOKUP($F274,[1]装箱单!$A:$F,6,0)</f>
        <v>18.78</v>
      </c>
      <c r="S274" s="8">
        <f>VLOOKUP($F274,[1]装箱单!$A:$G,7,0)</f>
        <v>9.525</v>
      </c>
      <c r="T274" s="10">
        <f>VLOOKUP($F274,[1]装箱单!$A:$J,10,0)</f>
        <v>0.0057930126075</v>
      </c>
      <c r="U274" s="11">
        <f t="shared" si="37"/>
        <v>0.57930126075</v>
      </c>
    </row>
    <row r="275" ht="29.1" customHeight="1" spans="1:21">
      <c r="A275" s="40">
        <v>46092</v>
      </c>
      <c r="B275" s="41" t="s">
        <v>54</v>
      </c>
      <c r="C275" s="42" t="s">
        <v>364</v>
      </c>
      <c r="D275" s="43" t="s">
        <v>365</v>
      </c>
      <c r="E275" s="44">
        <v>966892972</v>
      </c>
      <c r="F275" s="44">
        <v>28472</v>
      </c>
      <c r="G275" s="44" t="s">
        <v>31</v>
      </c>
      <c r="H275" s="44"/>
      <c r="I275" s="45">
        <f>+L275</f>
        <v>1680</v>
      </c>
      <c r="J275" s="45" t="s">
        <v>32</v>
      </c>
      <c r="K275" s="45" t="s">
        <v>33</v>
      </c>
      <c r="L275" s="46">
        <v>1680</v>
      </c>
      <c r="M275" s="43">
        <f t="shared" si="36"/>
        <v>30.8448</v>
      </c>
      <c r="N275" s="46" t="s">
        <v>34</v>
      </c>
      <c r="O275" s="44"/>
      <c r="P275" s="48"/>
      <c r="Q275" s="8">
        <f>VLOOKUP($F275,[1]装箱单!$A:$E,5,0)</f>
        <v>30</v>
      </c>
      <c r="R275" s="8">
        <f>VLOOKUP($F275,[1]装箱单!$A:$F,6,0)</f>
        <v>17</v>
      </c>
      <c r="S275" s="8">
        <f>VLOOKUP($F275,[1]装箱单!$A:$G,7,0)</f>
        <v>36</v>
      </c>
      <c r="T275" s="10">
        <f>VLOOKUP($F275,[1]装箱单!$A:$J,10,0)</f>
        <v>0.01836</v>
      </c>
      <c r="U275" s="11">
        <f t="shared" si="37"/>
        <v>30.8448</v>
      </c>
    </row>
    <row r="276" ht="29.1" customHeight="1" spans="1:21">
      <c r="A276" s="40">
        <v>46092</v>
      </c>
      <c r="B276" s="41" t="s">
        <v>54</v>
      </c>
      <c r="C276" s="42" t="s">
        <v>366</v>
      </c>
      <c r="D276" s="43" t="s">
        <v>365</v>
      </c>
      <c r="E276" s="44">
        <v>966892991</v>
      </c>
      <c r="F276" s="44">
        <v>28472</v>
      </c>
      <c r="G276" s="44" t="s">
        <v>31</v>
      </c>
      <c r="H276" s="44"/>
      <c r="I276" s="45">
        <f>+L276</f>
        <v>960</v>
      </c>
      <c r="J276" s="45" t="s">
        <v>32</v>
      </c>
      <c r="K276" s="45" t="s">
        <v>33</v>
      </c>
      <c r="L276" s="46">
        <v>960</v>
      </c>
      <c r="M276" s="43">
        <f t="shared" si="36"/>
        <v>17.6256</v>
      </c>
      <c r="N276" s="46" t="s">
        <v>34</v>
      </c>
      <c r="O276" s="44"/>
      <c r="P276" s="48"/>
      <c r="Q276" s="8">
        <f>VLOOKUP($F276,[1]装箱单!$A:$E,5,0)</f>
        <v>30</v>
      </c>
      <c r="R276" s="8">
        <f>VLOOKUP($F276,[1]装箱单!$A:$F,6,0)</f>
        <v>17</v>
      </c>
      <c r="S276" s="8">
        <f>VLOOKUP($F276,[1]装箱单!$A:$G,7,0)</f>
        <v>36</v>
      </c>
      <c r="T276" s="10">
        <f>VLOOKUP($F276,[1]装箱单!$A:$J,10,0)</f>
        <v>0.01836</v>
      </c>
      <c r="U276" s="11">
        <f t="shared" si="37"/>
        <v>17.6256</v>
      </c>
    </row>
    <row r="277" ht="29.1" customHeight="1" spans="1:21">
      <c r="A277" s="40">
        <v>46092</v>
      </c>
      <c r="B277" s="41" t="s">
        <v>54</v>
      </c>
      <c r="C277" s="42" t="s">
        <v>367</v>
      </c>
      <c r="D277" s="43" t="s">
        <v>365</v>
      </c>
      <c r="E277" s="44">
        <v>966893004</v>
      </c>
      <c r="F277" s="44">
        <v>28472</v>
      </c>
      <c r="G277" s="44" t="s">
        <v>31</v>
      </c>
      <c r="H277" s="44"/>
      <c r="I277" s="45">
        <f>+L277</f>
        <v>600</v>
      </c>
      <c r="J277" s="45" t="s">
        <v>32</v>
      </c>
      <c r="K277" s="45" t="s">
        <v>33</v>
      </c>
      <c r="L277" s="46">
        <v>600</v>
      </c>
      <c r="M277" s="43">
        <f t="shared" si="36"/>
        <v>11.016</v>
      </c>
      <c r="N277" s="46" t="s">
        <v>34</v>
      </c>
      <c r="O277" s="44"/>
      <c r="P277" s="48"/>
      <c r="Q277" s="8">
        <f>VLOOKUP($F277,[1]装箱单!$A:$E,5,0)</f>
        <v>30</v>
      </c>
      <c r="R277" s="8">
        <f>VLOOKUP($F277,[1]装箱单!$A:$F,6,0)</f>
        <v>17</v>
      </c>
      <c r="S277" s="8">
        <f>VLOOKUP($F277,[1]装箱单!$A:$G,7,0)</f>
        <v>36</v>
      </c>
      <c r="T277" s="10">
        <f>VLOOKUP($F277,[1]装箱单!$A:$J,10,0)</f>
        <v>0.01836</v>
      </c>
      <c r="U277" s="11">
        <f t="shared" si="37"/>
        <v>11.016</v>
      </c>
    </row>
    <row r="278" ht="29.1" customHeight="1" spans="1:21">
      <c r="A278" s="40">
        <v>46092</v>
      </c>
      <c r="B278" s="41" t="s">
        <v>54</v>
      </c>
      <c r="C278" s="42" t="s">
        <v>368</v>
      </c>
      <c r="D278" s="43" t="s">
        <v>365</v>
      </c>
      <c r="E278" s="44">
        <v>966893035</v>
      </c>
      <c r="F278" s="44">
        <v>28472</v>
      </c>
      <c r="G278" s="44" t="s">
        <v>31</v>
      </c>
      <c r="H278" s="44"/>
      <c r="I278" s="45">
        <f>+L278</f>
        <v>1080</v>
      </c>
      <c r="J278" s="45" t="s">
        <v>32</v>
      </c>
      <c r="K278" s="45" t="s">
        <v>33</v>
      </c>
      <c r="L278" s="46">
        <v>1080</v>
      </c>
      <c r="M278" s="43">
        <f t="shared" si="36"/>
        <v>19.8288</v>
      </c>
      <c r="N278" s="46" t="s">
        <v>34</v>
      </c>
      <c r="O278" s="44"/>
      <c r="P278" s="48"/>
      <c r="Q278" s="8">
        <f>VLOOKUP($F278,[1]装箱单!$A:$E,5,0)</f>
        <v>30</v>
      </c>
      <c r="R278" s="8">
        <f>VLOOKUP($F278,[1]装箱单!$A:$F,6,0)</f>
        <v>17</v>
      </c>
      <c r="S278" s="8">
        <f>VLOOKUP($F278,[1]装箱单!$A:$G,7,0)</f>
        <v>36</v>
      </c>
      <c r="T278" s="10">
        <f>VLOOKUP($F278,[1]装箱单!$A:$J,10,0)</f>
        <v>0.01836</v>
      </c>
      <c r="U278" s="11">
        <f t="shared" si="37"/>
        <v>19.8288</v>
      </c>
    </row>
    <row r="279" ht="29.1" customHeight="1" spans="1:21">
      <c r="A279" s="40">
        <v>46092</v>
      </c>
      <c r="B279" s="41" t="s">
        <v>146</v>
      </c>
      <c r="C279" s="42" t="s">
        <v>369</v>
      </c>
      <c r="D279" s="43" t="s">
        <v>370</v>
      </c>
      <c r="E279" s="44">
        <v>2557098</v>
      </c>
      <c r="F279" s="44">
        <v>46134</v>
      </c>
      <c r="G279" s="44" t="s">
        <v>31</v>
      </c>
      <c r="H279" s="44"/>
      <c r="I279" s="45">
        <f>+L279*2</f>
        <v>1200</v>
      </c>
      <c r="J279" s="45" t="s">
        <v>32</v>
      </c>
      <c r="K279" s="45" t="s">
        <v>33</v>
      </c>
      <c r="L279" s="46">
        <v>600</v>
      </c>
      <c r="M279" s="43">
        <f t="shared" si="36"/>
        <v>13.4194308192</v>
      </c>
      <c r="N279" s="46" t="s">
        <v>34</v>
      </c>
      <c r="O279" s="44"/>
      <c r="P279" s="48"/>
      <c r="Q279" s="8">
        <f>VLOOKUP($F279,[1]装箱单!$A:$E,5,0)</f>
        <v>40.01</v>
      </c>
      <c r="R279" s="8">
        <f>VLOOKUP($F279,[1]装箱单!$A:$F,6,0)</f>
        <v>26.67</v>
      </c>
      <c r="S279" s="8">
        <f>VLOOKUP($F279,[1]装箱单!$A:$G,7,0)</f>
        <v>20.96</v>
      </c>
      <c r="T279" s="10">
        <f>VLOOKUP($F279,[1]装箱单!$A:$J,10,0)</f>
        <v>0.022365718032</v>
      </c>
      <c r="U279" s="11">
        <f t="shared" si="37"/>
        <v>13.4194308192</v>
      </c>
    </row>
    <row r="280" ht="29.1" customHeight="1" spans="1:21">
      <c r="A280" s="40"/>
      <c r="B280" s="41"/>
      <c r="C280" s="42"/>
      <c r="D280" s="43"/>
      <c r="E280" s="44"/>
      <c r="F280" s="44"/>
      <c r="G280" s="44"/>
      <c r="H280" s="44"/>
      <c r="I280" s="45"/>
      <c r="J280" s="45"/>
      <c r="K280" s="45"/>
      <c r="L280" s="46"/>
      <c r="M280" s="43">
        <f>SUM(M270:M279)</f>
        <v>102.2332958622</v>
      </c>
      <c r="N280" s="46"/>
      <c r="O280" s="44"/>
      <c r="P280" s="51"/>
    </row>
    <row r="281" ht="29.1" customHeight="1" spans="1:21">
      <c r="A281" s="40">
        <v>46095</v>
      </c>
      <c r="B281" s="41" t="s">
        <v>371</v>
      </c>
      <c r="C281" s="42" t="s">
        <v>372</v>
      </c>
      <c r="D281" s="43" t="s">
        <v>373</v>
      </c>
      <c r="E281" s="44" t="s">
        <v>374</v>
      </c>
      <c r="F281" s="44" t="s">
        <v>45</v>
      </c>
      <c r="G281" s="44" t="s">
        <v>31</v>
      </c>
      <c r="H281" s="44"/>
      <c r="I281" s="45">
        <f>+L281*18</f>
        <v>14400</v>
      </c>
      <c r="J281" s="45" t="s">
        <v>32</v>
      </c>
      <c r="K281" s="45" t="s">
        <v>33</v>
      </c>
      <c r="L281" s="46">
        <v>800</v>
      </c>
      <c r="M281" s="43">
        <f>+U281</f>
        <v>4.634410086</v>
      </c>
      <c r="N281" s="46" t="s">
        <v>34</v>
      </c>
      <c r="O281" s="44"/>
      <c r="P281" s="123" t="s">
        <v>375</v>
      </c>
      <c r="Q281" s="8">
        <f>VLOOKUP($F281,[1]装箱单!$A:$E,5,0)</f>
        <v>32.385</v>
      </c>
      <c r="R281" s="8">
        <f>VLOOKUP($F281,[1]装箱单!$A:$F,6,0)</f>
        <v>18.78</v>
      </c>
      <c r="S281" s="8">
        <f>VLOOKUP($F281,[1]装箱单!$A:$G,7,0)</f>
        <v>9.525</v>
      </c>
      <c r="T281" s="10">
        <f>VLOOKUP($F281,[1]装箱单!$A:$J,10,0)</f>
        <v>0.0057930126075</v>
      </c>
      <c r="U281" s="11">
        <f>+T281*L281</f>
        <v>4.634410086</v>
      </c>
    </row>
    <row r="282" ht="29.1" customHeight="1" spans="1:21">
      <c r="A282" s="40"/>
      <c r="B282" s="41"/>
      <c r="C282" s="42"/>
      <c r="D282" s="43"/>
      <c r="E282" s="44"/>
      <c r="F282" s="44"/>
      <c r="G282" s="44"/>
      <c r="H282" s="44"/>
      <c r="I282" s="45"/>
      <c r="J282" s="45"/>
      <c r="K282" s="45"/>
      <c r="L282" s="46"/>
      <c r="M282" s="43">
        <f>SUM(M281:M281)</f>
        <v>4.634410086</v>
      </c>
      <c r="N282" s="46"/>
      <c r="O282" s="44"/>
      <c r="P282" s="123"/>
    </row>
    <row r="283" ht="29.1" customHeight="1" spans="1:21">
      <c r="A283" s="40">
        <v>46098</v>
      </c>
      <c r="B283" s="41" t="s">
        <v>54</v>
      </c>
      <c r="C283" s="42" t="s">
        <v>376</v>
      </c>
      <c r="D283" s="43" t="s">
        <v>377</v>
      </c>
      <c r="E283" s="44">
        <v>966893020</v>
      </c>
      <c r="F283" s="44">
        <v>28472</v>
      </c>
      <c r="G283" s="44" t="s">
        <v>31</v>
      </c>
      <c r="H283" s="44"/>
      <c r="I283" s="45">
        <f>+L283</f>
        <v>2400</v>
      </c>
      <c r="J283" s="45" t="s">
        <v>32</v>
      </c>
      <c r="K283" s="45" t="s">
        <v>33</v>
      </c>
      <c r="L283" s="46">
        <v>2400</v>
      </c>
      <c r="M283" s="43">
        <f>+U283</f>
        <v>44.064</v>
      </c>
      <c r="N283" s="46" t="s">
        <v>34</v>
      </c>
      <c r="O283" s="44"/>
      <c r="P283" s="47" t="s">
        <v>137</v>
      </c>
      <c r="Q283" s="8">
        <f>VLOOKUP($F283,[1]装箱单!$A:$E,5,0)</f>
        <v>30</v>
      </c>
      <c r="R283" s="8">
        <f>VLOOKUP($F283,[1]装箱单!$A:$F,6,0)</f>
        <v>17</v>
      </c>
      <c r="S283" s="8">
        <f>VLOOKUP($F283,[1]装箱单!$A:$G,7,0)</f>
        <v>36</v>
      </c>
      <c r="T283" s="10">
        <f>VLOOKUP($F283,[1]装箱单!$A:$J,10,0)</f>
        <v>0.01836</v>
      </c>
      <c r="U283" s="11">
        <f>+T283*L283</f>
        <v>44.064</v>
      </c>
    </row>
    <row r="284" ht="29.1" customHeight="1" spans="1:21">
      <c r="A284" s="40">
        <v>46098</v>
      </c>
      <c r="B284" s="41" t="s">
        <v>40</v>
      </c>
      <c r="C284" s="42" t="s">
        <v>378</v>
      </c>
      <c r="D284" s="43" t="s">
        <v>379</v>
      </c>
      <c r="E284" s="44">
        <v>954188463</v>
      </c>
      <c r="F284" s="44">
        <v>28483</v>
      </c>
      <c r="G284" s="44" t="s">
        <v>31</v>
      </c>
      <c r="H284" s="44"/>
      <c r="I284" s="45">
        <f>+L284</f>
        <v>1080</v>
      </c>
      <c r="J284" s="45" t="s">
        <v>32</v>
      </c>
      <c r="K284" s="45" t="s">
        <v>33</v>
      </c>
      <c r="L284" s="46">
        <v>1080</v>
      </c>
      <c r="M284" s="43">
        <f>+U284</f>
        <v>6.2345052</v>
      </c>
      <c r="N284" s="46" t="s">
        <v>34</v>
      </c>
      <c r="O284" s="44"/>
      <c r="P284" s="48"/>
      <c r="Q284" s="8">
        <f>VLOOKUP($F284,[1]装箱单!$A:$E,5,0)</f>
        <v>16.83</v>
      </c>
      <c r="R284" s="8">
        <f>VLOOKUP($F284,[1]装箱单!$A:$F,6,0)</f>
        <v>17.15</v>
      </c>
      <c r="S284" s="8">
        <f>VLOOKUP($F284,[1]装箱单!$A:$G,7,0)</f>
        <v>20</v>
      </c>
      <c r="T284" s="10">
        <f>VLOOKUP($F284,[1]装箱单!$A:$J,10,0)</f>
        <v>0.00577269</v>
      </c>
      <c r="U284" s="11">
        <f>+T284*L284</f>
        <v>6.2345052</v>
      </c>
    </row>
    <row r="285" ht="29.1" customHeight="1" spans="1:21">
      <c r="A285" s="40">
        <v>46098</v>
      </c>
      <c r="B285" s="41" t="s">
        <v>380</v>
      </c>
      <c r="C285" s="42" t="s">
        <v>381</v>
      </c>
      <c r="D285" s="43" t="s">
        <v>382</v>
      </c>
      <c r="E285" s="44">
        <v>4976</v>
      </c>
      <c r="F285" s="44" t="s">
        <v>111</v>
      </c>
      <c r="G285" s="44" t="s">
        <v>31</v>
      </c>
      <c r="H285" s="44"/>
      <c r="I285" s="45">
        <f>+L285</f>
        <v>160</v>
      </c>
      <c r="J285" s="45" t="s">
        <v>32</v>
      </c>
      <c r="K285" s="45" t="s">
        <v>33</v>
      </c>
      <c r="L285" s="46">
        <v>160</v>
      </c>
      <c r="M285" s="43">
        <f>+U285</f>
        <v>0.9268820172</v>
      </c>
      <c r="N285" s="46" t="s">
        <v>34</v>
      </c>
      <c r="O285" s="44"/>
      <c r="P285" s="48"/>
      <c r="Q285" s="8">
        <f>VLOOKUP($F285,[1]装箱单!$A:$E,5,0)</f>
        <v>32.385</v>
      </c>
      <c r="R285" s="8">
        <f>VLOOKUP($F285,[1]装箱单!$A:$F,6,0)</f>
        <v>18.78</v>
      </c>
      <c r="S285" s="8">
        <f>VLOOKUP($F285,[1]装箱单!$A:$G,7,0)</f>
        <v>9.525</v>
      </c>
      <c r="T285" s="10">
        <f>VLOOKUP($F285,[1]装箱单!$A:$J,10,0)</f>
        <v>0.0057930126075</v>
      </c>
      <c r="U285" s="11">
        <f>+T285*L285</f>
        <v>0.9268820172</v>
      </c>
    </row>
    <row r="286" ht="29.1" customHeight="1" spans="1:21">
      <c r="A286" s="40">
        <v>46098</v>
      </c>
      <c r="B286" s="41" t="s">
        <v>380</v>
      </c>
      <c r="C286" s="42" t="s">
        <v>381</v>
      </c>
      <c r="D286" s="43" t="s">
        <v>382</v>
      </c>
      <c r="E286" s="44">
        <v>4976</v>
      </c>
      <c r="F286" s="44" t="s">
        <v>45</v>
      </c>
      <c r="G286" s="44" t="s">
        <v>31</v>
      </c>
      <c r="H286" s="44"/>
      <c r="I286" s="45">
        <f>+L286</f>
        <v>160</v>
      </c>
      <c r="J286" s="45" t="s">
        <v>32</v>
      </c>
      <c r="K286" s="45" t="s">
        <v>33</v>
      </c>
      <c r="L286" s="46">
        <v>160</v>
      </c>
      <c r="M286" s="43">
        <f>+U286</f>
        <v>0.9268820172</v>
      </c>
      <c r="N286" s="46" t="s">
        <v>34</v>
      </c>
      <c r="O286" s="44"/>
      <c r="P286" s="48"/>
      <c r="Q286" s="8">
        <f>VLOOKUP($F286,[1]装箱单!$A:$E,5,0)</f>
        <v>32.385</v>
      </c>
      <c r="R286" s="8">
        <f>VLOOKUP($F286,[1]装箱单!$A:$F,6,0)</f>
        <v>18.78</v>
      </c>
      <c r="S286" s="8">
        <f>VLOOKUP($F286,[1]装箱单!$A:$G,7,0)</f>
        <v>9.525</v>
      </c>
      <c r="T286" s="10">
        <f>VLOOKUP($F286,[1]装箱单!$A:$J,10,0)</f>
        <v>0.0057930126075</v>
      </c>
      <c r="U286" s="11">
        <f>+T286*L286</f>
        <v>0.9268820172</v>
      </c>
    </row>
    <row r="287" ht="29.1" customHeight="1" spans="1:21">
      <c r="A287" s="40">
        <v>46098</v>
      </c>
      <c r="B287" s="41" t="s">
        <v>52</v>
      </c>
      <c r="C287" s="42">
        <v>44874</v>
      </c>
      <c r="D287" s="43" t="s">
        <v>311</v>
      </c>
      <c r="E287" s="44"/>
      <c r="F287" s="44">
        <v>570974</v>
      </c>
      <c r="G287" s="44" t="s">
        <v>31</v>
      </c>
      <c r="H287" s="44"/>
      <c r="I287" s="45">
        <f>+L287</f>
        <v>943</v>
      </c>
      <c r="J287" s="45" t="s">
        <v>32</v>
      </c>
      <c r="K287" s="45" t="s">
        <v>33</v>
      </c>
      <c r="L287" s="46">
        <v>943</v>
      </c>
      <c r="M287" s="43">
        <f>+U287</f>
        <v>81.02685306408</v>
      </c>
      <c r="N287" s="46" t="s">
        <v>34</v>
      </c>
      <c r="O287" s="44"/>
      <c r="P287" s="48"/>
      <c r="Q287" s="8">
        <f>VLOOKUP($F287,[1]装箱单!$A:$E,5,0)</f>
        <v>59.05</v>
      </c>
      <c r="R287" s="8">
        <f>VLOOKUP($F287,[1]装箱单!$A:$F,6,0)</f>
        <v>26.04</v>
      </c>
      <c r="S287" s="8">
        <f>VLOOKUP($F287,[1]装箱单!$A:$G,7,0)</f>
        <v>55.88</v>
      </c>
      <c r="T287" s="10">
        <f>VLOOKUP($F287,[1]装箱单!$A:$J,10,0)</f>
        <v>0.08592455256</v>
      </c>
      <c r="U287" s="11">
        <f>+T287*L287</f>
        <v>81.02685306408</v>
      </c>
    </row>
    <row r="288" ht="29.1" customHeight="1" spans="1:21">
      <c r="A288" s="40">
        <v>46098</v>
      </c>
      <c r="B288" s="41"/>
      <c r="C288" s="42"/>
      <c r="D288" s="43"/>
      <c r="E288" s="44"/>
      <c r="F288" s="44" t="s">
        <v>383</v>
      </c>
      <c r="G288" s="44" t="s">
        <v>384</v>
      </c>
      <c r="H288" s="44"/>
      <c r="I288" s="45">
        <v>1</v>
      </c>
      <c r="J288" s="45" t="s">
        <v>47</v>
      </c>
      <c r="K288" s="45" t="s">
        <v>218</v>
      </c>
      <c r="L288" s="46"/>
      <c r="M288" s="43"/>
      <c r="N288" s="46"/>
      <c r="O288" s="44"/>
      <c r="P288" s="48"/>
    </row>
    <row r="289" ht="29.1" customHeight="1" spans="1:21">
      <c r="A289" s="40">
        <v>46098</v>
      </c>
      <c r="B289" s="41"/>
      <c r="C289" s="42"/>
      <c r="D289" s="43"/>
      <c r="E289" s="44"/>
      <c r="F289" s="44" t="s">
        <v>383</v>
      </c>
      <c r="G289" s="44" t="s">
        <v>385</v>
      </c>
      <c r="H289" s="44"/>
      <c r="I289" s="45">
        <v>1</v>
      </c>
      <c r="J289" s="45" t="s">
        <v>47</v>
      </c>
      <c r="K289" s="45" t="s">
        <v>218</v>
      </c>
      <c r="L289" s="46"/>
      <c r="M289" s="43"/>
      <c r="N289" s="46"/>
      <c r="O289" s="44"/>
      <c r="P289" s="48"/>
    </row>
    <row r="290" ht="29.1" customHeight="1" spans="1:21">
      <c r="A290" s="40">
        <v>46098</v>
      </c>
      <c r="B290" s="41"/>
      <c r="C290" s="42"/>
      <c r="D290" s="43"/>
      <c r="E290" s="44"/>
      <c r="F290" s="44">
        <v>28472</v>
      </c>
      <c r="G290" s="44" t="s">
        <v>386</v>
      </c>
      <c r="H290" s="44"/>
      <c r="I290" s="45">
        <v>1</v>
      </c>
      <c r="J290" s="45" t="s">
        <v>387</v>
      </c>
      <c r="K290" s="45" t="s">
        <v>218</v>
      </c>
      <c r="L290" s="46"/>
      <c r="M290" s="43"/>
      <c r="N290" s="46"/>
      <c r="O290" s="44"/>
      <c r="P290" s="48"/>
    </row>
    <row r="291" ht="29.1" customHeight="1" spans="1:21">
      <c r="A291" s="40">
        <v>46098</v>
      </c>
      <c r="B291" s="41"/>
      <c r="C291" s="42"/>
      <c r="D291" s="43"/>
      <c r="E291" s="44"/>
      <c r="F291" s="44">
        <v>571388</v>
      </c>
      <c r="G291" s="44" t="s">
        <v>386</v>
      </c>
      <c r="H291" s="44"/>
      <c r="I291" s="45">
        <v>1</v>
      </c>
      <c r="J291" s="45" t="s">
        <v>387</v>
      </c>
      <c r="K291" s="45" t="s">
        <v>218</v>
      </c>
      <c r="L291" s="46"/>
      <c r="M291" s="43"/>
      <c r="N291" s="46"/>
      <c r="O291" s="44"/>
      <c r="P291" s="48"/>
    </row>
    <row r="292" ht="29.1" customHeight="1" spans="1:21">
      <c r="A292" s="40"/>
      <c r="B292" s="41"/>
      <c r="C292" s="42"/>
      <c r="D292" s="43"/>
      <c r="E292" s="44"/>
      <c r="F292" s="44"/>
      <c r="G292" s="44"/>
      <c r="H292" s="44"/>
      <c r="I292" s="45"/>
      <c r="J292" s="45"/>
      <c r="K292" s="45"/>
      <c r="L292" s="46"/>
      <c r="M292" s="43">
        <f>SUM(M283:M287)</f>
        <v>133.17912229848</v>
      </c>
      <c r="N292" s="46"/>
      <c r="O292" s="44"/>
      <c r="P292" s="51"/>
    </row>
    <row r="293" ht="29.1" customHeight="1" spans="1:21">
      <c r="A293" s="40">
        <v>46099</v>
      </c>
      <c r="B293" s="41" t="s">
        <v>52</v>
      </c>
      <c r="C293" s="42">
        <v>44874</v>
      </c>
      <c r="D293" s="43" t="s">
        <v>311</v>
      </c>
      <c r="E293" s="44"/>
      <c r="F293" s="44">
        <v>570974</v>
      </c>
      <c r="G293" s="44" t="s">
        <v>31</v>
      </c>
      <c r="H293" s="44"/>
      <c r="I293" s="45">
        <f>+L293</f>
        <v>1337</v>
      </c>
      <c r="J293" s="45" t="s">
        <v>32</v>
      </c>
      <c r="K293" s="45" t="s">
        <v>33</v>
      </c>
      <c r="L293" s="46">
        <f>2280-943</f>
        <v>1337</v>
      </c>
      <c r="M293" s="43">
        <f>+U293</f>
        <v>114.88112677272</v>
      </c>
      <c r="N293" s="46" t="s">
        <v>34</v>
      </c>
      <c r="O293" s="44" t="s">
        <v>62</v>
      </c>
      <c r="P293" s="47" t="s">
        <v>388</v>
      </c>
      <c r="Q293" s="8">
        <f>VLOOKUP($F293,[1]装箱单!$A:$E,5,0)</f>
        <v>59.05</v>
      </c>
      <c r="R293" s="8">
        <f>VLOOKUP($F293,[1]装箱单!$A:$F,6,0)</f>
        <v>26.04</v>
      </c>
      <c r="S293" s="8">
        <f>VLOOKUP($F293,[1]装箱单!$A:$G,7,0)</f>
        <v>55.88</v>
      </c>
      <c r="T293" s="10">
        <f>VLOOKUP($F293,[1]装箱单!$A:$J,10,0)</f>
        <v>0.08592455256</v>
      </c>
      <c r="U293" s="11">
        <f>+T293*L293</f>
        <v>114.88112677272</v>
      </c>
    </row>
    <row r="294" ht="29.1" customHeight="1" spans="1:21">
      <c r="A294" s="40">
        <v>46099</v>
      </c>
      <c r="B294" s="41" t="s">
        <v>40</v>
      </c>
      <c r="C294" s="42" t="s">
        <v>389</v>
      </c>
      <c r="D294" s="43" t="s">
        <v>335</v>
      </c>
      <c r="E294" s="44">
        <v>963286939</v>
      </c>
      <c r="F294" s="44" t="s">
        <v>179</v>
      </c>
      <c r="G294" s="44" t="s">
        <v>31</v>
      </c>
      <c r="H294" s="44"/>
      <c r="I294" s="45">
        <v>8640</v>
      </c>
      <c r="J294" s="45" t="s">
        <v>32</v>
      </c>
      <c r="K294" s="45" t="s">
        <v>33</v>
      </c>
      <c r="L294" s="46">
        <f>+I294/24</f>
        <v>360</v>
      </c>
      <c r="M294" s="43">
        <f>+U294</f>
        <v>4.78764</v>
      </c>
      <c r="N294" s="46" t="s">
        <v>34</v>
      </c>
      <c r="O294" s="44" t="s">
        <v>62</v>
      </c>
      <c r="P294" s="48"/>
      <c r="Q294" s="8">
        <f>VLOOKUP($F294,[1]装箱单!$A:$E,5,0)</f>
        <v>31</v>
      </c>
      <c r="R294" s="8">
        <f>VLOOKUP($F294,[1]装箱单!$A:$F,6,0)</f>
        <v>22</v>
      </c>
      <c r="S294" s="8">
        <f>VLOOKUP($F294,[1]装箱单!$A:$G,7,0)</f>
        <v>19.5</v>
      </c>
      <c r="T294" s="10">
        <f>VLOOKUP($F294,[1]装箱单!$A:$J,10,0)</f>
        <v>0.013299</v>
      </c>
      <c r="U294" s="11">
        <f>+T294*L294</f>
        <v>4.78764</v>
      </c>
    </row>
    <row r="295" ht="29.1" customHeight="1" spans="1:21">
      <c r="A295" s="40">
        <v>46099</v>
      </c>
      <c r="B295" s="41" t="s">
        <v>40</v>
      </c>
      <c r="C295" s="42" t="s">
        <v>390</v>
      </c>
      <c r="D295" s="43" t="s">
        <v>335</v>
      </c>
      <c r="E295" s="44">
        <v>963286923</v>
      </c>
      <c r="F295" s="44" t="s">
        <v>179</v>
      </c>
      <c r="G295" s="44" t="s">
        <v>31</v>
      </c>
      <c r="H295" s="44"/>
      <c r="I295" s="45">
        <v>15120</v>
      </c>
      <c r="J295" s="45" t="s">
        <v>32</v>
      </c>
      <c r="K295" s="45" t="s">
        <v>33</v>
      </c>
      <c r="L295" s="46">
        <f>+I295/24</f>
        <v>630</v>
      </c>
      <c r="M295" s="43">
        <f>+U295</f>
        <v>8.37837</v>
      </c>
      <c r="N295" s="46" t="s">
        <v>34</v>
      </c>
      <c r="O295" s="44"/>
      <c r="P295" s="48"/>
      <c r="Q295" s="8">
        <f>VLOOKUP($F295,[1]装箱单!$A:$E,5,0)</f>
        <v>31</v>
      </c>
      <c r="R295" s="8">
        <f>VLOOKUP($F295,[1]装箱单!$A:$F,6,0)</f>
        <v>22</v>
      </c>
      <c r="S295" s="8">
        <f>VLOOKUP($F295,[1]装箱单!$A:$G,7,0)</f>
        <v>19.5</v>
      </c>
      <c r="T295" s="10">
        <f>VLOOKUP($F295,[1]装箱单!$A:$J,10,0)</f>
        <v>0.013299</v>
      </c>
      <c r="U295" s="11">
        <f>+T295*L295</f>
        <v>8.37837</v>
      </c>
    </row>
    <row r="296" ht="29.1" customHeight="1" spans="1:21">
      <c r="A296" s="40">
        <v>46099</v>
      </c>
      <c r="B296" s="41" t="s">
        <v>40</v>
      </c>
      <c r="C296" s="42" t="s">
        <v>391</v>
      </c>
      <c r="D296" s="43" t="s">
        <v>335</v>
      </c>
      <c r="E296" s="44">
        <v>963286934</v>
      </c>
      <c r="F296" s="44" t="s">
        <v>179</v>
      </c>
      <c r="G296" s="44" t="s">
        <v>31</v>
      </c>
      <c r="H296" s="44"/>
      <c r="I296" s="45">
        <v>10800</v>
      </c>
      <c r="J296" s="45" t="s">
        <v>32</v>
      </c>
      <c r="K296" s="45" t="s">
        <v>33</v>
      </c>
      <c r="L296" s="46">
        <f>+I296/24</f>
        <v>450</v>
      </c>
      <c r="M296" s="43">
        <f>+U296</f>
        <v>5.98455</v>
      </c>
      <c r="N296" s="46" t="s">
        <v>34</v>
      </c>
      <c r="O296" s="44"/>
      <c r="P296" s="48"/>
      <c r="Q296" s="8">
        <f>VLOOKUP($F296,[1]装箱单!$A:$E,5,0)</f>
        <v>31</v>
      </c>
      <c r="R296" s="8">
        <f>VLOOKUP($F296,[1]装箱单!$A:$F,6,0)</f>
        <v>22</v>
      </c>
      <c r="S296" s="8">
        <f>VLOOKUP($F296,[1]装箱单!$A:$G,7,0)</f>
        <v>19.5</v>
      </c>
      <c r="T296" s="10">
        <f>VLOOKUP($F296,[1]装箱单!$A:$J,10,0)</f>
        <v>0.013299</v>
      </c>
      <c r="U296" s="11">
        <f>+T296*L296</f>
        <v>5.98455</v>
      </c>
    </row>
    <row r="297" ht="29.1" customHeight="1" spans="1:21">
      <c r="A297" s="40">
        <v>46099</v>
      </c>
      <c r="B297" s="41" t="s">
        <v>40</v>
      </c>
      <c r="C297" s="42" t="s">
        <v>392</v>
      </c>
      <c r="D297" s="43" t="s">
        <v>335</v>
      </c>
      <c r="E297" s="44">
        <v>963286940</v>
      </c>
      <c r="F297" s="44" t="s">
        <v>179</v>
      </c>
      <c r="G297" s="44" t="s">
        <v>31</v>
      </c>
      <c r="H297" s="44"/>
      <c r="I297" s="45">
        <v>8640</v>
      </c>
      <c r="J297" s="45" t="s">
        <v>32</v>
      </c>
      <c r="K297" s="45" t="s">
        <v>33</v>
      </c>
      <c r="L297" s="46">
        <f>+I297/24</f>
        <v>360</v>
      </c>
      <c r="M297" s="43">
        <f>+U297</f>
        <v>4.78764</v>
      </c>
      <c r="N297" s="46" t="s">
        <v>34</v>
      </c>
      <c r="O297" s="44"/>
      <c r="P297" s="48"/>
      <c r="Q297" s="8">
        <f>VLOOKUP($F297,[1]装箱单!$A:$E,5,0)</f>
        <v>31</v>
      </c>
      <c r="R297" s="8">
        <f>VLOOKUP($F297,[1]装箱单!$A:$F,6,0)</f>
        <v>22</v>
      </c>
      <c r="S297" s="8">
        <f>VLOOKUP($F297,[1]装箱单!$A:$G,7,0)</f>
        <v>19.5</v>
      </c>
      <c r="T297" s="10">
        <f>VLOOKUP($F297,[1]装箱单!$A:$J,10,0)</f>
        <v>0.013299</v>
      </c>
      <c r="U297" s="11">
        <f>+T297*L297</f>
        <v>4.78764</v>
      </c>
    </row>
    <row r="298" ht="29.1" customHeight="1" spans="1:21">
      <c r="A298" s="40"/>
      <c r="B298" s="41"/>
      <c r="C298" s="42"/>
      <c r="D298" s="43"/>
      <c r="E298" s="44"/>
      <c r="F298" s="44"/>
      <c r="G298" s="44"/>
      <c r="H298" s="44"/>
      <c r="I298" s="45"/>
      <c r="J298" s="45"/>
      <c r="K298" s="45"/>
      <c r="L298" s="46"/>
      <c r="M298" s="43">
        <f>SUM(M293:M297)</f>
        <v>138.81932677272</v>
      </c>
      <c r="N298" s="46"/>
      <c r="O298" s="44"/>
      <c r="P298" s="51"/>
    </row>
    <row r="299" ht="29.1" customHeight="1" spans="1:21">
      <c r="A299" s="40">
        <v>46100</v>
      </c>
      <c r="B299" s="41" t="s">
        <v>40</v>
      </c>
      <c r="C299" s="42" t="s">
        <v>393</v>
      </c>
      <c r="D299" s="43" t="s">
        <v>335</v>
      </c>
      <c r="E299" s="44">
        <v>963286937</v>
      </c>
      <c r="F299" s="44" t="s">
        <v>179</v>
      </c>
      <c r="G299" s="44" t="s">
        <v>31</v>
      </c>
      <c r="H299" s="44"/>
      <c r="I299" s="45">
        <v>6480</v>
      </c>
      <c r="J299" s="45" t="s">
        <v>32</v>
      </c>
      <c r="K299" s="45" t="s">
        <v>33</v>
      </c>
      <c r="L299" s="46">
        <f>+I299/24</f>
        <v>270</v>
      </c>
      <c r="M299" s="43">
        <f t="shared" ref="M299:M309" si="38">+U299</f>
        <v>3.59073</v>
      </c>
      <c r="N299" s="46" t="s">
        <v>34</v>
      </c>
      <c r="O299" s="44"/>
      <c r="P299" s="47" t="s">
        <v>128</v>
      </c>
      <c r="Q299" s="8">
        <f>VLOOKUP($F299,[1]装箱单!$A:$E,5,0)</f>
        <v>31</v>
      </c>
      <c r="R299" s="8">
        <f>VLOOKUP($F299,[1]装箱单!$A:$F,6,0)</f>
        <v>22</v>
      </c>
      <c r="S299" s="8">
        <f>VLOOKUP($F299,[1]装箱单!$A:$G,7,0)</f>
        <v>19.5</v>
      </c>
      <c r="T299" s="10">
        <f>VLOOKUP($F299,[1]装箱单!$A:$J,10,0)</f>
        <v>0.013299</v>
      </c>
      <c r="U299" s="11">
        <f t="shared" ref="U299:U309" si="39">+T299*L299</f>
        <v>3.59073</v>
      </c>
    </row>
    <row r="300" ht="29.1" customHeight="1" spans="1:21">
      <c r="A300" s="40">
        <v>46100</v>
      </c>
      <c r="B300" s="41" t="s">
        <v>40</v>
      </c>
      <c r="C300" s="42" t="s">
        <v>394</v>
      </c>
      <c r="D300" s="43" t="s">
        <v>335</v>
      </c>
      <c r="E300" s="44">
        <v>963286957</v>
      </c>
      <c r="F300" s="44" t="s">
        <v>179</v>
      </c>
      <c r="G300" s="44" t="s">
        <v>31</v>
      </c>
      <c r="H300" s="44"/>
      <c r="I300" s="45">
        <v>6480</v>
      </c>
      <c r="J300" s="45" t="s">
        <v>32</v>
      </c>
      <c r="K300" s="45" t="s">
        <v>33</v>
      </c>
      <c r="L300" s="46">
        <f>+I300/24</f>
        <v>270</v>
      </c>
      <c r="M300" s="43">
        <f t="shared" si="38"/>
        <v>3.59073</v>
      </c>
      <c r="N300" s="46" t="s">
        <v>34</v>
      </c>
      <c r="O300" s="44"/>
      <c r="P300" s="48"/>
      <c r="Q300" s="8">
        <f>VLOOKUP($F300,[1]装箱单!$A:$E,5,0)</f>
        <v>31</v>
      </c>
      <c r="R300" s="8">
        <f>VLOOKUP($F300,[1]装箱单!$A:$F,6,0)</f>
        <v>22</v>
      </c>
      <c r="S300" s="8">
        <f>VLOOKUP($F300,[1]装箱单!$A:$G,7,0)</f>
        <v>19.5</v>
      </c>
      <c r="T300" s="10">
        <f>VLOOKUP($F300,[1]装箱单!$A:$J,10,0)</f>
        <v>0.013299</v>
      </c>
      <c r="U300" s="11">
        <f t="shared" si="39"/>
        <v>3.59073</v>
      </c>
    </row>
    <row r="301" ht="29.1" customHeight="1" spans="1:21">
      <c r="A301" s="40">
        <v>46100</v>
      </c>
      <c r="B301" s="41" t="s">
        <v>40</v>
      </c>
      <c r="C301" s="42" t="s">
        <v>376</v>
      </c>
      <c r="D301" s="43" t="s">
        <v>377</v>
      </c>
      <c r="E301" s="44">
        <v>966893020</v>
      </c>
      <c r="F301" s="44" t="s">
        <v>306</v>
      </c>
      <c r="G301" s="44" t="s">
        <v>31</v>
      </c>
      <c r="H301" s="44"/>
      <c r="I301" s="45">
        <v>573</v>
      </c>
      <c r="J301" s="45" t="s">
        <v>32</v>
      </c>
      <c r="K301" s="45" t="s">
        <v>33</v>
      </c>
      <c r="L301" s="46">
        <f>+I301/1</f>
        <v>573</v>
      </c>
      <c r="M301" s="43">
        <f t="shared" si="38"/>
        <v>9.031802017005</v>
      </c>
      <c r="N301" s="46" t="s">
        <v>34</v>
      </c>
      <c r="O301" s="44"/>
      <c r="P301" s="48"/>
      <c r="Q301" s="8">
        <f>VLOOKUP($F301,[1]装箱单!$A:$E,5,0)</f>
        <v>24.13</v>
      </c>
      <c r="R301" s="8">
        <f>VLOOKUP($F301,[1]装箱单!$A:$F,6,0)</f>
        <v>19.05</v>
      </c>
      <c r="S301" s="8">
        <f>VLOOKUP($F301,[1]装箱单!$A:$G,7,0)</f>
        <v>34.29</v>
      </c>
      <c r="T301" s="10">
        <f>VLOOKUP($F301,[1]装箱单!$A:$J,10,0)</f>
        <v>0.015762307185</v>
      </c>
      <c r="U301" s="11">
        <f t="shared" si="39"/>
        <v>9.031802017005</v>
      </c>
    </row>
    <row r="302" ht="29.1" customHeight="1" spans="1:21">
      <c r="A302" s="40">
        <v>46100</v>
      </c>
      <c r="B302" s="41" t="s">
        <v>99</v>
      </c>
      <c r="C302" s="42" t="s">
        <v>395</v>
      </c>
      <c r="D302" s="43" t="s">
        <v>396</v>
      </c>
      <c r="E302" s="42" t="s">
        <v>397</v>
      </c>
      <c r="F302" s="44" t="s">
        <v>87</v>
      </c>
      <c r="G302" s="44" t="s">
        <v>31</v>
      </c>
      <c r="H302" s="44"/>
      <c r="I302" s="45">
        <v>104</v>
      </c>
      <c r="J302" s="45" t="s">
        <v>32</v>
      </c>
      <c r="K302" s="45" t="s">
        <v>33</v>
      </c>
      <c r="L302" s="46">
        <f>+I302/8</f>
        <v>13</v>
      </c>
      <c r="M302" s="43">
        <f t="shared" si="38"/>
        <v>1.09045669005</v>
      </c>
      <c r="N302" s="46" t="s">
        <v>34</v>
      </c>
      <c r="O302" s="44"/>
      <c r="P302" s="48"/>
      <c r="Q302" s="8">
        <f>VLOOKUP($F302,[1]装箱单!$A:$E,5,0)</f>
        <v>57.785</v>
      </c>
      <c r="R302" s="8">
        <f>VLOOKUP($F302,[1]装箱单!$A:$F,6,0)</f>
        <v>57.15</v>
      </c>
      <c r="S302" s="8">
        <f>VLOOKUP($F302,[1]装箱单!$A:$G,7,0)</f>
        <v>25.4</v>
      </c>
      <c r="T302" s="10">
        <f>VLOOKUP($F302,[1]装箱单!$A:$J,10,0)</f>
        <v>0.08388128385</v>
      </c>
      <c r="U302" s="11">
        <f t="shared" si="39"/>
        <v>1.09045669005</v>
      </c>
    </row>
    <row r="303" ht="29.1" customHeight="1" spans="1:21">
      <c r="A303" s="40">
        <v>46100</v>
      </c>
      <c r="B303" s="41" t="s">
        <v>54</v>
      </c>
      <c r="C303" s="42" t="s">
        <v>398</v>
      </c>
      <c r="D303" s="43" t="s">
        <v>399</v>
      </c>
      <c r="E303" s="44">
        <v>969848479</v>
      </c>
      <c r="F303" s="44">
        <v>28472</v>
      </c>
      <c r="G303" s="44" t="s">
        <v>31</v>
      </c>
      <c r="H303" s="44"/>
      <c r="I303" s="45">
        <v>1080</v>
      </c>
      <c r="J303" s="45" t="s">
        <v>32</v>
      </c>
      <c r="K303" s="45" t="s">
        <v>33</v>
      </c>
      <c r="L303" s="46">
        <f>+I303</f>
        <v>1080</v>
      </c>
      <c r="M303" s="43">
        <f t="shared" si="38"/>
        <v>19.8288</v>
      </c>
      <c r="N303" s="46" t="s">
        <v>34</v>
      </c>
      <c r="O303" s="44"/>
      <c r="P303" s="48"/>
      <c r="Q303" s="8">
        <f>VLOOKUP($F303,[1]装箱单!$A:$E,5,0)</f>
        <v>30</v>
      </c>
      <c r="R303" s="8">
        <f>VLOOKUP($F303,[1]装箱单!$A:$F,6,0)</f>
        <v>17</v>
      </c>
      <c r="S303" s="8">
        <f>VLOOKUP($F303,[1]装箱单!$A:$G,7,0)</f>
        <v>36</v>
      </c>
      <c r="T303" s="10">
        <f>VLOOKUP($F303,[1]装箱单!$A:$J,10,0)</f>
        <v>0.01836</v>
      </c>
      <c r="U303" s="11">
        <f t="shared" si="39"/>
        <v>19.8288</v>
      </c>
    </row>
    <row r="304" ht="29.1" customHeight="1" spans="1:21">
      <c r="A304" s="40">
        <v>46100</v>
      </c>
      <c r="B304" s="41" t="s">
        <v>40</v>
      </c>
      <c r="C304" s="42" t="s">
        <v>400</v>
      </c>
      <c r="D304" s="43" t="s">
        <v>379</v>
      </c>
      <c r="E304" s="44">
        <v>954188458</v>
      </c>
      <c r="F304" s="44">
        <v>28483</v>
      </c>
      <c r="G304" s="44" t="s">
        <v>31</v>
      </c>
      <c r="H304" s="44"/>
      <c r="I304" s="45">
        <v>1260</v>
      </c>
      <c r="J304" s="45" t="s">
        <v>32</v>
      </c>
      <c r="K304" s="45" t="s">
        <v>33</v>
      </c>
      <c r="L304" s="46">
        <f>+I304</f>
        <v>1260</v>
      </c>
      <c r="M304" s="43">
        <f t="shared" si="38"/>
        <v>7.2735894</v>
      </c>
      <c r="N304" s="46" t="s">
        <v>34</v>
      </c>
      <c r="O304" s="44"/>
      <c r="P304" s="48"/>
      <c r="Q304" s="8">
        <f>VLOOKUP($F304,[1]装箱单!$A:$E,5,0)</f>
        <v>16.83</v>
      </c>
      <c r="R304" s="8">
        <f>VLOOKUP($F304,[1]装箱单!$A:$F,6,0)</f>
        <v>17.15</v>
      </c>
      <c r="S304" s="8">
        <f>VLOOKUP($F304,[1]装箱单!$A:$G,7,0)</f>
        <v>20</v>
      </c>
      <c r="T304" s="10">
        <f>VLOOKUP($F304,[1]装箱单!$A:$J,10,0)</f>
        <v>0.00577269</v>
      </c>
      <c r="U304" s="11">
        <f t="shared" si="39"/>
        <v>7.2735894</v>
      </c>
    </row>
    <row r="305" ht="29.1" customHeight="1" spans="1:21">
      <c r="A305" s="40">
        <v>46100</v>
      </c>
      <c r="B305" s="41" t="s">
        <v>40</v>
      </c>
      <c r="C305" s="42" t="s">
        <v>401</v>
      </c>
      <c r="D305" s="43" t="s">
        <v>379</v>
      </c>
      <c r="E305" s="44">
        <v>954188461</v>
      </c>
      <c r="F305" s="44">
        <v>28483</v>
      </c>
      <c r="G305" s="44" t="s">
        <v>31</v>
      </c>
      <c r="H305" s="44"/>
      <c r="I305" s="45">
        <v>1080</v>
      </c>
      <c r="J305" s="45" t="s">
        <v>32</v>
      </c>
      <c r="K305" s="45" t="s">
        <v>33</v>
      </c>
      <c r="L305" s="46">
        <f>+I305</f>
        <v>1080</v>
      </c>
      <c r="M305" s="43">
        <f t="shared" si="38"/>
        <v>6.2345052</v>
      </c>
      <c r="N305" s="46" t="s">
        <v>34</v>
      </c>
      <c r="O305" s="44"/>
      <c r="P305" s="48"/>
      <c r="Q305" s="8">
        <f>VLOOKUP($F305,[1]装箱单!$A:$E,5,0)</f>
        <v>16.83</v>
      </c>
      <c r="R305" s="8">
        <f>VLOOKUP($F305,[1]装箱单!$A:$F,6,0)</f>
        <v>17.15</v>
      </c>
      <c r="S305" s="8">
        <f>VLOOKUP($F305,[1]装箱单!$A:$G,7,0)</f>
        <v>20</v>
      </c>
      <c r="T305" s="10">
        <f>VLOOKUP($F305,[1]装箱单!$A:$J,10,0)</f>
        <v>0.00577269</v>
      </c>
      <c r="U305" s="11">
        <f t="shared" si="39"/>
        <v>6.2345052</v>
      </c>
    </row>
    <row r="306" ht="29.1" customHeight="1" spans="1:21">
      <c r="A306" s="40">
        <v>46100</v>
      </c>
      <c r="B306" s="41" t="s">
        <v>40</v>
      </c>
      <c r="C306" s="42" t="s">
        <v>398</v>
      </c>
      <c r="D306" s="43" t="s">
        <v>399</v>
      </c>
      <c r="E306" s="44">
        <v>969848479</v>
      </c>
      <c r="F306" s="44">
        <v>28458</v>
      </c>
      <c r="G306" s="44" t="s">
        <v>31</v>
      </c>
      <c r="H306" s="44"/>
      <c r="I306" s="45">
        <v>2736</v>
      </c>
      <c r="J306" s="45" t="s">
        <v>47</v>
      </c>
      <c r="K306" s="45" t="s">
        <v>33</v>
      </c>
      <c r="L306" s="46">
        <f>+I306/3</f>
        <v>912</v>
      </c>
      <c r="M306" s="43">
        <f t="shared" si="38"/>
        <v>18.997286855328</v>
      </c>
      <c r="N306" s="46" t="s">
        <v>34</v>
      </c>
      <c r="O306" s="44"/>
      <c r="P306" s="48"/>
      <c r="Q306" s="8">
        <f>VLOOKUP($F306,[1]装箱单!$A:$E,5,0)</f>
        <v>26.99</v>
      </c>
      <c r="R306" s="8">
        <f>VLOOKUP($F306,[1]装箱单!$A:$F,6,0)</f>
        <v>27.31</v>
      </c>
      <c r="S306" s="8">
        <f>VLOOKUP($F306,[1]装箱单!$A:$G,7,0)</f>
        <v>28.26</v>
      </c>
      <c r="T306" s="10">
        <f>VLOOKUP($F306,[1]装箱单!$A:$J,10,0)</f>
        <v>0.020830358394</v>
      </c>
      <c r="U306" s="11">
        <f t="shared" si="39"/>
        <v>18.997286855328</v>
      </c>
    </row>
    <row r="307" ht="29.1" customHeight="1" spans="1:21">
      <c r="A307" s="40">
        <v>46100</v>
      </c>
      <c r="B307" s="41" t="s">
        <v>40</v>
      </c>
      <c r="C307" s="42" t="s">
        <v>402</v>
      </c>
      <c r="D307" s="43" t="s">
        <v>403</v>
      </c>
      <c r="E307" s="44">
        <v>969848535</v>
      </c>
      <c r="F307" s="44">
        <v>28458</v>
      </c>
      <c r="G307" s="44" t="s">
        <v>31</v>
      </c>
      <c r="H307" s="44"/>
      <c r="I307" s="45">
        <f>+L307*3</f>
        <v>2304</v>
      </c>
      <c r="J307" s="45" t="s">
        <v>32</v>
      </c>
      <c r="K307" s="45" t="s">
        <v>33</v>
      </c>
      <c r="L307" s="46">
        <v>768</v>
      </c>
      <c r="M307" s="43">
        <f t="shared" si="38"/>
        <v>15.997715246592</v>
      </c>
      <c r="N307" s="46" t="s">
        <v>34</v>
      </c>
      <c r="O307" s="44"/>
      <c r="P307" s="48"/>
      <c r="Q307" s="8">
        <f>VLOOKUP($F307,[1]装箱单!$A:$E,5,0)</f>
        <v>26.99</v>
      </c>
      <c r="R307" s="8">
        <f>VLOOKUP($F307,[1]装箱单!$A:$F,6,0)</f>
        <v>27.31</v>
      </c>
      <c r="S307" s="8">
        <f>VLOOKUP($F307,[1]装箱单!$A:$G,7,0)</f>
        <v>28.26</v>
      </c>
      <c r="T307" s="10">
        <f>VLOOKUP($F307,[1]装箱单!$A:$J,10,0)</f>
        <v>0.020830358394</v>
      </c>
      <c r="U307" s="11">
        <f t="shared" si="39"/>
        <v>15.997715246592</v>
      </c>
    </row>
    <row r="308" ht="29.1" customHeight="1" spans="1:21">
      <c r="A308" s="40">
        <v>46100</v>
      </c>
      <c r="B308" s="41" t="s">
        <v>40</v>
      </c>
      <c r="C308" s="42" t="s">
        <v>404</v>
      </c>
      <c r="D308" s="43" t="s">
        <v>405</v>
      </c>
      <c r="E308" s="44">
        <v>969848610</v>
      </c>
      <c r="F308" s="44">
        <v>28458</v>
      </c>
      <c r="G308" s="44" t="s">
        <v>31</v>
      </c>
      <c r="H308" s="44"/>
      <c r="I308" s="45">
        <v>2592</v>
      </c>
      <c r="J308" s="45" t="s">
        <v>47</v>
      </c>
      <c r="K308" s="45" t="s">
        <v>33</v>
      </c>
      <c r="L308" s="46">
        <f>+I308/3</f>
        <v>864</v>
      </c>
      <c r="M308" s="43">
        <f t="shared" si="38"/>
        <v>17.997429652416</v>
      </c>
      <c r="N308" s="46" t="s">
        <v>34</v>
      </c>
      <c r="O308" s="44"/>
      <c r="P308" s="48"/>
      <c r="Q308" s="8">
        <f>VLOOKUP($F308,[1]装箱单!$A:$E,5,0)</f>
        <v>26.99</v>
      </c>
      <c r="R308" s="8">
        <f>VLOOKUP($F308,[1]装箱单!$A:$F,6,0)</f>
        <v>27.31</v>
      </c>
      <c r="S308" s="8">
        <f>VLOOKUP($F308,[1]装箱单!$A:$G,7,0)</f>
        <v>28.26</v>
      </c>
      <c r="T308" s="10">
        <f>VLOOKUP($F308,[1]装箱单!$A:$J,10,0)</f>
        <v>0.020830358394</v>
      </c>
      <c r="U308" s="11">
        <f t="shared" si="39"/>
        <v>17.997429652416</v>
      </c>
    </row>
    <row r="309" ht="29.1" customHeight="1" spans="1:21">
      <c r="A309" s="40">
        <v>46100</v>
      </c>
      <c r="B309" s="41" t="s">
        <v>40</v>
      </c>
      <c r="C309" s="42" t="s">
        <v>406</v>
      </c>
      <c r="D309" s="43" t="s">
        <v>407</v>
      </c>
      <c r="E309" s="44">
        <v>969848612</v>
      </c>
      <c r="F309" s="44">
        <v>28458</v>
      </c>
      <c r="G309" s="44" t="s">
        <v>31</v>
      </c>
      <c r="H309" s="44"/>
      <c r="I309" s="45">
        <v>3744</v>
      </c>
      <c r="J309" s="45" t="s">
        <v>47</v>
      </c>
      <c r="K309" s="45" t="s">
        <v>33</v>
      </c>
      <c r="L309" s="46">
        <f>+I309/3</f>
        <v>1248</v>
      </c>
      <c r="M309" s="43">
        <f t="shared" si="38"/>
        <v>25.996287275712</v>
      </c>
      <c r="N309" s="46" t="s">
        <v>34</v>
      </c>
      <c r="O309" s="44"/>
      <c r="P309" s="48"/>
      <c r="Q309" s="8">
        <f>VLOOKUP($F309,[1]装箱单!$A:$E,5,0)</f>
        <v>26.99</v>
      </c>
      <c r="R309" s="8">
        <f>VLOOKUP($F309,[1]装箱单!$A:$F,6,0)</f>
        <v>27.31</v>
      </c>
      <c r="S309" s="8">
        <f>VLOOKUP($F309,[1]装箱单!$A:$G,7,0)</f>
        <v>28.26</v>
      </c>
      <c r="T309" s="10">
        <f>VLOOKUP($F309,[1]装箱单!$A:$J,10,0)</f>
        <v>0.020830358394</v>
      </c>
      <c r="U309" s="11">
        <f t="shared" si="39"/>
        <v>25.996287275712</v>
      </c>
    </row>
    <row r="310" ht="29.1" customHeight="1" spans="1:21">
      <c r="A310" s="40">
        <v>46100</v>
      </c>
      <c r="B310" s="41"/>
      <c r="C310" s="42"/>
      <c r="D310" s="43"/>
      <c r="E310" s="44"/>
      <c r="F310" s="44">
        <v>470764</v>
      </c>
      <c r="G310" s="44" t="s">
        <v>408</v>
      </c>
      <c r="H310" s="44"/>
      <c r="I310" s="45">
        <v>1</v>
      </c>
      <c r="J310" s="45" t="s">
        <v>47</v>
      </c>
      <c r="K310" s="45" t="s">
        <v>218</v>
      </c>
      <c r="L310" s="46"/>
      <c r="M310" s="43"/>
      <c r="N310" s="46"/>
      <c r="O310" s="44"/>
      <c r="P310" s="48"/>
    </row>
    <row r="311" ht="29.1" customHeight="1" spans="1:21">
      <c r="A311" s="40">
        <v>46100</v>
      </c>
      <c r="B311" s="41"/>
      <c r="C311" s="42"/>
      <c r="D311" s="43"/>
      <c r="E311" s="44"/>
      <c r="F311" s="44">
        <v>33465</v>
      </c>
      <c r="G311" s="44" t="s">
        <v>409</v>
      </c>
      <c r="H311" s="44"/>
      <c r="I311" s="45">
        <v>20004</v>
      </c>
      <c r="J311" s="45" t="s">
        <v>32</v>
      </c>
      <c r="K311" s="45" t="s">
        <v>218</v>
      </c>
      <c r="L311" s="46">
        <v>4</v>
      </c>
      <c r="M311" s="43"/>
      <c r="N311" s="46"/>
      <c r="O311" s="44"/>
      <c r="P311" s="48"/>
    </row>
    <row r="312" ht="29.1" customHeight="1" spans="1:21">
      <c r="A312" s="40"/>
      <c r="B312" s="41"/>
      <c r="C312" s="42"/>
      <c r="D312" s="43"/>
      <c r="E312" s="44"/>
      <c r="F312" s="44"/>
      <c r="G312" s="44"/>
      <c r="H312" s="44"/>
      <c r="I312" s="45"/>
      <c r="J312" s="45"/>
      <c r="K312" s="45"/>
      <c r="L312" s="46"/>
      <c r="M312" s="43">
        <f>SUM(M299:M309)</f>
        <v>129.629332337103</v>
      </c>
      <c r="N312" s="46"/>
      <c r="O312" s="44"/>
      <c r="P312" s="51"/>
    </row>
    <row r="313" ht="29.1" customHeight="1" spans="1:21">
      <c r="A313" s="40">
        <v>46105</v>
      </c>
      <c r="B313" s="41" t="s">
        <v>52</v>
      </c>
      <c r="C313" s="42">
        <v>44868</v>
      </c>
      <c r="D313" s="43" t="s">
        <v>410</v>
      </c>
      <c r="E313" s="44"/>
      <c r="F313" s="44">
        <v>320923</v>
      </c>
      <c r="G313" s="44" t="s">
        <v>31</v>
      </c>
      <c r="H313" s="44"/>
      <c r="I313" s="45">
        <f>+L313*2</f>
        <v>3000</v>
      </c>
      <c r="J313" s="45" t="s">
        <v>32</v>
      </c>
      <c r="K313" s="45" t="s">
        <v>33</v>
      </c>
      <c r="L313" s="46">
        <v>1500</v>
      </c>
      <c r="M313" s="43">
        <f>+U313</f>
        <v>39.51010581</v>
      </c>
      <c r="N313" s="46" t="s">
        <v>34</v>
      </c>
      <c r="O313" s="44"/>
      <c r="P313" s="47" t="s">
        <v>137</v>
      </c>
      <c r="Q313" s="8">
        <f>VLOOKUP($F313,[1]装箱单!$A:$E,5,0)</f>
        <v>39.94</v>
      </c>
      <c r="R313" s="8">
        <f>VLOOKUP($F313,[1]装箱单!$A:$F,6,0)</f>
        <v>30.1</v>
      </c>
      <c r="S313" s="8">
        <f>VLOOKUP($F313,[1]装箱单!$A:$G,7,0)</f>
        <v>21.91</v>
      </c>
      <c r="T313" s="10">
        <f>VLOOKUP($F313,[1]装箱单!$A:$J,10,0)</f>
        <v>0.02634007054</v>
      </c>
      <c r="U313" s="11">
        <f>+T313*L313</f>
        <v>39.51010581</v>
      </c>
    </row>
    <row r="314" ht="29.1" customHeight="1" spans="1:21">
      <c r="A314" s="40">
        <v>46105</v>
      </c>
      <c r="B314" s="41" t="s">
        <v>52</v>
      </c>
      <c r="C314" s="42">
        <v>45277</v>
      </c>
      <c r="D314" s="43" t="s">
        <v>411</v>
      </c>
      <c r="E314" s="44"/>
      <c r="F314" s="44">
        <v>320628</v>
      </c>
      <c r="G314" s="44" t="s">
        <v>31</v>
      </c>
      <c r="H314" s="44"/>
      <c r="I314" s="45">
        <f>+L314*4</f>
        <v>10000</v>
      </c>
      <c r="J314" s="45" t="s">
        <v>32</v>
      </c>
      <c r="K314" s="45" t="s">
        <v>33</v>
      </c>
      <c r="L314" s="46">
        <v>2500</v>
      </c>
      <c r="M314" s="43">
        <f>+U314</f>
        <v>23.624286</v>
      </c>
      <c r="N314" s="46" t="s">
        <v>34</v>
      </c>
      <c r="O314" s="44"/>
      <c r="P314" s="48"/>
      <c r="Q314" s="8">
        <f>VLOOKUP($F314,[1]装箱单!$A:$E,5,0)</f>
        <v>25.75</v>
      </c>
      <c r="R314" s="8">
        <f>VLOOKUP($F314,[1]装箱单!$A:$F,6,0)</f>
        <v>17.78</v>
      </c>
      <c r="S314" s="8">
        <f>VLOOKUP($F314,[1]装箱单!$A:$G,7,0)</f>
        <v>20.64</v>
      </c>
      <c r="T314" s="10">
        <f>VLOOKUP($F314,[1]装箱单!$A:$J,10,0)</f>
        <v>0.0094497144</v>
      </c>
      <c r="U314" s="11">
        <f>+T314*L314</f>
        <v>23.624286</v>
      </c>
    </row>
    <row r="315" ht="29.1" customHeight="1" spans="1:21">
      <c r="A315" s="40">
        <v>46105</v>
      </c>
      <c r="B315" s="41" t="s">
        <v>412</v>
      </c>
      <c r="C315" s="42" t="s">
        <v>413</v>
      </c>
      <c r="D315" s="43" t="s">
        <v>411</v>
      </c>
      <c r="E315" s="44"/>
      <c r="F315" s="44">
        <v>570974</v>
      </c>
      <c r="G315" s="44" t="s">
        <v>31</v>
      </c>
      <c r="H315" s="44"/>
      <c r="I315" s="45">
        <f>+L315</f>
        <v>760</v>
      </c>
      <c r="J315" s="45" t="s">
        <v>32</v>
      </c>
      <c r="K315" s="45" t="s">
        <v>33</v>
      </c>
      <c r="L315" s="46">
        <v>760</v>
      </c>
      <c r="M315" s="43">
        <f>+U315</f>
        <v>65.3026599456</v>
      </c>
      <c r="N315" s="46" t="s">
        <v>34</v>
      </c>
      <c r="O315" s="44"/>
      <c r="P315" s="48"/>
      <c r="Q315" s="8">
        <f>VLOOKUP($F315,[1]装箱单!$A:$E,5,0)</f>
        <v>59.05</v>
      </c>
      <c r="R315" s="8">
        <f>VLOOKUP($F315,[1]装箱单!$A:$F,6,0)</f>
        <v>26.04</v>
      </c>
      <c r="S315" s="8">
        <f>VLOOKUP($F315,[1]装箱单!$A:$G,7,0)</f>
        <v>55.88</v>
      </c>
      <c r="T315" s="10">
        <f>VLOOKUP($F315,[1]装箱单!$A:$J,10,0)</f>
        <v>0.08592455256</v>
      </c>
      <c r="U315" s="11">
        <f>+T315*L315</f>
        <v>65.3026599456</v>
      </c>
    </row>
    <row r="316" ht="29.1" customHeight="1" spans="1:21">
      <c r="A316" s="40">
        <v>46105</v>
      </c>
      <c r="B316" s="41" t="s">
        <v>40</v>
      </c>
      <c r="C316" s="42" t="s">
        <v>402</v>
      </c>
      <c r="D316" s="43" t="s">
        <v>403</v>
      </c>
      <c r="E316" s="44">
        <v>969848535</v>
      </c>
      <c r="F316" s="44">
        <v>28458</v>
      </c>
      <c r="G316" s="44" t="s">
        <v>31</v>
      </c>
      <c r="H316" s="44"/>
      <c r="I316" s="45">
        <f>+L316*3</f>
        <v>1584</v>
      </c>
      <c r="J316" s="45" t="s">
        <v>47</v>
      </c>
      <c r="K316" s="45" t="s">
        <v>33</v>
      </c>
      <c r="L316" s="46">
        <f>1296-768</f>
        <v>528</v>
      </c>
      <c r="M316" s="43">
        <f>+U316</f>
        <v>10.998429232032</v>
      </c>
      <c r="N316" s="46" t="s">
        <v>34</v>
      </c>
      <c r="O316" s="44"/>
      <c r="P316" s="48"/>
      <c r="Q316" s="8">
        <f>VLOOKUP($F316,[1]装箱单!$A:$E,5,0)</f>
        <v>26.99</v>
      </c>
      <c r="R316" s="8">
        <f>VLOOKUP($F316,[1]装箱单!$A:$F,6,0)</f>
        <v>27.31</v>
      </c>
      <c r="S316" s="8">
        <f>VLOOKUP($F316,[1]装箱单!$A:$G,7,0)</f>
        <v>28.26</v>
      </c>
      <c r="T316" s="10">
        <f>VLOOKUP($F316,[1]装箱单!$A:$J,10,0)</f>
        <v>0.020830358394</v>
      </c>
      <c r="U316" s="11">
        <f>+T316*L316</f>
        <v>10.998429232032</v>
      </c>
    </row>
    <row r="317" ht="29.1" customHeight="1" spans="1:21">
      <c r="A317" s="40">
        <v>46105</v>
      </c>
      <c r="B317" s="41" t="s">
        <v>412</v>
      </c>
      <c r="C317" s="42" t="s">
        <v>414</v>
      </c>
      <c r="D317" s="43" t="s">
        <v>411</v>
      </c>
      <c r="E317" s="44"/>
      <c r="F317" s="44">
        <v>570974</v>
      </c>
      <c r="G317" s="44" t="s">
        <v>31</v>
      </c>
      <c r="H317" s="44"/>
      <c r="I317" s="45">
        <f>+L317</f>
        <v>40</v>
      </c>
      <c r="J317" s="45" t="s">
        <v>32</v>
      </c>
      <c r="K317" s="45" t="s">
        <v>33</v>
      </c>
      <c r="L317" s="46">
        <v>40</v>
      </c>
      <c r="M317" s="43">
        <f>+U317</f>
        <v>3.4369821024</v>
      </c>
      <c r="N317" s="46" t="s">
        <v>34</v>
      </c>
      <c r="O317" s="44" t="s">
        <v>62</v>
      </c>
      <c r="P317" s="48"/>
      <c r="Q317" s="8">
        <f>VLOOKUP($F317,[1]装箱单!$A:$E,5,0)</f>
        <v>59.05</v>
      </c>
      <c r="R317" s="8">
        <f>VLOOKUP($F317,[1]装箱单!$A:$F,6,0)</f>
        <v>26.04</v>
      </c>
      <c r="S317" s="8">
        <f>VLOOKUP($F317,[1]装箱单!$A:$G,7,0)</f>
        <v>55.88</v>
      </c>
      <c r="T317" s="10">
        <f>VLOOKUP($F317,[1]装箱单!$A:$J,10,0)</f>
        <v>0.08592455256</v>
      </c>
      <c r="U317" s="11">
        <f>+T317*L317</f>
        <v>3.4369821024</v>
      </c>
    </row>
    <row r="318" ht="29.1" customHeight="1" spans="1:21">
      <c r="A318" s="40"/>
      <c r="B318" s="41"/>
      <c r="C318" s="42"/>
      <c r="D318" s="43"/>
      <c r="E318" s="44"/>
      <c r="F318" s="44"/>
      <c r="G318" s="44"/>
      <c r="H318" s="44"/>
      <c r="I318" s="45"/>
      <c r="J318" s="45"/>
      <c r="K318" s="45"/>
      <c r="L318" s="46"/>
      <c r="M318" s="43">
        <f>SUM(M313:M317)</f>
        <v>142.872463090032</v>
      </c>
      <c r="N318" s="46"/>
      <c r="O318" s="44"/>
      <c r="P318" s="51"/>
    </row>
    <row r="319" ht="29.1" customHeight="1" spans="1:21">
      <c r="A319" s="40">
        <v>46106</v>
      </c>
      <c r="B319" s="41" t="s">
        <v>415</v>
      </c>
      <c r="C319" s="42" t="s">
        <v>416</v>
      </c>
      <c r="D319" s="43" t="s">
        <v>417</v>
      </c>
      <c r="E319" s="44" t="s">
        <v>418</v>
      </c>
      <c r="F319" s="44">
        <v>470764</v>
      </c>
      <c r="G319" s="44" t="s">
        <v>31</v>
      </c>
      <c r="H319" s="44"/>
      <c r="I319" s="45">
        <f>+L319</f>
        <v>382</v>
      </c>
      <c r="J319" s="45" t="s">
        <v>32</v>
      </c>
      <c r="K319" s="45" t="s">
        <v>33</v>
      </c>
      <c r="L319" s="46">
        <v>382</v>
      </c>
      <c r="M319" s="43">
        <f>+U319</f>
        <v>10.236072</v>
      </c>
      <c r="N319" s="46" t="s">
        <v>57</v>
      </c>
      <c r="O319" s="44"/>
      <c r="P319" s="47" t="s">
        <v>419</v>
      </c>
      <c r="Q319" s="8">
        <f>VLOOKUP($F319,[1]装箱单!$A:$E,5,0)</f>
        <v>42</v>
      </c>
      <c r="R319" s="8">
        <f>VLOOKUP($F319,[1]装箱单!$A:$F,6,0)</f>
        <v>22</v>
      </c>
      <c r="S319" s="8">
        <f>VLOOKUP($F319,[1]装箱单!$A:$G,7,0)</f>
        <v>29</v>
      </c>
      <c r="T319" s="10">
        <f>VLOOKUP($F319,[1]装箱单!$A:$J,10,0)</f>
        <v>0.026796</v>
      </c>
      <c r="U319" s="11">
        <f>+T319*L319</f>
        <v>10.236072</v>
      </c>
    </row>
    <row r="320" ht="29.1" customHeight="1" spans="1:21">
      <c r="A320" s="40">
        <v>46106</v>
      </c>
      <c r="B320" s="41" t="s">
        <v>412</v>
      </c>
      <c r="C320" s="42" t="s">
        <v>414</v>
      </c>
      <c r="D320" s="43" t="s">
        <v>411</v>
      </c>
      <c r="E320" s="44"/>
      <c r="F320" s="44">
        <v>570974</v>
      </c>
      <c r="G320" s="44" t="s">
        <v>31</v>
      </c>
      <c r="H320" s="44"/>
      <c r="I320" s="45">
        <f>+L320</f>
        <v>465</v>
      </c>
      <c r="J320" s="45" t="s">
        <v>32</v>
      </c>
      <c r="K320" s="45" t="s">
        <v>33</v>
      </c>
      <c r="L320" s="46">
        <f>505-40</f>
        <v>465</v>
      </c>
      <c r="M320" s="43">
        <f>+U320</f>
        <v>39.9549169404</v>
      </c>
      <c r="N320" s="46" t="s">
        <v>57</v>
      </c>
      <c r="O320" s="44" t="s">
        <v>62</v>
      </c>
      <c r="P320" s="48"/>
      <c r="Q320" s="8">
        <f>VLOOKUP($F320,[1]装箱单!$A:$E,5,0)</f>
        <v>59.05</v>
      </c>
      <c r="R320" s="8">
        <f>VLOOKUP($F320,[1]装箱单!$A:$F,6,0)</f>
        <v>26.04</v>
      </c>
      <c r="S320" s="8">
        <f>VLOOKUP($F320,[1]装箱单!$A:$G,7,0)</f>
        <v>55.88</v>
      </c>
      <c r="T320" s="10">
        <f>VLOOKUP($F320,[1]装箱单!$A:$J,10,0)</f>
        <v>0.08592455256</v>
      </c>
      <c r="U320" s="11">
        <f>+T320*L320</f>
        <v>39.9549169404</v>
      </c>
    </row>
    <row r="321" ht="29.1" customHeight="1" spans="1:21">
      <c r="A321" s="40">
        <v>46106</v>
      </c>
      <c r="B321" s="41" t="s">
        <v>412</v>
      </c>
      <c r="C321" s="42" t="s">
        <v>420</v>
      </c>
      <c r="D321" s="43" t="s">
        <v>411</v>
      </c>
      <c r="E321" s="44"/>
      <c r="F321" s="44">
        <v>570974</v>
      </c>
      <c r="G321" s="44" t="s">
        <v>31</v>
      </c>
      <c r="H321" s="44"/>
      <c r="I321" s="45">
        <f>+L321</f>
        <v>470</v>
      </c>
      <c r="J321" s="45" t="s">
        <v>32</v>
      </c>
      <c r="K321" s="45" t="s">
        <v>33</v>
      </c>
      <c r="L321" s="46">
        <v>470</v>
      </c>
      <c r="M321" s="43">
        <f>+U321</f>
        <v>40.3845397032</v>
      </c>
      <c r="N321" s="46" t="s">
        <v>57</v>
      </c>
      <c r="O321" s="44"/>
      <c r="P321" s="48"/>
      <c r="Q321" s="8">
        <f>VLOOKUP($F321,[1]装箱单!$A:$E,5,0)</f>
        <v>59.05</v>
      </c>
      <c r="R321" s="8">
        <f>VLOOKUP($F321,[1]装箱单!$A:$F,6,0)</f>
        <v>26.04</v>
      </c>
      <c r="S321" s="8">
        <f>VLOOKUP($F321,[1]装箱单!$A:$G,7,0)</f>
        <v>55.88</v>
      </c>
      <c r="T321" s="10">
        <f>VLOOKUP($F321,[1]装箱单!$A:$J,10,0)</f>
        <v>0.08592455256</v>
      </c>
      <c r="U321" s="11">
        <f>+T321*L321</f>
        <v>40.3845397032</v>
      </c>
    </row>
    <row r="322" ht="29.1" customHeight="1" spans="1:21">
      <c r="A322" s="40">
        <v>46106</v>
      </c>
      <c r="B322" s="41" t="s">
        <v>412</v>
      </c>
      <c r="C322" s="42" t="s">
        <v>421</v>
      </c>
      <c r="D322" s="43" t="s">
        <v>411</v>
      </c>
      <c r="E322" s="44"/>
      <c r="F322" s="44">
        <v>570974</v>
      </c>
      <c r="G322" s="44" t="s">
        <v>31</v>
      </c>
      <c r="H322" s="44"/>
      <c r="I322" s="45">
        <f>+L322</f>
        <v>473</v>
      </c>
      <c r="J322" s="45" t="s">
        <v>32</v>
      </c>
      <c r="K322" s="45" t="s">
        <v>33</v>
      </c>
      <c r="L322" s="46">
        <v>473</v>
      </c>
      <c r="M322" s="43">
        <f>+U322</f>
        <v>40.64231336088</v>
      </c>
      <c r="N322" s="46" t="s">
        <v>57</v>
      </c>
      <c r="O322" s="44"/>
      <c r="P322" s="48"/>
      <c r="Q322" s="8">
        <f>VLOOKUP($F322,[1]装箱单!$A:$E,5,0)</f>
        <v>59.05</v>
      </c>
      <c r="R322" s="8">
        <f>VLOOKUP($F322,[1]装箱单!$A:$F,6,0)</f>
        <v>26.04</v>
      </c>
      <c r="S322" s="8">
        <f>VLOOKUP($F322,[1]装箱单!$A:$G,7,0)</f>
        <v>55.88</v>
      </c>
      <c r="T322" s="10">
        <f>VLOOKUP($F322,[1]装箱单!$A:$J,10,0)</f>
        <v>0.08592455256</v>
      </c>
      <c r="U322" s="11">
        <f>+T322*L322</f>
        <v>40.64231336088</v>
      </c>
    </row>
    <row r="323" ht="29.1" customHeight="1" spans="1:21">
      <c r="A323" s="40">
        <v>46107</v>
      </c>
      <c r="B323" s="41" t="s">
        <v>40</v>
      </c>
      <c r="C323" s="42" t="s">
        <v>422</v>
      </c>
      <c r="D323" s="43" t="s">
        <v>423</v>
      </c>
      <c r="E323" s="44">
        <v>969848600</v>
      </c>
      <c r="F323" s="44">
        <v>28458</v>
      </c>
      <c r="G323" s="44" t="s">
        <v>31</v>
      </c>
      <c r="H323" s="44"/>
      <c r="I323" s="45">
        <f>+L323*3</f>
        <v>2364</v>
      </c>
      <c r="J323" s="45" t="s">
        <v>47</v>
      </c>
      <c r="K323" s="45" t="s">
        <v>33</v>
      </c>
      <c r="L323" s="46">
        <v>788</v>
      </c>
      <c r="M323" s="43">
        <f>+U323</f>
        <v>16.414322414472</v>
      </c>
      <c r="N323" s="46" t="s">
        <v>34</v>
      </c>
      <c r="O323" s="44"/>
      <c r="P323" s="48"/>
      <c r="Q323" s="8">
        <f>VLOOKUP($F323,[1]装箱单!$A:$E,5,0)</f>
        <v>26.99</v>
      </c>
      <c r="R323" s="8">
        <f>VLOOKUP($F323,[1]装箱单!$A:$F,6,0)</f>
        <v>27.31</v>
      </c>
      <c r="S323" s="8">
        <f>VLOOKUP($F323,[1]装箱单!$A:$G,7,0)</f>
        <v>28.26</v>
      </c>
      <c r="T323" s="10">
        <f>VLOOKUP($F323,[1]装箱单!$A:$J,10,0)</f>
        <v>0.020830358394</v>
      </c>
      <c r="U323" s="11">
        <f>+T323*L323</f>
        <v>16.414322414472</v>
      </c>
    </row>
    <row r="324" ht="29.1" customHeight="1" spans="1:21">
      <c r="A324" s="40"/>
      <c r="B324" s="41"/>
      <c r="C324" s="42"/>
      <c r="D324" s="43"/>
      <c r="E324" s="44"/>
      <c r="F324" s="44"/>
      <c r="G324" s="44"/>
      <c r="H324" s="44"/>
      <c r="I324" s="45"/>
      <c r="J324" s="45"/>
      <c r="K324" s="45"/>
      <c r="L324" s="46"/>
      <c r="M324" s="43">
        <f>SUM(M319:M323)</f>
        <v>147.632164418952</v>
      </c>
      <c r="N324" s="46"/>
      <c r="O324" s="44"/>
      <c r="P324" s="51"/>
    </row>
    <row r="325" ht="29.1" customHeight="1" spans="1:21">
      <c r="A325" s="40">
        <v>46107</v>
      </c>
      <c r="B325" s="41" t="s">
        <v>40</v>
      </c>
      <c r="C325" s="42" t="s">
        <v>422</v>
      </c>
      <c r="D325" s="43" t="s">
        <v>423</v>
      </c>
      <c r="E325" s="44">
        <v>969848600</v>
      </c>
      <c r="F325" s="44">
        <v>28458</v>
      </c>
      <c r="G325" s="44" t="s">
        <v>31</v>
      </c>
      <c r="H325" s="44"/>
      <c r="I325" s="45">
        <f>+L325*3</f>
        <v>3396</v>
      </c>
      <c r="J325" s="45" t="s">
        <v>47</v>
      </c>
      <c r="K325" s="45" t="s">
        <v>33</v>
      </c>
      <c r="L325" s="46">
        <f>1920-788</f>
        <v>1132</v>
      </c>
      <c r="M325" s="43">
        <f t="shared" ref="M325:M330" si="40">+U325</f>
        <v>23.579965702008</v>
      </c>
      <c r="N325" s="46" t="s">
        <v>34</v>
      </c>
      <c r="O325" s="44"/>
      <c r="P325" s="47" t="s">
        <v>424</v>
      </c>
      <c r="Q325" s="8">
        <f>VLOOKUP($F325,[1]装箱单!$A:$E,5,0)</f>
        <v>26.99</v>
      </c>
      <c r="R325" s="8">
        <f>VLOOKUP($F325,[1]装箱单!$A:$F,6,0)</f>
        <v>27.31</v>
      </c>
      <c r="S325" s="8">
        <f>VLOOKUP($F325,[1]装箱单!$A:$G,7,0)</f>
        <v>28.26</v>
      </c>
      <c r="T325" s="10">
        <f>VLOOKUP($F325,[1]装箱单!$A:$J,10,0)</f>
        <v>0.020830358394</v>
      </c>
      <c r="U325" s="11">
        <f t="shared" ref="U325:U330" si="41">+T325*L325</f>
        <v>23.579965702008</v>
      </c>
    </row>
    <row r="326" ht="29.1" customHeight="1" spans="1:21">
      <c r="A326" s="40">
        <v>46107</v>
      </c>
      <c r="B326" s="41" t="s">
        <v>415</v>
      </c>
      <c r="C326" s="42" t="s">
        <v>416</v>
      </c>
      <c r="D326" s="43" t="s">
        <v>425</v>
      </c>
      <c r="E326" s="44" t="s">
        <v>426</v>
      </c>
      <c r="F326" s="44">
        <v>470764</v>
      </c>
      <c r="G326" s="44" t="s">
        <v>31</v>
      </c>
      <c r="H326" s="44"/>
      <c r="I326" s="45">
        <f>+L326</f>
        <v>533</v>
      </c>
      <c r="J326" s="45" t="s">
        <v>32</v>
      </c>
      <c r="K326" s="45" t="s">
        <v>33</v>
      </c>
      <c r="L326" s="46">
        <v>533</v>
      </c>
      <c r="M326" s="43">
        <f t="shared" si="40"/>
        <v>14.282268</v>
      </c>
      <c r="N326" s="46" t="s">
        <v>34</v>
      </c>
      <c r="O326" s="44"/>
      <c r="P326" s="48"/>
      <c r="Q326" s="8">
        <f>VLOOKUP($F326,[1]装箱单!$A:$E,5,0)</f>
        <v>42</v>
      </c>
      <c r="R326" s="8">
        <f>VLOOKUP($F326,[1]装箱单!$A:$F,6,0)</f>
        <v>22</v>
      </c>
      <c r="S326" s="8">
        <f>VLOOKUP($F326,[1]装箱单!$A:$G,7,0)</f>
        <v>29</v>
      </c>
      <c r="T326" s="10">
        <f>VLOOKUP($F326,[1]装箱单!$A:$J,10,0)</f>
        <v>0.026796</v>
      </c>
      <c r="U326" s="11">
        <f t="shared" si="41"/>
        <v>14.282268</v>
      </c>
    </row>
    <row r="327" ht="29.1" customHeight="1" spans="1:21">
      <c r="A327" s="40">
        <v>46107</v>
      </c>
      <c r="B327" s="41" t="s">
        <v>427</v>
      </c>
      <c r="C327" s="42" t="s">
        <v>372</v>
      </c>
      <c r="D327" s="43" t="s">
        <v>373</v>
      </c>
      <c r="E327" s="44" t="s">
        <v>374</v>
      </c>
      <c r="F327" s="44" t="s">
        <v>45</v>
      </c>
      <c r="G327" s="44" t="s">
        <v>31</v>
      </c>
      <c r="H327" s="44"/>
      <c r="I327" s="45">
        <v>10800</v>
      </c>
      <c r="J327" s="45" t="s">
        <v>32</v>
      </c>
      <c r="K327" s="45" t="s">
        <v>33</v>
      </c>
      <c r="L327" s="46">
        <f>+I327/18</f>
        <v>600</v>
      </c>
      <c r="M327" s="43">
        <f t="shared" si="40"/>
        <v>3.4758075645</v>
      </c>
      <c r="N327" s="46" t="s">
        <v>34</v>
      </c>
      <c r="O327" s="44"/>
      <c r="P327" s="48"/>
      <c r="Q327" s="8">
        <f>VLOOKUP($F327,[1]装箱单!$A:$E,5,0)</f>
        <v>32.385</v>
      </c>
      <c r="R327" s="8">
        <f>VLOOKUP($F327,[1]装箱单!$A:$F,6,0)</f>
        <v>18.78</v>
      </c>
      <c r="S327" s="8">
        <f>VLOOKUP($F327,[1]装箱单!$A:$G,7,0)</f>
        <v>9.525</v>
      </c>
      <c r="T327" s="10">
        <f>VLOOKUP($F327,[1]装箱单!$A:$J,10,0)</f>
        <v>0.0057930126075</v>
      </c>
      <c r="U327" s="11">
        <f t="shared" si="41"/>
        <v>3.4758075645</v>
      </c>
    </row>
    <row r="328" ht="29.1" customHeight="1" spans="1:21">
      <c r="A328" s="40">
        <v>46107</v>
      </c>
      <c r="B328" s="41" t="s">
        <v>428</v>
      </c>
      <c r="C328" s="42" t="s">
        <v>429</v>
      </c>
      <c r="D328" s="43" t="s">
        <v>430</v>
      </c>
      <c r="E328" s="44" t="s">
        <v>431</v>
      </c>
      <c r="F328" s="44" t="s">
        <v>45</v>
      </c>
      <c r="G328" s="44" t="s">
        <v>31</v>
      </c>
      <c r="H328" s="44"/>
      <c r="I328" s="45">
        <v>7506</v>
      </c>
      <c r="J328" s="45" t="s">
        <v>32</v>
      </c>
      <c r="K328" s="45" t="s">
        <v>33</v>
      </c>
      <c r="L328" s="46">
        <f>+I328/18</f>
        <v>417</v>
      </c>
      <c r="M328" s="43">
        <f t="shared" si="40"/>
        <v>2.4156862573275</v>
      </c>
      <c r="N328" s="46" t="s">
        <v>34</v>
      </c>
      <c r="O328" s="44"/>
      <c r="P328" s="48"/>
      <c r="Q328" s="8">
        <f>VLOOKUP($F328,[1]装箱单!$A:$E,5,0)</f>
        <v>32.385</v>
      </c>
      <c r="R328" s="8">
        <f>VLOOKUP($F328,[1]装箱单!$A:$F,6,0)</f>
        <v>18.78</v>
      </c>
      <c r="S328" s="8">
        <f>VLOOKUP($F328,[1]装箱单!$A:$G,7,0)</f>
        <v>9.525</v>
      </c>
      <c r="T328" s="10">
        <f>VLOOKUP($F328,[1]装箱单!$A:$J,10,0)</f>
        <v>0.0057930126075</v>
      </c>
      <c r="U328" s="11">
        <f t="shared" si="41"/>
        <v>2.4156862573275</v>
      </c>
    </row>
    <row r="329" ht="29.1" customHeight="1" spans="1:21">
      <c r="A329" s="40">
        <v>46107</v>
      </c>
      <c r="B329" s="41" t="s">
        <v>432</v>
      </c>
      <c r="C329" s="42" t="s">
        <v>433</v>
      </c>
      <c r="D329" s="43" t="s">
        <v>434</v>
      </c>
      <c r="E329" s="44" t="s">
        <v>435</v>
      </c>
      <c r="F329" s="44" t="s">
        <v>179</v>
      </c>
      <c r="G329" s="44" t="s">
        <v>31</v>
      </c>
      <c r="H329" s="44"/>
      <c r="I329" s="45">
        <v>80016</v>
      </c>
      <c r="J329" s="45" t="s">
        <v>32</v>
      </c>
      <c r="K329" s="45" t="s">
        <v>33</v>
      </c>
      <c r="L329" s="46">
        <f>+I329/48</f>
        <v>1667</v>
      </c>
      <c r="M329" s="43">
        <f t="shared" si="40"/>
        <v>22.169433</v>
      </c>
      <c r="N329" s="46" t="s">
        <v>34</v>
      </c>
      <c r="O329" s="44"/>
      <c r="P329" s="48"/>
      <c r="Q329" s="8">
        <f>VLOOKUP($F329,[1]装箱单!$A:$E,5,0)</f>
        <v>31</v>
      </c>
      <c r="R329" s="8">
        <f>VLOOKUP($F329,[1]装箱单!$A:$F,6,0)</f>
        <v>22</v>
      </c>
      <c r="S329" s="8">
        <f>VLOOKUP($F329,[1]装箱单!$A:$G,7,0)</f>
        <v>19.5</v>
      </c>
      <c r="T329" s="10">
        <f>VLOOKUP($F329,[1]装箱单!$A:$J,10,0)</f>
        <v>0.013299</v>
      </c>
      <c r="U329" s="11">
        <f t="shared" si="41"/>
        <v>22.169433</v>
      </c>
    </row>
    <row r="330" ht="29.1" customHeight="1" spans="1:21">
      <c r="A330" s="40">
        <v>46107</v>
      </c>
      <c r="B330" s="41" t="s">
        <v>177</v>
      </c>
      <c r="C330" s="42" t="s">
        <v>436</v>
      </c>
      <c r="D330" s="43" t="s">
        <v>437</v>
      </c>
      <c r="E330" s="44">
        <v>8150972748</v>
      </c>
      <c r="F330" s="44" t="s">
        <v>179</v>
      </c>
      <c r="G330" s="44" t="s">
        <v>31</v>
      </c>
      <c r="H330" s="44"/>
      <c r="I330" s="45">
        <v>100824</v>
      </c>
      <c r="J330" s="45" t="s">
        <v>32</v>
      </c>
      <c r="K330" s="45" t="s">
        <v>33</v>
      </c>
      <c r="L330" s="46">
        <f>+I330/24</f>
        <v>4201</v>
      </c>
      <c r="M330" s="43">
        <f t="shared" si="40"/>
        <v>55.869099</v>
      </c>
      <c r="N330" s="46" t="s">
        <v>34</v>
      </c>
      <c r="O330" s="44"/>
      <c r="P330" s="48"/>
      <c r="Q330" s="8">
        <f>VLOOKUP($F330,[1]装箱单!$A:$E,5,0)</f>
        <v>31</v>
      </c>
      <c r="R330" s="8">
        <f>VLOOKUP($F330,[1]装箱单!$A:$F,6,0)</f>
        <v>22</v>
      </c>
      <c r="S330" s="8">
        <f>VLOOKUP($F330,[1]装箱单!$A:$G,7,0)</f>
        <v>19.5</v>
      </c>
      <c r="T330" s="10">
        <f>VLOOKUP($F330,[1]装箱单!$A:$J,10,0)</f>
        <v>0.013299</v>
      </c>
      <c r="U330" s="11">
        <f t="shared" si="41"/>
        <v>55.869099</v>
      </c>
    </row>
    <row r="331" ht="29.1" customHeight="1" spans="1:21">
      <c r="A331" s="40">
        <v>46107</v>
      </c>
      <c r="B331" s="41" t="s">
        <v>438</v>
      </c>
      <c r="C331" s="42" t="s">
        <v>439</v>
      </c>
      <c r="D331" s="43" t="s">
        <v>440</v>
      </c>
      <c r="E331" s="44" t="s">
        <v>441</v>
      </c>
      <c r="F331" s="44">
        <v>33477</v>
      </c>
      <c r="G331" s="44" t="s">
        <v>31</v>
      </c>
      <c r="H331" s="44"/>
      <c r="I331" s="45">
        <v>608</v>
      </c>
      <c r="J331" s="45" t="s">
        <v>32</v>
      </c>
      <c r="K331" s="45" t="s">
        <v>33</v>
      </c>
      <c r="L331" s="126" t="s">
        <v>442</v>
      </c>
      <c r="M331" s="119">
        <v>5.4</v>
      </c>
      <c r="N331" s="46" t="s">
        <v>34</v>
      </c>
      <c r="O331" s="44"/>
      <c r="P331" s="48"/>
    </row>
    <row r="332" ht="29.1" customHeight="1" spans="1:21">
      <c r="A332" s="40">
        <v>46107</v>
      </c>
      <c r="B332" s="41" t="s">
        <v>438</v>
      </c>
      <c r="C332" s="42" t="s">
        <v>443</v>
      </c>
      <c r="D332" s="43" t="s">
        <v>444</v>
      </c>
      <c r="E332" s="44" t="s">
        <v>445</v>
      </c>
      <c r="F332" s="44">
        <v>33477</v>
      </c>
      <c r="G332" s="44" t="s">
        <v>31</v>
      </c>
      <c r="H332" s="44"/>
      <c r="I332" s="45">
        <v>1337</v>
      </c>
      <c r="J332" s="45" t="s">
        <v>32</v>
      </c>
      <c r="K332" s="45" t="s">
        <v>33</v>
      </c>
      <c r="L332" s="127"/>
      <c r="M332" s="124"/>
      <c r="N332" s="46" t="s">
        <v>34</v>
      </c>
      <c r="O332" s="44"/>
      <c r="P332" s="48"/>
    </row>
    <row r="333" ht="29.1" customHeight="1" spans="1:21">
      <c r="A333" s="40">
        <v>46107</v>
      </c>
      <c r="B333" s="41" t="s">
        <v>446</v>
      </c>
      <c r="C333" s="42" t="s">
        <v>447</v>
      </c>
      <c r="D333" s="43" t="s">
        <v>448</v>
      </c>
      <c r="E333" s="44" t="s">
        <v>449</v>
      </c>
      <c r="F333" s="44">
        <v>33477</v>
      </c>
      <c r="G333" s="44" t="s">
        <v>31</v>
      </c>
      <c r="H333" s="44"/>
      <c r="I333" s="45">
        <v>2640</v>
      </c>
      <c r="J333" s="45" t="s">
        <v>32</v>
      </c>
      <c r="K333" s="45" t="s">
        <v>33</v>
      </c>
      <c r="L333" s="127"/>
      <c r="M333" s="124"/>
      <c r="N333" s="46" t="s">
        <v>34</v>
      </c>
      <c r="O333" s="44"/>
      <c r="P333" s="48"/>
    </row>
    <row r="334" ht="29.1" customHeight="1" spans="1:21">
      <c r="A334" s="40">
        <v>46107</v>
      </c>
      <c r="B334" s="41" t="s">
        <v>438</v>
      </c>
      <c r="C334" s="42"/>
      <c r="D334" s="43"/>
      <c r="E334" s="44"/>
      <c r="F334" s="44">
        <v>33477</v>
      </c>
      <c r="G334" s="44" t="s">
        <v>31</v>
      </c>
      <c r="H334" s="44"/>
      <c r="I334" s="45">
        <v>500</v>
      </c>
      <c r="J334" s="45" t="s">
        <v>32</v>
      </c>
      <c r="K334" s="45" t="s">
        <v>33</v>
      </c>
      <c r="L334" s="127"/>
      <c r="M334" s="124"/>
      <c r="N334" s="46" t="s">
        <v>34</v>
      </c>
      <c r="O334" s="44"/>
      <c r="P334" s="48"/>
    </row>
    <row r="335" ht="29.1" customHeight="1" spans="1:21">
      <c r="A335" s="40">
        <v>46107</v>
      </c>
      <c r="B335" s="41" t="s">
        <v>438</v>
      </c>
      <c r="C335" s="42"/>
      <c r="D335" s="43"/>
      <c r="E335" s="44"/>
      <c r="F335" s="44">
        <v>33477</v>
      </c>
      <c r="G335" s="44" t="s">
        <v>31</v>
      </c>
      <c r="H335" s="44"/>
      <c r="I335" s="45">
        <v>500</v>
      </c>
      <c r="J335" s="45" t="s">
        <v>32</v>
      </c>
      <c r="K335" s="45" t="s">
        <v>33</v>
      </c>
      <c r="L335" s="127"/>
      <c r="M335" s="124"/>
      <c r="N335" s="46" t="s">
        <v>34</v>
      </c>
      <c r="O335" s="44"/>
      <c r="P335" s="48"/>
    </row>
    <row r="336" ht="29.1" customHeight="1" spans="1:21">
      <c r="A336" s="40">
        <v>46107</v>
      </c>
      <c r="B336" s="41" t="s">
        <v>450</v>
      </c>
      <c r="C336" s="42" t="s">
        <v>451</v>
      </c>
      <c r="D336" s="43" t="s">
        <v>452</v>
      </c>
      <c r="E336" s="44" t="s">
        <v>453</v>
      </c>
      <c r="F336" s="44">
        <v>33477</v>
      </c>
      <c r="G336" s="44" t="s">
        <v>31</v>
      </c>
      <c r="H336" s="44"/>
      <c r="I336" s="45">
        <v>850</v>
      </c>
      <c r="J336" s="45" t="s">
        <v>32</v>
      </c>
      <c r="K336" s="45" t="s">
        <v>33</v>
      </c>
      <c r="L336" s="127"/>
      <c r="M336" s="124"/>
      <c r="N336" s="46" t="s">
        <v>57</v>
      </c>
      <c r="O336" s="44" t="s">
        <v>454</v>
      </c>
      <c r="P336" s="48"/>
    </row>
    <row r="337" ht="29.1" customHeight="1" spans="1:21">
      <c r="A337" s="40">
        <v>46107</v>
      </c>
      <c r="B337" s="41" t="s">
        <v>450</v>
      </c>
      <c r="C337" s="42" t="s">
        <v>455</v>
      </c>
      <c r="D337" s="43" t="s">
        <v>456</v>
      </c>
      <c r="E337" s="44" t="s">
        <v>457</v>
      </c>
      <c r="F337" s="44">
        <v>33477</v>
      </c>
      <c r="G337" s="44" t="s">
        <v>31</v>
      </c>
      <c r="H337" s="44"/>
      <c r="I337" s="45">
        <v>710</v>
      </c>
      <c r="J337" s="45" t="s">
        <v>32</v>
      </c>
      <c r="K337" s="45" t="s">
        <v>33</v>
      </c>
      <c r="L337" s="127"/>
      <c r="M337" s="124"/>
      <c r="N337" s="46" t="s">
        <v>57</v>
      </c>
      <c r="O337" s="44" t="s">
        <v>454</v>
      </c>
      <c r="P337" s="48"/>
    </row>
    <row r="338" ht="29.1" customHeight="1" spans="1:21">
      <c r="A338" s="40">
        <v>46107</v>
      </c>
      <c r="B338" s="41" t="s">
        <v>450</v>
      </c>
      <c r="C338" s="42" t="s">
        <v>458</v>
      </c>
      <c r="D338" s="43" t="s">
        <v>459</v>
      </c>
      <c r="E338" s="44" t="s">
        <v>460</v>
      </c>
      <c r="F338" s="44">
        <v>33477</v>
      </c>
      <c r="G338" s="44" t="s">
        <v>31</v>
      </c>
      <c r="H338" s="44"/>
      <c r="I338" s="45">
        <v>914</v>
      </c>
      <c r="J338" s="45" t="s">
        <v>32</v>
      </c>
      <c r="K338" s="45" t="s">
        <v>33</v>
      </c>
      <c r="L338" s="127"/>
      <c r="M338" s="124"/>
      <c r="N338" s="46" t="s">
        <v>57</v>
      </c>
      <c r="O338" s="44" t="s">
        <v>454</v>
      </c>
      <c r="P338" s="48"/>
    </row>
    <row r="339" ht="29.1" customHeight="1" spans="1:21">
      <c r="A339" s="40">
        <v>46107</v>
      </c>
      <c r="B339" s="41" t="s">
        <v>450</v>
      </c>
      <c r="C339" s="42" t="s">
        <v>461</v>
      </c>
      <c r="D339" s="43" t="s">
        <v>462</v>
      </c>
      <c r="E339" s="44" t="s">
        <v>463</v>
      </c>
      <c r="F339" s="44">
        <v>33477</v>
      </c>
      <c r="G339" s="44" t="s">
        <v>31</v>
      </c>
      <c r="H339" s="44"/>
      <c r="I339" s="45">
        <v>1284</v>
      </c>
      <c r="J339" s="45" t="s">
        <v>32</v>
      </c>
      <c r="K339" s="45" t="s">
        <v>33</v>
      </c>
      <c r="L339" s="127"/>
      <c r="M339" s="124"/>
      <c r="N339" s="46" t="s">
        <v>57</v>
      </c>
      <c r="O339" s="44" t="s">
        <v>454</v>
      </c>
      <c r="P339" s="48"/>
    </row>
    <row r="340" ht="29.1" customHeight="1" spans="1:21">
      <c r="A340" s="40">
        <v>46107</v>
      </c>
      <c r="B340" s="41" t="s">
        <v>450</v>
      </c>
      <c r="C340" s="42" t="s">
        <v>464</v>
      </c>
      <c r="D340" s="43" t="s">
        <v>465</v>
      </c>
      <c r="E340" s="44" t="s">
        <v>466</v>
      </c>
      <c r="F340" s="44">
        <v>33477</v>
      </c>
      <c r="G340" s="44" t="s">
        <v>31</v>
      </c>
      <c r="H340" s="44"/>
      <c r="I340" s="45">
        <f>1032-300</f>
        <v>732</v>
      </c>
      <c r="J340" s="45" t="s">
        <v>32</v>
      </c>
      <c r="K340" s="45" t="s">
        <v>33</v>
      </c>
      <c r="L340" s="128"/>
      <c r="M340" s="121"/>
      <c r="N340" s="46" t="s">
        <v>57</v>
      </c>
      <c r="O340" s="44" t="s">
        <v>454</v>
      </c>
      <c r="P340" s="48"/>
    </row>
    <row r="341" ht="29.1" customHeight="1" spans="1:21">
      <c r="A341" s="40"/>
      <c r="B341" s="41"/>
      <c r="C341" s="42"/>
      <c r="D341" s="43"/>
      <c r="E341" s="44"/>
      <c r="F341" s="44"/>
      <c r="G341" s="44"/>
      <c r="H341" s="44"/>
      <c r="I341" s="45"/>
      <c r="J341" s="45"/>
      <c r="K341" s="45"/>
      <c r="L341" s="46"/>
      <c r="M341" s="43">
        <f>+SUM(M325:M340)</f>
        <v>127.192259523836</v>
      </c>
      <c r="N341" s="46"/>
      <c r="O341" s="44"/>
      <c r="P341" s="51"/>
    </row>
    <row r="342" ht="29.1" customHeight="1" spans="1:21">
      <c r="A342" s="40">
        <v>46109</v>
      </c>
      <c r="B342" s="41" t="s">
        <v>54</v>
      </c>
      <c r="C342" s="42" t="s">
        <v>402</v>
      </c>
      <c r="D342" s="43" t="s">
        <v>403</v>
      </c>
      <c r="E342" s="139" t="s">
        <v>467</v>
      </c>
      <c r="F342" s="44">
        <v>28472</v>
      </c>
      <c r="G342" s="44" t="s">
        <v>31</v>
      </c>
      <c r="H342" s="44"/>
      <c r="I342" s="45">
        <v>1260</v>
      </c>
      <c r="J342" s="45" t="s">
        <v>32</v>
      </c>
      <c r="K342" s="45" t="s">
        <v>33</v>
      </c>
      <c r="L342" s="46">
        <v>1260</v>
      </c>
      <c r="M342" s="43">
        <f>+U342</f>
        <v>23.1336</v>
      </c>
      <c r="N342" s="46" t="s">
        <v>34</v>
      </c>
      <c r="O342" s="44"/>
      <c r="P342" s="48" t="s">
        <v>468</v>
      </c>
      <c r="Q342" s="8">
        <f>VLOOKUP($F342,[1]装箱单!$A:$E,5,0)</f>
        <v>30</v>
      </c>
      <c r="R342" s="8">
        <f>VLOOKUP($F342,[1]装箱单!$A:$F,6,0)</f>
        <v>17</v>
      </c>
      <c r="S342" s="8">
        <f>VLOOKUP($F342,[1]装箱单!$A:$G,7,0)</f>
        <v>36</v>
      </c>
      <c r="T342" s="10">
        <f>VLOOKUP($F342,[1]装箱单!$A:$J,10,0)</f>
        <v>0.01836</v>
      </c>
      <c r="U342" s="11">
        <f>+T342*L342</f>
        <v>23.1336</v>
      </c>
    </row>
    <row r="343" ht="29.1" customHeight="1" spans="1:21">
      <c r="A343" s="40">
        <v>46109</v>
      </c>
      <c r="B343" s="41" t="s">
        <v>54</v>
      </c>
      <c r="C343" s="42" t="s">
        <v>422</v>
      </c>
      <c r="D343" s="43" t="s">
        <v>423</v>
      </c>
      <c r="E343" s="139" t="s">
        <v>469</v>
      </c>
      <c r="F343" s="44">
        <v>28472</v>
      </c>
      <c r="G343" s="44" t="s">
        <v>31</v>
      </c>
      <c r="H343" s="44"/>
      <c r="I343" s="45">
        <v>2040</v>
      </c>
      <c r="J343" s="45" t="s">
        <v>32</v>
      </c>
      <c r="K343" s="45" t="s">
        <v>33</v>
      </c>
      <c r="L343" s="46">
        <v>2040</v>
      </c>
      <c r="M343" s="43">
        <f>+U343</f>
        <v>37.4544</v>
      </c>
      <c r="N343" s="46" t="s">
        <v>34</v>
      </c>
      <c r="O343" s="44"/>
      <c r="P343" s="48"/>
      <c r="Q343" s="8">
        <f>VLOOKUP($F343,[1]装箱单!$A:$E,5,0)</f>
        <v>30</v>
      </c>
      <c r="R343" s="8">
        <f>VLOOKUP($F343,[1]装箱单!$A:$F,6,0)</f>
        <v>17</v>
      </c>
      <c r="S343" s="8">
        <f>VLOOKUP($F343,[1]装箱单!$A:$G,7,0)</f>
        <v>36</v>
      </c>
      <c r="T343" s="10">
        <f>VLOOKUP($F343,[1]装箱单!$A:$J,10,0)</f>
        <v>0.01836</v>
      </c>
      <c r="U343" s="11">
        <f>+T343*L343</f>
        <v>37.4544</v>
      </c>
    </row>
    <row r="344" ht="29.1" customHeight="1" spans="1:21">
      <c r="A344" s="40"/>
      <c r="B344" s="41"/>
      <c r="C344" s="42"/>
      <c r="D344" s="43"/>
      <c r="E344" s="44"/>
      <c r="F344" s="44"/>
      <c r="G344" s="44"/>
      <c r="H344" s="44"/>
      <c r="I344" s="45"/>
      <c r="J344" s="45"/>
      <c r="K344" s="45"/>
      <c r="L344" s="46"/>
      <c r="M344" s="43">
        <f>SUM(M342:M343)</f>
        <v>60.588</v>
      </c>
      <c r="N344" s="46"/>
      <c r="O344" s="44"/>
      <c r="P344" s="51"/>
    </row>
    <row r="345" ht="29.1" customHeight="1" spans="1:21">
      <c r="A345" s="40">
        <v>46112</v>
      </c>
      <c r="B345" s="41" t="s">
        <v>52</v>
      </c>
      <c r="C345" s="44">
        <v>45173</v>
      </c>
      <c r="D345" s="43" t="s">
        <v>470</v>
      </c>
      <c r="E345" s="44"/>
      <c r="F345" s="44">
        <v>571299</v>
      </c>
      <c r="G345" s="44" t="s">
        <v>31</v>
      </c>
      <c r="H345" s="44"/>
      <c r="I345" s="45">
        <f>+L345</f>
        <v>2800</v>
      </c>
      <c r="J345" s="45" t="s">
        <v>32</v>
      </c>
      <c r="K345" s="45" t="s">
        <v>33</v>
      </c>
      <c r="L345" s="45">
        <v>2800</v>
      </c>
      <c r="M345" s="43">
        <f>+U345</f>
        <v>75.0288</v>
      </c>
      <c r="N345" s="46" t="s">
        <v>34</v>
      </c>
      <c r="O345" s="44"/>
      <c r="P345" s="48" t="s">
        <v>424</v>
      </c>
      <c r="Q345" s="8">
        <f>VLOOKUP($F345,[1]装箱单!$A:$E,5,0)</f>
        <v>42</v>
      </c>
      <c r="R345" s="8">
        <f>VLOOKUP($F345,[1]装箱单!$A:$F,6,0)</f>
        <v>22</v>
      </c>
      <c r="S345" s="8">
        <f>VLOOKUP($F345,[1]装箱单!$A:$G,7,0)</f>
        <v>29</v>
      </c>
      <c r="T345" s="10">
        <f>VLOOKUP($F345,[1]装箱单!$A:$J,10,0)</f>
        <v>0.026796</v>
      </c>
      <c r="U345" s="11">
        <f>+T345*L345</f>
        <v>75.0288</v>
      </c>
    </row>
    <row r="346" ht="29.1" customHeight="1" spans="1:21">
      <c r="A346" s="40">
        <v>46112</v>
      </c>
      <c r="B346" s="41" t="s">
        <v>52</v>
      </c>
      <c r="C346" s="44">
        <v>45500</v>
      </c>
      <c r="D346" s="43" t="s">
        <v>471</v>
      </c>
      <c r="E346" s="44"/>
      <c r="F346" s="44">
        <v>571299</v>
      </c>
      <c r="G346" s="44" t="s">
        <v>31</v>
      </c>
      <c r="H346" s="44"/>
      <c r="I346" s="45">
        <f>+L346</f>
        <v>2800</v>
      </c>
      <c r="J346" s="45" t="s">
        <v>32</v>
      </c>
      <c r="K346" s="45" t="s">
        <v>33</v>
      </c>
      <c r="L346" s="45">
        <v>2800</v>
      </c>
      <c r="M346" s="43">
        <f>+U346</f>
        <v>75.0288</v>
      </c>
      <c r="N346" s="46" t="s">
        <v>34</v>
      </c>
      <c r="O346" s="44"/>
      <c r="P346" s="48"/>
      <c r="Q346" s="8">
        <f>VLOOKUP($F346,[1]装箱单!$A:$E,5,0)</f>
        <v>42</v>
      </c>
      <c r="R346" s="8">
        <f>VLOOKUP($F346,[1]装箱单!$A:$F,6,0)</f>
        <v>22</v>
      </c>
      <c r="S346" s="8">
        <f>VLOOKUP($F346,[1]装箱单!$A:$G,7,0)</f>
        <v>29</v>
      </c>
      <c r="T346" s="10">
        <f>VLOOKUP($F346,[1]装箱单!$A:$J,10,0)</f>
        <v>0.026796</v>
      </c>
      <c r="U346" s="11">
        <f>+T346*L346</f>
        <v>75.0288</v>
      </c>
    </row>
    <row r="347" ht="29.1" customHeight="1" spans="1:21">
      <c r="A347" s="40">
        <v>46112</v>
      </c>
      <c r="B347" s="41" t="s">
        <v>52</v>
      </c>
      <c r="C347" s="44">
        <v>45236</v>
      </c>
      <c r="D347" s="43" t="s">
        <v>410</v>
      </c>
      <c r="E347" s="44"/>
      <c r="F347" s="44">
        <v>320923</v>
      </c>
      <c r="G347" s="44" t="s">
        <v>31</v>
      </c>
      <c r="H347" s="44"/>
      <c r="I347" s="45">
        <f>+L347*2</f>
        <v>920</v>
      </c>
      <c r="J347" s="45" t="s">
        <v>32</v>
      </c>
      <c r="K347" s="45" t="s">
        <v>33</v>
      </c>
      <c r="L347" s="45">
        <v>460</v>
      </c>
      <c r="M347" s="43">
        <f>+U347</f>
        <v>12.1164324484</v>
      </c>
      <c r="N347" s="46" t="s">
        <v>34</v>
      </c>
      <c r="O347" s="44"/>
      <c r="P347" s="48"/>
      <c r="Q347" s="8">
        <f>VLOOKUP($F347,[1]装箱单!$A:$E,5,0)</f>
        <v>39.94</v>
      </c>
      <c r="R347" s="8">
        <f>VLOOKUP($F347,[1]装箱单!$A:$F,6,0)</f>
        <v>30.1</v>
      </c>
      <c r="S347" s="8">
        <f>VLOOKUP($F347,[1]装箱单!$A:$G,7,0)</f>
        <v>21.91</v>
      </c>
      <c r="T347" s="10">
        <f>VLOOKUP($F347,[1]装箱单!$A:$J,10,0)</f>
        <v>0.02634007054</v>
      </c>
      <c r="U347" s="11">
        <f>+T347*L347</f>
        <v>12.1164324484</v>
      </c>
    </row>
    <row r="348" ht="29.1" customHeight="1" spans="1:21">
      <c r="A348" s="40"/>
      <c r="B348" s="41"/>
      <c r="C348" s="44"/>
      <c r="D348" s="43"/>
      <c r="E348" s="44"/>
      <c r="F348" s="44"/>
      <c r="G348" s="44"/>
      <c r="H348" s="44"/>
      <c r="I348" s="45"/>
      <c r="J348" s="45"/>
      <c r="K348" s="45"/>
      <c r="L348" s="45"/>
      <c r="M348" s="43">
        <f>SUM(M345:M347)</f>
        <v>162.1740324484</v>
      </c>
      <c r="N348" s="46"/>
      <c r="O348" s="44"/>
      <c r="P348" s="51"/>
    </row>
    <row r="349" ht="29.1" customHeight="1" spans="1:21">
      <c r="A349" s="40">
        <v>46112</v>
      </c>
      <c r="B349" s="41" t="s">
        <v>52</v>
      </c>
      <c r="C349" s="44">
        <v>45297</v>
      </c>
      <c r="D349" s="43" t="s">
        <v>411</v>
      </c>
      <c r="E349" s="44"/>
      <c r="F349" s="44">
        <v>470725</v>
      </c>
      <c r="G349" s="44" t="s">
        <v>31</v>
      </c>
      <c r="H349" s="44"/>
      <c r="I349" s="45">
        <f>+L349*4</f>
        <v>10000</v>
      </c>
      <c r="J349" s="45" t="s">
        <v>47</v>
      </c>
      <c r="K349" s="45" t="s">
        <v>33</v>
      </c>
      <c r="L349" s="45">
        <v>2500</v>
      </c>
      <c r="M349" s="43">
        <f>+U349</f>
        <v>26.775</v>
      </c>
      <c r="N349" s="46" t="s">
        <v>34</v>
      </c>
      <c r="O349" s="44"/>
      <c r="P349" s="48" t="s">
        <v>472</v>
      </c>
      <c r="Q349" s="8">
        <f>VLOOKUP($F349,[1]装箱单!$A:$E,5,0)</f>
        <v>25.5</v>
      </c>
      <c r="R349" s="8">
        <f>VLOOKUP($F349,[1]装箱单!$A:$F,6,0)</f>
        <v>21</v>
      </c>
      <c r="S349" s="8">
        <f>VLOOKUP($F349,[1]装箱单!$A:$G,7,0)</f>
        <v>20</v>
      </c>
      <c r="T349" s="10">
        <f>VLOOKUP($F349,[1]装箱单!$A:$J,10,0)</f>
        <v>0.01071</v>
      </c>
      <c r="U349" s="11">
        <f>+T349*L349</f>
        <v>26.775</v>
      </c>
    </row>
    <row r="350" ht="29.1" customHeight="1" spans="1:21">
      <c r="A350" s="40">
        <v>46112</v>
      </c>
      <c r="B350" s="41" t="s">
        <v>52</v>
      </c>
      <c r="C350" s="44">
        <v>45236</v>
      </c>
      <c r="D350" s="43" t="s">
        <v>410</v>
      </c>
      <c r="E350" s="44"/>
      <c r="F350" s="44">
        <v>320923</v>
      </c>
      <c r="G350" s="44" t="s">
        <v>31</v>
      </c>
      <c r="H350" s="44"/>
      <c r="I350" s="45">
        <f>+L350*2</f>
        <v>2080</v>
      </c>
      <c r="J350" s="45" t="s">
        <v>32</v>
      </c>
      <c r="K350" s="45" t="s">
        <v>33</v>
      </c>
      <c r="L350" s="45">
        <v>1040</v>
      </c>
      <c r="M350" s="43">
        <f>+U350</f>
        <v>27.3936733616</v>
      </c>
      <c r="N350" s="46" t="s">
        <v>34</v>
      </c>
      <c r="O350" s="44"/>
      <c r="P350" s="48"/>
      <c r="Q350" s="8">
        <f>VLOOKUP($F350,[1]装箱单!$A:$E,5,0)</f>
        <v>39.94</v>
      </c>
      <c r="R350" s="8">
        <f>VLOOKUP($F350,[1]装箱单!$A:$F,6,0)</f>
        <v>30.1</v>
      </c>
      <c r="S350" s="8">
        <f>VLOOKUP($F350,[1]装箱单!$A:$G,7,0)</f>
        <v>21.91</v>
      </c>
      <c r="T350" s="10">
        <f>VLOOKUP($F350,[1]装箱单!$A:$J,10,0)</f>
        <v>0.02634007054</v>
      </c>
      <c r="U350" s="11">
        <f>+T350*L350</f>
        <v>27.3936733616</v>
      </c>
    </row>
    <row r="351" ht="29.1" customHeight="1" spans="1:21">
      <c r="A351" s="40">
        <v>46112</v>
      </c>
      <c r="B351" s="41" t="s">
        <v>52</v>
      </c>
      <c r="C351" s="44">
        <v>44551</v>
      </c>
      <c r="D351" s="43" t="s">
        <v>473</v>
      </c>
      <c r="E351" s="44"/>
      <c r="F351" s="44">
        <v>320630</v>
      </c>
      <c r="G351" s="44" t="s">
        <v>31</v>
      </c>
      <c r="H351" s="44"/>
      <c r="I351" s="45">
        <f>+L351*4</f>
        <v>3992</v>
      </c>
      <c r="J351" s="45" t="s">
        <v>32</v>
      </c>
      <c r="K351" s="45" t="s">
        <v>33</v>
      </c>
      <c r="L351" s="45">
        <v>998</v>
      </c>
      <c r="M351" s="43">
        <f>+U351</f>
        <v>10.2295</v>
      </c>
      <c r="N351" s="46" t="s">
        <v>34</v>
      </c>
      <c r="O351" s="44"/>
      <c r="P351" s="48"/>
      <c r="Q351" s="8">
        <f>VLOOKUP($F351,[1]装箱单!$A:$E,5,0)</f>
        <v>25</v>
      </c>
      <c r="R351" s="8">
        <f>VLOOKUP($F351,[1]装箱单!$A:$F,6,0)</f>
        <v>20.5</v>
      </c>
      <c r="S351" s="8">
        <f>VLOOKUP($F351,[1]装箱单!$A:$G,7,0)</f>
        <v>20</v>
      </c>
      <c r="T351" s="10">
        <f>VLOOKUP($F351,[1]装箱单!$A:$J,10,0)</f>
        <v>0.01025</v>
      </c>
      <c r="U351" s="11">
        <f>+T351*L351</f>
        <v>10.2295</v>
      </c>
    </row>
    <row r="352" ht="29.1" customHeight="1" spans="1:21">
      <c r="A352" s="40">
        <v>46112</v>
      </c>
      <c r="B352" s="41" t="s">
        <v>474</v>
      </c>
      <c r="C352" s="42" t="s">
        <v>475</v>
      </c>
      <c r="D352" s="43" t="s">
        <v>475</v>
      </c>
      <c r="E352" s="44" t="s">
        <v>476</v>
      </c>
      <c r="F352" s="44">
        <v>470764</v>
      </c>
      <c r="G352" s="44" t="s">
        <v>31</v>
      </c>
      <c r="H352" s="44"/>
      <c r="I352" s="45">
        <f>+L352</f>
        <v>3493</v>
      </c>
      <c r="J352" s="45" t="s">
        <v>32</v>
      </c>
      <c r="K352" s="45" t="s">
        <v>33</v>
      </c>
      <c r="L352" s="45">
        <v>3493</v>
      </c>
      <c r="M352" s="43">
        <f>+U352</f>
        <v>93.598428</v>
      </c>
      <c r="N352" s="46" t="s">
        <v>34</v>
      </c>
      <c r="O352" s="44"/>
      <c r="P352" s="48"/>
      <c r="Q352" s="8">
        <f>VLOOKUP($F352,[1]装箱单!$A:$E,5,0)</f>
        <v>42</v>
      </c>
      <c r="R352" s="8">
        <f>VLOOKUP($F352,[1]装箱单!$A:$F,6,0)</f>
        <v>22</v>
      </c>
      <c r="S352" s="8">
        <f>VLOOKUP($F352,[1]装箱单!$A:$G,7,0)</f>
        <v>29</v>
      </c>
      <c r="T352" s="10">
        <f>VLOOKUP($F352,[1]装箱单!$A:$J,10,0)</f>
        <v>0.026796</v>
      </c>
      <c r="U352" s="11">
        <f>+T352*L352</f>
        <v>93.598428</v>
      </c>
    </row>
    <row r="353" ht="29.1" customHeight="1" spans="1:21">
      <c r="A353" s="40"/>
      <c r="B353" s="41"/>
      <c r="C353" s="44"/>
      <c r="D353" s="43"/>
      <c r="E353" s="44"/>
      <c r="F353" s="44"/>
      <c r="G353" s="44"/>
      <c r="H353" s="44"/>
      <c r="I353" s="45"/>
      <c r="J353" s="45"/>
      <c r="K353" s="45"/>
      <c r="L353" s="45"/>
      <c r="M353" s="43">
        <f>SUM(M349:M352)</f>
        <v>157.9966013616</v>
      </c>
      <c r="N353" s="46"/>
      <c r="O353" s="44"/>
      <c r="P353" s="51"/>
    </row>
    <row r="354" ht="29.1" customHeight="1" spans="1:21">
      <c r="A354" s="40">
        <v>46113</v>
      </c>
      <c r="B354" s="41" t="s">
        <v>52</v>
      </c>
      <c r="C354" s="44">
        <v>44551</v>
      </c>
      <c r="D354" s="43" t="s">
        <v>473</v>
      </c>
      <c r="E354" s="44"/>
      <c r="F354" s="44">
        <v>320630</v>
      </c>
      <c r="G354" s="44" t="s">
        <v>31</v>
      </c>
      <c r="H354" s="44"/>
      <c r="I354" s="45">
        <f>+L354*4</f>
        <v>8</v>
      </c>
      <c r="J354" s="45" t="s">
        <v>32</v>
      </c>
      <c r="K354" s="45" t="s">
        <v>33</v>
      </c>
      <c r="L354" s="45">
        <v>2</v>
      </c>
      <c r="M354" s="43">
        <f t="shared" ref="M354:M359" si="42">+U354</f>
        <v>0.0205</v>
      </c>
      <c r="N354" s="46" t="s">
        <v>57</v>
      </c>
      <c r="O354" s="44"/>
      <c r="P354" s="48" t="s">
        <v>477</v>
      </c>
      <c r="Q354" s="8">
        <f>VLOOKUP($F354,[1]装箱单!$A:$E,5,0)</f>
        <v>25</v>
      </c>
      <c r="R354" s="8">
        <f>VLOOKUP($F354,[1]装箱单!$A:$F,6,0)</f>
        <v>20.5</v>
      </c>
      <c r="S354" s="8">
        <f>VLOOKUP($F354,[1]装箱单!$A:$G,7,0)</f>
        <v>20</v>
      </c>
      <c r="T354" s="10">
        <f>VLOOKUP($F354,[1]装箱单!$A:$J,10,0)</f>
        <v>0.01025</v>
      </c>
      <c r="U354" s="11">
        <f t="shared" ref="U354:U359" si="43">+T354*L354</f>
        <v>0.0205</v>
      </c>
    </row>
    <row r="355" ht="29.1" customHeight="1" spans="1:21">
      <c r="A355" s="40">
        <v>46113</v>
      </c>
      <c r="B355" s="41" t="s">
        <v>474</v>
      </c>
      <c r="C355" s="42" t="s">
        <v>475</v>
      </c>
      <c r="D355" s="43" t="s">
        <v>475</v>
      </c>
      <c r="E355" s="44" t="s">
        <v>476</v>
      </c>
      <c r="F355" s="44">
        <v>470764</v>
      </c>
      <c r="G355" s="44" t="s">
        <v>31</v>
      </c>
      <c r="H355" s="44"/>
      <c r="I355" s="45">
        <f>+L355</f>
        <v>1521</v>
      </c>
      <c r="J355" s="45" t="s">
        <v>32</v>
      </c>
      <c r="K355" s="45" t="s">
        <v>33</v>
      </c>
      <c r="L355" s="45">
        <f>5014-3493</f>
        <v>1521</v>
      </c>
      <c r="M355" s="43">
        <f t="shared" si="42"/>
        <v>40.756716</v>
      </c>
      <c r="N355" s="46" t="s">
        <v>57</v>
      </c>
      <c r="O355" s="44"/>
      <c r="P355" s="48"/>
      <c r="Q355" s="8">
        <f>VLOOKUP($F355,[1]装箱单!$A:$E,5,0)</f>
        <v>42</v>
      </c>
      <c r="R355" s="8">
        <f>VLOOKUP($F355,[1]装箱单!$A:$F,6,0)</f>
        <v>22</v>
      </c>
      <c r="S355" s="8">
        <f>VLOOKUP($F355,[1]装箱单!$A:$G,7,0)</f>
        <v>29</v>
      </c>
      <c r="T355" s="10">
        <f>VLOOKUP($F355,[1]装箱单!$A:$J,10,0)</f>
        <v>0.026796</v>
      </c>
      <c r="U355" s="11">
        <f t="shared" si="43"/>
        <v>40.756716</v>
      </c>
    </row>
    <row r="356" ht="29.1" customHeight="1" spans="1:21">
      <c r="A356" s="40">
        <v>46113</v>
      </c>
      <c r="B356" s="41" t="s">
        <v>54</v>
      </c>
      <c r="C356" s="42" t="s">
        <v>404</v>
      </c>
      <c r="D356" s="43" t="s">
        <v>405</v>
      </c>
      <c r="E356" s="44">
        <v>969848610</v>
      </c>
      <c r="F356" s="44">
        <v>28472</v>
      </c>
      <c r="G356" s="44" t="s">
        <v>31</v>
      </c>
      <c r="H356" s="44"/>
      <c r="I356" s="45">
        <v>1560</v>
      </c>
      <c r="J356" s="45" t="s">
        <v>32</v>
      </c>
      <c r="K356" s="45" t="s">
        <v>33</v>
      </c>
      <c r="L356" s="46">
        <f>+I356</f>
        <v>1560</v>
      </c>
      <c r="M356" s="43">
        <f t="shared" si="42"/>
        <v>28.6416</v>
      </c>
      <c r="N356" s="46" t="s">
        <v>57</v>
      </c>
      <c r="O356" s="44"/>
      <c r="P356" s="48"/>
      <c r="Q356" s="8">
        <f>VLOOKUP($F356,[1]装箱单!$A:$E,5,0)</f>
        <v>30</v>
      </c>
      <c r="R356" s="8">
        <f>VLOOKUP($F356,[1]装箱单!$A:$F,6,0)</f>
        <v>17</v>
      </c>
      <c r="S356" s="8">
        <f>VLOOKUP($F356,[1]装箱单!$A:$G,7,0)</f>
        <v>36</v>
      </c>
      <c r="T356" s="10">
        <f>VLOOKUP($F356,[1]装箱单!$A:$J,10,0)</f>
        <v>0.01836</v>
      </c>
      <c r="U356" s="11">
        <f t="shared" si="43"/>
        <v>28.6416</v>
      </c>
    </row>
    <row r="357" ht="29.1" customHeight="1" spans="1:21">
      <c r="A357" s="40">
        <v>46113</v>
      </c>
      <c r="B357" s="41" t="s">
        <v>54</v>
      </c>
      <c r="C357" s="42" t="s">
        <v>406</v>
      </c>
      <c r="D357" s="43" t="s">
        <v>407</v>
      </c>
      <c r="E357" s="44">
        <v>969848612</v>
      </c>
      <c r="F357" s="44">
        <v>28472</v>
      </c>
      <c r="G357" s="44" t="s">
        <v>31</v>
      </c>
      <c r="H357" s="44"/>
      <c r="I357" s="45">
        <f>+L357</f>
        <v>360</v>
      </c>
      <c r="J357" s="45" t="s">
        <v>32</v>
      </c>
      <c r="K357" s="45" t="s">
        <v>33</v>
      </c>
      <c r="L357" s="46">
        <v>360</v>
      </c>
      <c r="M357" s="43">
        <f t="shared" si="42"/>
        <v>6.6096</v>
      </c>
      <c r="N357" s="46" t="s">
        <v>57</v>
      </c>
      <c r="O357" s="44"/>
      <c r="P357" s="48"/>
      <c r="Q357" s="8">
        <f>VLOOKUP($F357,[1]装箱单!$A:$E,5,0)</f>
        <v>30</v>
      </c>
      <c r="R357" s="8">
        <f>VLOOKUP($F357,[1]装箱单!$A:$F,6,0)</f>
        <v>17</v>
      </c>
      <c r="S357" s="8">
        <f>VLOOKUP($F357,[1]装箱单!$A:$G,7,0)</f>
        <v>36</v>
      </c>
      <c r="T357" s="10">
        <f>VLOOKUP($F357,[1]装箱单!$A:$J,10,0)</f>
        <v>0.01836</v>
      </c>
      <c r="U357" s="11">
        <f t="shared" si="43"/>
        <v>6.6096</v>
      </c>
    </row>
    <row r="358" ht="29.1" customHeight="1" spans="1:21">
      <c r="A358" s="40">
        <v>46113</v>
      </c>
      <c r="B358" s="41" t="s">
        <v>54</v>
      </c>
      <c r="C358" s="42" t="s">
        <v>478</v>
      </c>
      <c r="D358" s="43" t="s">
        <v>479</v>
      </c>
      <c r="E358" s="44">
        <v>969848631</v>
      </c>
      <c r="F358" s="44">
        <v>28472</v>
      </c>
      <c r="G358" s="44" t="s">
        <v>31</v>
      </c>
      <c r="H358" s="44"/>
      <c r="I358" s="45">
        <v>1560</v>
      </c>
      <c r="J358" s="45" t="s">
        <v>32</v>
      </c>
      <c r="K358" s="45" t="s">
        <v>33</v>
      </c>
      <c r="L358" s="46">
        <f>+I358</f>
        <v>1560</v>
      </c>
      <c r="M358" s="43">
        <f t="shared" si="42"/>
        <v>28.6416</v>
      </c>
      <c r="N358" s="46" t="s">
        <v>57</v>
      </c>
      <c r="O358" s="44"/>
      <c r="P358" s="48"/>
      <c r="Q358" s="8">
        <f>VLOOKUP($F358,[1]装箱单!$A:$E,5,0)</f>
        <v>30</v>
      </c>
      <c r="R358" s="8">
        <f>VLOOKUP($F358,[1]装箱单!$A:$F,6,0)</f>
        <v>17</v>
      </c>
      <c r="S358" s="8">
        <f>VLOOKUP($F358,[1]装箱单!$A:$G,7,0)</f>
        <v>36</v>
      </c>
      <c r="T358" s="10">
        <f>VLOOKUP($F358,[1]装箱单!$A:$J,10,0)</f>
        <v>0.01836</v>
      </c>
      <c r="U358" s="11">
        <f t="shared" si="43"/>
        <v>28.6416</v>
      </c>
    </row>
    <row r="359" ht="29.1" customHeight="1" spans="1:21">
      <c r="A359" s="40">
        <v>46113</v>
      </c>
      <c r="B359" s="41" t="s">
        <v>54</v>
      </c>
      <c r="C359" s="42" t="s">
        <v>480</v>
      </c>
      <c r="D359" s="43" t="s">
        <v>481</v>
      </c>
      <c r="E359" s="44">
        <v>969848633</v>
      </c>
      <c r="F359" s="44">
        <v>28472</v>
      </c>
      <c r="G359" s="44" t="s">
        <v>31</v>
      </c>
      <c r="H359" s="44"/>
      <c r="I359" s="45">
        <v>1440</v>
      </c>
      <c r="J359" s="45" t="s">
        <v>32</v>
      </c>
      <c r="K359" s="45" t="s">
        <v>33</v>
      </c>
      <c r="L359" s="46">
        <f>+I359</f>
        <v>1440</v>
      </c>
      <c r="M359" s="43">
        <f t="shared" si="42"/>
        <v>26.4384</v>
      </c>
      <c r="N359" s="46" t="s">
        <v>57</v>
      </c>
      <c r="O359" s="44"/>
      <c r="P359" s="48"/>
      <c r="Q359" s="8">
        <f>VLOOKUP($F359,[1]装箱单!$A:$E,5,0)</f>
        <v>30</v>
      </c>
      <c r="R359" s="8">
        <f>VLOOKUP($F359,[1]装箱单!$A:$F,6,0)</f>
        <v>17</v>
      </c>
      <c r="S359" s="8">
        <f>VLOOKUP($F359,[1]装箱单!$A:$G,7,0)</f>
        <v>36</v>
      </c>
      <c r="T359" s="10">
        <f>VLOOKUP($F359,[1]装箱单!$A:$J,10,0)</f>
        <v>0.01836</v>
      </c>
      <c r="U359" s="11">
        <f t="shared" si="43"/>
        <v>26.4384</v>
      </c>
    </row>
    <row r="360" ht="29.1" customHeight="1" spans="1:21">
      <c r="A360" s="40"/>
      <c r="B360" s="41"/>
      <c r="C360" s="42"/>
      <c r="D360" s="43"/>
      <c r="E360" s="44"/>
      <c r="F360" s="44"/>
      <c r="G360" s="44"/>
      <c r="H360" s="44"/>
      <c r="I360" s="45"/>
      <c r="J360" s="45"/>
      <c r="K360" s="45"/>
      <c r="L360" s="46"/>
      <c r="M360" s="43">
        <f>SUM(M355:M359)</f>
        <v>131.087916</v>
      </c>
      <c r="N360" s="46"/>
      <c r="O360" s="44"/>
      <c r="P360" s="51"/>
    </row>
    <row r="361" ht="29.1" customHeight="1" spans="1:21">
      <c r="A361" s="40">
        <v>46114</v>
      </c>
      <c r="B361" s="41" t="s">
        <v>54</v>
      </c>
      <c r="C361" s="42" t="s">
        <v>406</v>
      </c>
      <c r="D361" s="43" t="s">
        <v>407</v>
      </c>
      <c r="E361" s="44">
        <v>969848612</v>
      </c>
      <c r="F361" s="44">
        <v>28472</v>
      </c>
      <c r="G361" s="44" t="s">
        <v>31</v>
      </c>
      <c r="H361" s="44"/>
      <c r="I361" s="45">
        <f>+L361</f>
        <v>540</v>
      </c>
      <c r="J361" s="45" t="s">
        <v>32</v>
      </c>
      <c r="K361" s="45" t="s">
        <v>33</v>
      </c>
      <c r="L361" s="46">
        <f>900-360</f>
        <v>540</v>
      </c>
      <c r="M361" s="43">
        <f t="shared" ref="M361:M375" si="44">+U361</f>
        <v>9.9144</v>
      </c>
      <c r="N361" s="46" t="s">
        <v>34</v>
      </c>
      <c r="O361" s="44"/>
      <c r="P361" s="48" t="s">
        <v>482</v>
      </c>
      <c r="Q361" s="8">
        <f>VLOOKUP($F361,[1]装箱单!$A:$E,5,0)</f>
        <v>30</v>
      </c>
      <c r="R361" s="8">
        <f>VLOOKUP($F361,[1]装箱单!$A:$F,6,0)</f>
        <v>17</v>
      </c>
      <c r="S361" s="8">
        <f>VLOOKUP($F361,[1]装箱单!$A:$G,7,0)</f>
        <v>36</v>
      </c>
      <c r="T361" s="10">
        <f>VLOOKUP($F361,[1]装箱单!$A:$J,10,0)</f>
        <v>0.01836</v>
      </c>
      <c r="U361" s="11">
        <f t="shared" ref="U361:U375" si="45">+T361*L361</f>
        <v>9.9144</v>
      </c>
    </row>
    <row r="362" ht="29.1" customHeight="1" spans="1:21">
      <c r="A362" s="40">
        <v>46114</v>
      </c>
      <c r="B362" s="41" t="s">
        <v>40</v>
      </c>
      <c r="C362" s="42" t="s">
        <v>478</v>
      </c>
      <c r="D362" s="43" t="s">
        <v>479</v>
      </c>
      <c r="E362" s="44">
        <v>969848631</v>
      </c>
      <c r="F362" s="44">
        <v>28458</v>
      </c>
      <c r="G362" s="44" t="s">
        <v>31</v>
      </c>
      <c r="H362" s="44"/>
      <c r="I362" s="45">
        <f>+L362*3</f>
        <v>4896</v>
      </c>
      <c r="J362" s="45" t="s">
        <v>47</v>
      </c>
      <c r="K362" s="45" t="s">
        <v>33</v>
      </c>
      <c r="L362" s="76">
        <v>1632</v>
      </c>
      <c r="M362" s="43">
        <f t="shared" si="44"/>
        <v>33.995144899008</v>
      </c>
      <c r="N362" s="46" t="s">
        <v>34</v>
      </c>
      <c r="O362" s="44"/>
      <c r="P362" s="48"/>
      <c r="Q362" s="8">
        <f>VLOOKUP($F362,[1]装箱单!$A:$E,5,0)</f>
        <v>26.99</v>
      </c>
      <c r="R362" s="8">
        <f>VLOOKUP($F362,[1]装箱单!$A:$F,6,0)</f>
        <v>27.31</v>
      </c>
      <c r="S362" s="8">
        <f>VLOOKUP($F362,[1]装箱单!$A:$G,7,0)</f>
        <v>28.26</v>
      </c>
      <c r="T362" s="10">
        <f>VLOOKUP($F362,[1]装箱单!$A:$J,10,0)</f>
        <v>0.020830358394</v>
      </c>
      <c r="U362" s="11">
        <f t="shared" si="45"/>
        <v>33.995144899008</v>
      </c>
    </row>
    <row r="363" ht="29.1" customHeight="1" spans="1:21">
      <c r="A363" s="40">
        <v>46114</v>
      </c>
      <c r="B363" s="41" t="s">
        <v>40</v>
      </c>
      <c r="C363" s="42" t="s">
        <v>480</v>
      </c>
      <c r="D363" s="43" t="s">
        <v>481</v>
      </c>
      <c r="E363" s="44">
        <v>969848633</v>
      </c>
      <c r="F363" s="44">
        <v>28458</v>
      </c>
      <c r="G363" s="44" t="s">
        <v>31</v>
      </c>
      <c r="H363" s="44"/>
      <c r="I363" s="45">
        <f>+L363*3</f>
        <v>4752</v>
      </c>
      <c r="J363" s="45" t="s">
        <v>47</v>
      </c>
      <c r="K363" s="45" t="s">
        <v>33</v>
      </c>
      <c r="L363" s="76">
        <f>2112-528</f>
        <v>1584</v>
      </c>
      <c r="M363" s="43">
        <f t="shared" si="44"/>
        <v>32.995287696096</v>
      </c>
      <c r="N363" s="46" t="s">
        <v>34</v>
      </c>
      <c r="O363" s="44"/>
      <c r="P363" s="48"/>
      <c r="Q363" s="8">
        <f>VLOOKUP($F363,[1]装箱单!$A:$E,5,0)</f>
        <v>26.99</v>
      </c>
      <c r="R363" s="8">
        <f>VLOOKUP($F363,[1]装箱单!$A:$F,6,0)</f>
        <v>27.31</v>
      </c>
      <c r="S363" s="8">
        <f>VLOOKUP($F363,[1]装箱单!$A:$G,7,0)</f>
        <v>28.26</v>
      </c>
      <c r="T363" s="10">
        <f>VLOOKUP($F363,[1]装箱单!$A:$J,10,0)</f>
        <v>0.020830358394</v>
      </c>
      <c r="U363" s="11">
        <f t="shared" si="45"/>
        <v>32.995287696096</v>
      </c>
    </row>
    <row r="364" ht="29.1" customHeight="1" spans="1:21">
      <c r="A364" s="40">
        <v>46114</v>
      </c>
      <c r="B364" s="41" t="s">
        <v>308</v>
      </c>
      <c r="C364" s="42" t="s">
        <v>483</v>
      </c>
      <c r="D364" s="43" t="s">
        <v>484</v>
      </c>
      <c r="E364" s="44" t="s">
        <v>485</v>
      </c>
      <c r="F364" s="44">
        <v>46134</v>
      </c>
      <c r="G364" s="44" t="s">
        <v>31</v>
      </c>
      <c r="H364" s="44"/>
      <c r="I364" s="45">
        <v>300</v>
      </c>
      <c r="J364" s="45" t="s">
        <v>32</v>
      </c>
      <c r="K364" s="45" t="s">
        <v>33</v>
      </c>
      <c r="L364" s="46">
        <f t="shared" ref="L364:L375" si="46">+I364/2</f>
        <v>150</v>
      </c>
      <c r="M364" s="43">
        <f t="shared" si="44"/>
        <v>3.3548577048</v>
      </c>
      <c r="N364" s="46" t="s">
        <v>34</v>
      </c>
      <c r="O364" s="44"/>
      <c r="P364" s="48"/>
      <c r="Q364" s="8">
        <f>VLOOKUP($F364,[1]装箱单!$A:$E,5,0)</f>
        <v>40.01</v>
      </c>
      <c r="R364" s="8">
        <f>VLOOKUP($F364,[1]装箱单!$A:$F,6,0)</f>
        <v>26.67</v>
      </c>
      <c r="S364" s="8">
        <f>VLOOKUP($F364,[1]装箱单!$A:$G,7,0)</f>
        <v>20.96</v>
      </c>
      <c r="T364" s="10">
        <f>VLOOKUP($F364,[1]装箱单!$A:$J,10,0)</f>
        <v>0.022365718032</v>
      </c>
      <c r="U364" s="11">
        <f t="shared" si="45"/>
        <v>3.3548577048</v>
      </c>
    </row>
    <row r="365" ht="29.1" customHeight="1" spans="1:21">
      <c r="A365" s="40">
        <v>46114</v>
      </c>
      <c r="B365" s="41" t="s">
        <v>308</v>
      </c>
      <c r="C365" s="42" t="s">
        <v>486</v>
      </c>
      <c r="D365" s="43" t="s">
        <v>487</v>
      </c>
      <c r="E365" s="44" t="s">
        <v>488</v>
      </c>
      <c r="F365" s="44">
        <v>46134</v>
      </c>
      <c r="G365" s="44" t="s">
        <v>31</v>
      </c>
      <c r="H365" s="44"/>
      <c r="I365" s="45">
        <v>200</v>
      </c>
      <c r="J365" s="45" t="s">
        <v>32</v>
      </c>
      <c r="K365" s="45" t="s">
        <v>33</v>
      </c>
      <c r="L365" s="46">
        <f t="shared" si="46"/>
        <v>100</v>
      </c>
      <c r="M365" s="43">
        <f t="shared" si="44"/>
        <v>2.2365718032</v>
      </c>
      <c r="N365" s="46" t="s">
        <v>34</v>
      </c>
      <c r="O365" s="44"/>
      <c r="P365" s="48"/>
      <c r="Q365" s="8">
        <f>VLOOKUP($F365,[1]装箱单!$A:$E,5,0)</f>
        <v>40.01</v>
      </c>
      <c r="R365" s="8">
        <f>VLOOKUP($F365,[1]装箱单!$A:$F,6,0)</f>
        <v>26.67</v>
      </c>
      <c r="S365" s="8">
        <f>VLOOKUP($F365,[1]装箱单!$A:$G,7,0)</f>
        <v>20.96</v>
      </c>
      <c r="T365" s="10">
        <f>VLOOKUP($F365,[1]装箱单!$A:$J,10,0)</f>
        <v>0.022365718032</v>
      </c>
      <c r="U365" s="11">
        <f t="shared" si="45"/>
        <v>2.2365718032</v>
      </c>
    </row>
    <row r="366" ht="29.1" customHeight="1" spans="1:21">
      <c r="A366" s="40">
        <v>46114</v>
      </c>
      <c r="B366" s="41" t="s">
        <v>308</v>
      </c>
      <c r="C366" s="42" t="s">
        <v>483</v>
      </c>
      <c r="D366" s="43" t="s">
        <v>484</v>
      </c>
      <c r="E366" s="44" t="s">
        <v>485</v>
      </c>
      <c r="F366" s="44">
        <v>46133</v>
      </c>
      <c r="G366" s="44" t="s">
        <v>31</v>
      </c>
      <c r="H366" s="44"/>
      <c r="I366" s="45">
        <v>300</v>
      </c>
      <c r="J366" s="45" t="s">
        <v>32</v>
      </c>
      <c r="K366" s="45" t="s">
        <v>33</v>
      </c>
      <c r="L366" s="46">
        <f t="shared" si="46"/>
        <v>150</v>
      </c>
      <c r="M366" s="43">
        <f t="shared" si="44"/>
        <v>3.3548577048</v>
      </c>
      <c r="N366" s="46" t="s">
        <v>34</v>
      </c>
      <c r="O366" s="44"/>
      <c r="P366" s="48"/>
      <c r="Q366" s="8">
        <f>VLOOKUP($F366,[1]装箱单!$A:$E,5,0)</f>
        <v>40.01</v>
      </c>
      <c r="R366" s="8">
        <f>VLOOKUP($F366,[1]装箱单!$A:$F,6,0)</f>
        <v>26.67</v>
      </c>
      <c r="S366" s="8">
        <f>VLOOKUP($F366,[1]装箱单!$A:$G,7,0)</f>
        <v>20.96</v>
      </c>
      <c r="T366" s="10">
        <f>VLOOKUP($F366,[1]装箱单!$A:$J,10,0)</f>
        <v>0.022365718032</v>
      </c>
      <c r="U366" s="11">
        <f t="shared" si="45"/>
        <v>3.3548577048</v>
      </c>
    </row>
    <row r="367" ht="29.1" customHeight="1" spans="1:21">
      <c r="A367" s="40">
        <v>46114</v>
      </c>
      <c r="B367" s="41" t="s">
        <v>308</v>
      </c>
      <c r="C367" s="42" t="s">
        <v>486</v>
      </c>
      <c r="D367" s="43" t="s">
        <v>487</v>
      </c>
      <c r="E367" s="44" t="s">
        <v>488</v>
      </c>
      <c r="F367" s="44">
        <v>46133</v>
      </c>
      <c r="G367" s="44" t="s">
        <v>31</v>
      </c>
      <c r="H367" s="44"/>
      <c r="I367" s="45">
        <v>200</v>
      </c>
      <c r="J367" s="45" t="s">
        <v>32</v>
      </c>
      <c r="K367" s="45" t="s">
        <v>33</v>
      </c>
      <c r="L367" s="46">
        <f t="shared" si="46"/>
        <v>100</v>
      </c>
      <c r="M367" s="43">
        <f t="shared" si="44"/>
        <v>2.2365718032</v>
      </c>
      <c r="N367" s="46" t="s">
        <v>34</v>
      </c>
      <c r="O367" s="44"/>
      <c r="P367" s="48"/>
      <c r="Q367" s="8">
        <f>VLOOKUP($F367,[1]装箱单!$A:$E,5,0)</f>
        <v>40.01</v>
      </c>
      <c r="R367" s="8">
        <f>VLOOKUP($F367,[1]装箱单!$A:$F,6,0)</f>
        <v>26.67</v>
      </c>
      <c r="S367" s="8">
        <f>VLOOKUP($F367,[1]装箱单!$A:$G,7,0)</f>
        <v>20.96</v>
      </c>
      <c r="T367" s="10">
        <f>VLOOKUP($F367,[1]装箱单!$A:$J,10,0)</f>
        <v>0.022365718032</v>
      </c>
      <c r="U367" s="11">
        <f t="shared" si="45"/>
        <v>2.2365718032</v>
      </c>
    </row>
    <row r="368" ht="29.1" customHeight="1" spans="1:21">
      <c r="A368" s="40">
        <v>46114</v>
      </c>
      <c r="B368" s="41" t="s">
        <v>308</v>
      </c>
      <c r="C368" s="42" t="s">
        <v>483</v>
      </c>
      <c r="D368" s="43" t="s">
        <v>484</v>
      </c>
      <c r="E368" s="44" t="s">
        <v>485</v>
      </c>
      <c r="F368" s="44">
        <v>46132</v>
      </c>
      <c r="G368" s="44" t="s">
        <v>31</v>
      </c>
      <c r="H368" s="44"/>
      <c r="I368" s="45">
        <v>300</v>
      </c>
      <c r="J368" s="45" t="s">
        <v>32</v>
      </c>
      <c r="K368" s="45" t="s">
        <v>33</v>
      </c>
      <c r="L368" s="46">
        <f t="shared" si="46"/>
        <v>150</v>
      </c>
      <c r="M368" s="43">
        <f t="shared" si="44"/>
        <v>3.3548577048</v>
      </c>
      <c r="N368" s="46" t="s">
        <v>34</v>
      </c>
      <c r="O368" s="44"/>
      <c r="P368" s="48"/>
      <c r="Q368" s="8">
        <f>VLOOKUP($F368,[1]装箱单!$A:$E,5,0)</f>
        <v>40.01</v>
      </c>
      <c r="R368" s="8">
        <f>VLOOKUP($F368,[1]装箱单!$A:$F,6,0)</f>
        <v>26.67</v>
      </c>
      <c r="S368" s="8">
        <f>VLOOKUP($F368,[1]装箱单!$A:$G,7,0)</f>
        <v>20.96</v>
      </c>
      <c r="T368" s="10">
        <f>VLOOKUP($F368,[1]装箱单!$A:$J,10,0)</f>
        <v>0.022365718032</v>
      </c>
      <c r="U368" s="11">
        <f t="shared" si="45"/>
        <v>3.3548577048</v>
      </c>
    </row>
    <row r="369" ht="29.1" customHeight="1" spans="1:21">
      <c r="A369" s="40">
        <v>46114</v>
      </c>
      <c r="B369" s="41" t="s">
        <v>308</v>
      </c>
      <c r="C369" s="42" t="s">
        <v>486</v>
      </c>
      <c r="D369" s="43" t="s">
        <v>487</v>
      </c>
      <c r="E369" s="44" t="s">
        <v>488</v>
      </c>
      <c r="F369" s="44">
        <v>46132</v>
      </c>
      <c r="G369" s="44" t="s">
        <v>31</v>
      </c>
      <c r="H369" s="44"/>
      <c r="I369" s="45">
        <v>200</v>
      </c>
      <c r="J369" s="45" t="s">
        <v>32</v>
      </c>
      <c r="K369" s="45" t="s">
        <v>33</v>
      </c>
      <c r="L369" s="46">
        <f t="shared" si="46"/>
        <v>100</v>
      </c>
      <c r="M369" s="43">
        <f t="shared" si="44"/>
        <v>2.2365718032</v>
      </c>
      <c r="N369" s="46" t="s">
        <v>34</v>
      </c>
      <c r="O369" s="44"/>
      <c r="P369" s="48"/>
      <c r="Q369" s="8">
        <f>VLOOKUP($F369,[1]装箱单!$A:$E,5,0)</f>
        <v>40.01</v>
      </c>
      <c r="R369" s="8">
        <f>VLOOKUP($F369,[1]装箱单!$A:$F,6,0)</f>
        <v>26.67</v>
      </c>
      <c r="S369" s="8">
        <f>VLOOKUP($F369,[1]装箱单!$A:$G,7,0)</f>
        <v>20.96</v>
      </c>
      <c r="T369" s="10">
        <f>VLOOKUP($F369,[1]装箱单!$A:$J,10,0)</f>
        <v>0.022365718032</v>
      </c>
      <c r="U369" s="11">
        <f t="shared" si="45"/>
        <v>2.2365718032</v>
      </c>
    </row>
    <row r="370" ht="29.1" customHeight="1" spans="1:21">
      <c r="A370" s="40">
        <v>46114</v>
      </c>
      <c r="B370" s="41" t="s">
        <v>308</v>
      </c>
      <c r="C370" s="42" t="s">
        <v>483</v>
      </c>
      <c r="D370" s="43" t="s">
        <v>484</v>
      </c>
      <c r="E370" s="44" t="s">
        <v>485</v>
      </c>
      <c r="F370" s="44">
        <v>46099</v>
      </c>
      <c r="G370" s="44" t="s">
        <v>31</v>
      </c>
      <c r="H370" s="44"/>
      <c r="I370" s="45">
        <v>300</v>
      </c>
      <c r="J370" s="45" t="s">
        <v>32</v>
      </c>
      <c r="K370" s="45" t="s">
        <v>33</v>
      </c>
      <c r="L370" s="46">
        <f t="shared" si="46"/>
        <v>150</v>
      </c>
      <c r="M370" s="43">
        <f t="shared" si="44"/>
        <v>3.3548577048</v>
      </c>
      <c r="N370" s="46" t="s">
        <v>34</v>
      </c>
      <c r="O370" s="44"/>
      <c r="P370" s="48"/>
      <c r="Q370" s="8">
        <f>VLOOKUP($F370,[1]装箱单!$A:$E,5,0)</f>
        <v>40.01</v>
      </c>
      <c r="R370" s="8">
        <f>VLOOKUP($F370,[1]装箱单!$A:$F,6,0)</f>
        <v>26.67</v>
      </c>
      <c r="S370" s="8">
        <f>VLOOKUP($F370,[1]装箱单!$A:$G,7,0)</f>
        <v>20.96</v>
      </c>
      <c r="T370" s="10">
        <f>VLOOKUP($F370,[1]装箱单!$A:$J,10,0)</f>
        <v>0.022365718032</v>
      </c>
      <c r="U370" s="11">
        <f t="shared" si="45"/>
        <v>3.3548577048</v>
      </c>
    </row>
    <row r="371" ht="29.1" customHeight="1" spans="1:21">
      <c r="A371" s="40">
        <v>46114</v>
      </c>
      <c r="B371" s="41" t="s">
        <v>308</v>
      </c>
      <c r="C371" s="42" t="s">
        <v>489</v>
      </c>
      <c r="D371" s="43" t="s">
        <v>487</v>
      </c>
      <c r="E371" s="44" t="s">
        <v>488</v>
      </c>
      <c r="F371" s="44">
        <v>46099</v>
      </c>
      <c r="G371" s="44" t="s">
        <v>31</v>
      </c>
      <c r="H371" s="44"/>
      <c r="I371" s="45">
        <v>200</v>
      </c>
      <c r="J371" s="45" t="s">
        <v>32</v>
      </c>
      <c r="K371" s="45" t="s">
        <v>33</v>
      </c>
      <c r="L371" s="46">
        <f t="shared" si="46"/>
        <v>100</v>
      </c>
      <c r="M371" s="43">
        <f t="shared" si="44"/>
        <v>2.2365718032</v>
      </c>
      <c r="N371" s="46" t="s">
        <v>34</v>
      </c>
      <c r="O371" s="44"/>
      <c r="P371" s="48"/>
      <c r="Q371" s="8">
        <f>VLOOKUP($F371,[1]装箱单!$A:$E,5,0)</f>
        <v>40.01</v>
      </c>
      <c r="R371" s="8">
        <f>VLOOKUP($F371,[1]装箱单!$A:$F,6,0)</f>
        <v>26.67</v>
      </c>
      <c r="S371" s="8">
        <f>VLOOKUP($F371,[1]装箱单!$A:$G,7,0)</f>
        <v>20.96</v>
      </c>
      <c r="T371" s="10">
        <f>VLOOKUP($F371,[1]装箱单!$A:$J,10,0)</f>
        <v>0.022365718032</v>
      </c>
      <c r="U371" s="11">
        <f t="shared" si="45"/>
        <v>2.2365718032</v>
      </c>
    </row>
    <row r="372" ht="29.1" customHeight="1" spans="1:21">
      <c r="A372" s="40">
        <v>46114</v>
      </c>
      <c r="B372" s="42" t="s">
        <v>308</v>
      </c>
      <c r="C372" s="42" t="s">
        <v>483</v>
      </c>
      <c r="D372" s="43" t="s">
        <v>484</v>
      </c>
      <c r="E372" s="44" t="s">
        <v>485</v>
      </c>
      <c r="F372" s="44">
        <v>46097</v>
      </c>
      <c r="G372" s="44" t="s">
        <v>31</v>
      </c>
      <c r="H372" s="44"/>
      <c r="I372" s="45">
        <v>300</v>
      </c>
      <c r="J372" s="45" t="s">
        <v>32</v>
      </c>
      <c r="K372" s="45" t="s">
        <v>33</v>
      </c>
      <c r="L372" s="46">
        <f t="shared" si="46"/>
        <v>150</v>
      </c>
      <c r="M372" s="43">
        <f t="shared" si="44"/>
        <v>3.3548577048</v>
      </c>
      <c r="N372" s="46" t="s">
        <v>34</v>
      </c>
      <c r="O372" s="44"/>
      <c r="P372" s="48"/>
      <c r="Q372" s="8">
        <f>VLOOKUP($F372,[1]装箱单!$A:$E,5,0)</f>
        <v>40.01</v>
      </c>
      <c r="R372" s="8">
        <f>VLOOKUP($F372,[1]装箱单!$A:$F,6,0)</f>
        <v>26.67</v>
      </c>
      <c r="S372" s="8">
        <f>VLOOKUP($F372,[1]装箱单!$A:$G,7,0)</f>
        <v>20.96</v>
      </c>
      <c r="T372" s="10">
        <f>VLOOKUP($F372,[1]装箱单!$A:$J,10,0)</f>
        <v>0.022365718032</v>
      </c>
      <c r="U372" s="11">
        <f t="shared" si="45"/>
        <v>3.3548577048</v>
      </c>
    </row>
    <row r="373" ht="29.1" customHeight="1" spans="1:21">
      <c r="A373" s="40">
        <v>46114</v>
      </c>
      <c r="B373" s="42" t="s">
        <v>308</v>
      </c>
      <c r="C373" s="42" t="s">
        <v>486</v>
      </c>
      <c r="D373" s="43" t="s">
        <v>487</v>
      </c>
      <c r="E373" s="44" t="s">
        <v>488</v>
      </c>
      <c r="F373" s="44">
        <v>46097</v>
      </c>
      <c r="G373" s="44" t="s">
        <v>31</v>
      </c>
      <c r="H373" s="44"/>
      <c r="I373" s="45">
        <v>200</v>
      </c>
      <c r="J373" s="45" t="s">
        <v>32</v>
      </c>
      <c r="K373" s="45" t="s">
        <v>33</v>
      </c>
      <c r="L373" s="46">
        <f t="shared" si="46"/>
        <v>100</v>
      </c>
      <c r="M373" s="43">
        <f t="shared" si="44"/>
        <v>2.2365718032</v>
      </c>
      <c r="N373" s="46" t="s">
        <v>34</v>
      </c>
      <c r="O373" s="44"/>
      <c r="P373" s="48"/>
      <c r="Q373" s="8">
        <f>VLOOKUP($F373,[1]装箱单!$A:$E,5,0)</f>
        <v>40.01</v>
      </c>
      <c r="R373" s="8">
        <f>VLOOKUP($F373,[1]装箱单!$A:$F,6,0)</f>
        <v>26.67</v>
      </c>
      <c r="S373" s="8">
        <f>VLOOKUP($F373,[1]装箱单!$A:$G,7,0)</f>
        <v>20.96</v>
      </c>
      <c r="T373" s="10">
        <f>VLOOKUP($F373,[1]装箱单!$A:$J,10,0)</f>
        <v>0.022365718032</v>
      </c>
      <c r="U373" s="11">
        <f t="shared" si="45"/>
        <v>2.2365718032</v>
      </c>
    </row>
    <row r="374" ht="29.1" customHeight="1" spans="1:21">
      <c r="A374" s="40">
        <v>46114</v>
      </c>
      <c r="B374" s="41" t="s">
        <v>308</v>
      </c>
      <c r="C374" s="42" t="s">
        <v>483</v>
      </c>
      <c r="D374" s="43" t="s">
        <v>484</v>
      </c>
      <c r="E374" s="44" t="s">
        <v>485</v>
      </c>
      <c r="F374" s="44">
        <v>46092</v>
      </c>
      <c r="G374" s="44" t="s">
        <v>31</v>
      </c>
      <c r="H374" s="44"/>
      <c r="I374" s="45">
        <v>300</v>
      </c>
      <c r="J374" s="45" t="s">
        <v>32</v>
      </c>
      <c r="K374" s="45" t="s">
        <v>33</v>
      </c>
      <c r="L374" s="46">
        <f t="shared" si="46"/>
        <v>150</v>
      </c>
      <c r="M374" s="43">
        <f t="shared" si="44"/>
        <v>3.3548577048</v>
      </c>
      <c r="N374" s="46" t="s">
        <v>34</v>
      </c>
      <c r="O374" s="44"/>
      <c r="P374" s="48"/>
      <c r="Q374" s="8">
        <f>VLOOKUP($F374,[1]装箱单!$A:$E,5,0)</f>
        <v>40.01</v>
      </c>
      <c r="R374" s="8">
        <f>VLOOKUP($F374,[1]装箱单!$A:$F,6,0)</f>
        <v>26.67</v>
      </c>
      <c r="S374" s="8">
        <f>VLOOKUP($F374,[1]装箱单!$A:$G,7,0)</f>
        <v>20.96</v>
      </c>
      <c r="T374" s="10">
        <f>VLOOKUP($F374,[1]装箱单!$A:$J,10,0)</f>
        <v>0.022365718032</v>
      </c>
      <c r="U374" s="11">
        <f t="shared" si="45"/>
        <v>3.3548577048</v>
      </c>
    </row>
    <row r="375" ht="29.1" customHeight="1" spans="1:21">
      <c r="A375" s="40">
        <v>46114</v>
      </c>
      <c r="B375" s="41" t="s">
        <v>308</v>
      </c>
      <c r="C375" s="42" t="s">
        <v>486</v>
      </c>
      <c r="D375" s="43" t="s">
        <v>487</v>
      </c>
      <c r="E375" s="44" t="s">
        <v>488</v>
      </c>
      <c r="F375" s="44">
        <v>46092</v>
      </c>
      <c r="G375" s="44" t="s">
        <v>31</v>
      </c>
      <c r="H375" s="44"/>
      <c r="I375" s="45">
        <v>200</v>
      </c>
      <c r="J375" s="45" t="s">
        <v>32</v>
      </c>
      <c r="K375" s="45" t="s">
        <v>33</v>
      </c>
      <c r="L375" s="46">
        <f t="shared" si="46"/>
        <v>100</v>
      </c>
      <c r="M375" s="43">
        <f t="shared" si="44"/>
        <v>2.2365718032</v>
      </c>
      <c r="N375" s="46" t="s">
        <v>34</v>
      </c>
      <c r="O375" s="44"/>
      <c r="P375" s="48"/>
      <c r="Q375" s="8">
        <f>VLOOKUP($F375,[1]装箱单!$A:$E,5,0)</f>
        <v>40.01</v>
      </c>
      <c r="R375" s="8">
        <f>VLOOKUP($F375,[1]装箱单!$A:$F,6,0)</f>
        <v>26.67</v>
      </c>
      <c r="S375" s="8">
        <f>VLOOKUP($F375,[1]装箱单!$A:$G,7,0)</f>
        <v>20.96</v>
      </c>
      <c r="T375" s="10">
        <f>VLOOKUP($F375,[1]装箱单!$A:$J,10,0)</f>
        <v>0.022365718032</v>
      </c>
      <c r="U375" s="11">
        <f t="shared" si="45"/>
        <v>2.2365718032</v>
      </c>
    </row>
    <row r="376" ht="29.1" customHeight="1" spans="1:21">
      <c r="A376" s="40">
        <v>46114</v>
      </c>
      <c r="B376" s="41" t="s">
        <v>450</v>
      </c>
      <c r="C376" s="42" t="s">
        <v>464</v>
      </c>
      <c r="D376" s="43" t="s">
        <v>465</v>
      </c>
      <c r="E376" s="44">
        <v>980443903</v>
      </c>
      <c r="F376" s="44">
        <v>33477</v>
      </c>
      <c r="G376" s="44" t="s">
        <v>31</v>
      </c>
      <c r="H376" s="44"/>
      <c r="I376" s="45">
        <v>300</v>
      </c>
      <c r="J376" s="45" t="s">
        <v>32</v>
      </c>
      <c r="K376" s="45" t="s">
        <v>33</v>
      </c>
      <c r="L376" s="129" t="s">
        <v>490</v>
      </c>
      <c r="M376" s="119">
        <v>5</v>
      </c>
      <c r="N376" s="46" t="s">
        <v>34</v>
      </c>
      <c r="O376" s="44" t="s">
        <v>62</v>
      </c>
      <c r="P376" s="48"/>
    </row>
    <row r="377" ht="29.1" customHeight="1" spans="1:21">
      <c r="A377" s="40">
        <v>46114</v>
      </c>
      <c r="B377" s="41" t="s">
        <v>450</v>
      </c>
      <c r="C377" s="42" t="s">
        <v>491</v>
      </c>
      <c r="D377" s="43" t="s">
        <v>492</v>
      </c>
      <c r="E377" s="44">
        <v>980443897</v>
      </c>
      <c r="F377" s="44">
        <v>33477</v>
      </c>
      <c r="G377" s="44" t="s">
        <v>31</v>
      </c>
      <c r="H377" s="44"/>
      <c r="I377" s="45">
        <v>836</v>
      </c>
      <c r="J377" s="45" t="s">
        <v>32</v>
      </c>
      <c r="K377" s="45" t="s">
        <v>33</v>
      </c>
      <c r="L377" s="130"/>
      <c r="M377" s="124"/>
      <c r="N377" s="46" t="s">
        <v>34</v>
      </c>
      <c r="O377" s="44" t="s">
        <v>62</v>
      </c>
      <c r="P377" s="48"/>
    </row>
    <row r="378" ht="29.1" customHeight="1" spans="1:21">
      <c r="A378" s="40">
        <v>46114</v>
      </c>
      <c r="B378" s="41" t="s">
        <v>450</v>
      </c>
      <c r="C378" s="42" t="s">
        <v>493</v>
      </c>
      <c r="D378" s="43" t="s">
        <v>494</v>
      </c>
      <c r="E378" s="44">
        <v>980443952</v>
      </c>
      <c r="F378" s="44">
        <v>33477</v>
      </c>
      <c r="G378" s="44" t="s">
        <v>31</v>
      </c>
      <c r="H378" s="44"/>
      <c r="I378" s="45">
        <v>864</v>
      </c>
      <c r="J378" s="45" t="s">
        <v>32</v>
      </c>
      <c r="K378" s="45" t="s">
        <v>33</v>
      </c>
      <c r="L378" s="130"/>
      <c r="M378" s="124"/>
      <c r="N378" s="46" t="s">
        <v>34</v>
      </c>
      <c r="O378" s="44" t="s">
        <v>62</v>
      </c>
      <c r="P378" s="48"/>
    </row>
    <row r="379" ht="29.1" customHeight="1" spans="1:21">
      <c r="A379" s="40">
        <v>46114</v>
      </c>
      <c r="B379" s="41" t="s">
        <v>450</v>
      </c>
      <c r="C379" s="42" t="s">
        <v>495</v>
      </c>
      <c r="D379" s="43" t="s">
        <v>496</v>
      </c>
      <c r="E379" s="44">
        <v>980522994</v>
      </c>
      <c r="F379" s="44">
        <v>33477</v>
      </c>
      <c r="G379" s="44" t="s">
        <v>31</v>
      </c>
      <c r="H379" s="44"/>
      <c r="I379" s="45">
        <v>1100</v>
      </c>
      <c r="J379" s="45" t="s">
        <v>32</v>
      </c>
      <c r="K379" s="45" t="s">
        <v>33</v>
      </c>
      <c r="L379" s="130"/>
      <c r="M379" s="124"/>
      <c r="N379" s="46" t="s">
        <v>34</v>
      </c>
      <c r="O379" s="44" t="s">
        <v>62</v>
      </c>
      <c r="P379" s="48"/>
    </row>
    <row r="380" ht="29.1" customHeight="1" spans="1:21">
      <c r="A380" s="40">
        <v>46114</v>
      </c>
      <c r="B380" s="41" t="s">
        <v>450</v>
      </c>
      <c r="C380" s="42" t="s">
        <v>497</v>
      </c>
      <c r="D380" s="43" t="s">
        <v>498</v>
      </c>
      <c r="E380" s="44">
        <v>980523003</v>
      </c>
      <c r="F380" s="44">
        <v>33477</v>
      </c>
      <c r="G380" s="44" t="s">
        <v>31</v>
      </c>
      <c r="H380" s="44"/>
      <c r="I380" s="45">
        <v>550</v>
      </c>
      <c r="J380" s="45" t="s">
        <v>32</v>
      </c>
      <c r="K380" s="45" t="s">
        <v>33</v>
      </c>
      <c r="L380" s="130"/>
      <c r="M380" s="124"/>
      <c r="N380" s="46" t="s">
        <v>34</v>
      </c>
      <c r="O380" s="44" t="s">
        <v>62</v>
      </c>
      <c r="P380" s="48"/>
    </row>
    <row r="381" ht="29.1" customHeight="1" spans="1:21">
      <c r="A381" s="40">
        <v>46114</v>
      </c>
      <c r="B381" s="41" t="s">
        <v>450</v>
      </c>
      <c r="C381" s="42" t="s">
        <v>499</v>
      </c>
      <c r="D381" s="43" t="s">
        <v>500</v>
      </c>
      <c r="E381" s="44">
        <v>980522957</v>
      </c>
      <c r="F381" s="44">
        <v>33477</v>
      </c>
      <c r="G381" s="44" t="s">
        <v>31</v>
      </c>
      <c r="H381" s="44"/>
      <c r="I381" s="45">
        <v>880</v>
      </c>
      <c r="J381" s="45" t="s">
        <v>32</v>
      </c>
      <c r="K381" s="45" t="s">
        <v>33</v>
      </c>
      <c r="L381" s="130"/>
      <c r="M381" s="124"/>
      <c r="N381" s="46" t="s">
        <v>34</v>
      </c>
      <c r="O381" s="44" t="s">
        <v>62</v>
      </c>
      <c r="P381" s="48"/>
    </row>
    <row r="382" ht="29.1" customHeight="1" spans="1:21">
      <c r="A382" s="40">
        <v>46114</v>
      </c>
      <c r="B382" s="41" t="s">
        <v>450</v>
      </c>
      <c r="C382" s="42" t="s">
        <v>501</v>
      </c>
      <c r="D382" s="43" t="s">
        <v>502</v>
      </c>
      <c r="E382" s="44">
        <v>980522968</v>
      </c>
      <c r="F382" s="44">
        <v>33477</v>
      </c>
      <c r="G382" s="44" t="s">
        <v>31</v>
      </c>
      <c r="H382" s="44"/>
      <c r="I382" s="45">
        <v>1210</v>
      </c>
      <c r="J382" s="45" t="s">
        <v>32</v>
      </c>
      <c r="K382" s="45" t="s">
        <v>33</v>
      </c>
      <c r="L382" s="130"/>
      <c r="M382" s="124"/>
      <c r="N382" s="46" t="s">
        <v>34</v>
      </c>
      <c r="O382" s="44" t="s">
        <v>62</v>
      </c>
      <c r="P382" s="48"/>
    </row>
    <row r="383" ht="29.1" customHeight="1" spans="1:21">
      <c r="A383" s="40">
        <v>46114</v>
      </c>
      <c r="B383" s="41" t="s">
        <v>450</v>
      </c>
      <c r="C383" s="42" t="s">
        <v>503</v>
      </c>
      <c r="D383" s="43" t="s">
        <v>504</v>
      </c>
      <c r="E383" s="44">
        <v>980522961</v>
      </c>
      <c r="F383" s="44">
        <v>33477</v>
      </c>
      <c r="G383" s="44" t="s">
        <v>31</v>
      </c>
      <c r="H383" s="44"/>
      <c r="I383" s="45">
        <v>770</v>
      </c>
      <c r="J383" s="45" t="s">
        <v>32</v>
      </c>
      <c r="K383" s="45" t="s">
        <v>33</v>
      </c>
      <c r="L383" s="130"/>
      <c r="M383" s="124"/>
      <c r="N383" s="46" t="s">
        <v>34</v>
      </c>
      <c r="O383" s="44" t="s">
        <v>62</v>
      </c>
      <c r="P383" s="48"/>
    </row>
    <row r="384" ht="29.1" customHeight="1" spans="1:21">
      <c r="A384" s="40">
        <v>46114</v>
      </c>
      <c r="B384" s="41" t="s">
        <v>450</v>
      </c>
      <c r="C384" s="42" t="s">
        <v>505</v>
      </c>
      <c r="D384" s="43" t="s">
        <v>506</v>
      </c>
      <c r="E384" s="44">
        <v>980522966</v>
      </c>
      <c r="F384" s="44">
        <v>33477</v>
      </c>
      <c r="G384" s="44" t="s">
        <v>31</v>
      </c>
      <c r="H384" s="44"/>
      <c r="I384" s="45">
        <v>770</v>
      </c>
      <c r="J384" s="45" t="s">
        <v>32</v>
      </c>
      <c r="K384" s="45" t="s">
        <v>33</v>
      </c>
      <c r="L384" s="131"/>
      <c r="M384" s="124"/>
      <c r="N384" s="46" t="s">
        <v>34</v>
      </c>
      <c r="O384" s="44" t="s">
        <v>62</v>
      </c>
      <c r="P384" s="48"/>
    </row>
    <row r="385" ht="29.1" customHeight="1" spans="1:21">
      <c r="A385" s="40">
        <v>46114</v>
      </c>
      <c r="B385" s="41" t="s">
        <v>450</v>
      </c>
      <c r="C385" s="42" t="s">
        <v>495</v>
      </c>
      <c r="D385" s="43" t="s">
        <v>496</v>
      </c>
      <c r="E385" s="44">
        <v>980522994</v>
      </c>
      <c r="F385" s="44">
        <v>33476</v>
      </c>
      <c r="G385" s="44" t="s">
        <v>31</v>
      </c>
      <c r="H385" s="44"/>
      <c r="I385" s="45">
        <v>700</v>
      </c>
      <c r="J385" s="45" t="s">
        <v>32</v>
      </c>
      <c r="K385" s="45" t="s">
        <v>33</v>
      </c>
      <c r="L385" s="129" t="s">
        <v>507</v>
      </c>
      <c r="M385" s="124"/>
      <c r="N385" s="46" t="s">
        <v>34</v>
      </c>
      <c r="O385" s="44" t="s">
        <v>62</v>
      </c>
      <c r="P385" s="48"/>
    </row>
    <row r="386" ht="29.1" customHeight="1" spans="1:21">
      <c r="A386" s="40">
        <v>46114</v>
      </c>
      <c r="B386" s="41" t="s">
        <v>450</v>
      </c>
      <c r="C386" s="42" t="s">
        <v>497</v>
      </c>
      <c r="D386" s="43" t="s">
        <v>498</v>
      </c>
      <c r="E386" s="44">
        <v>980523003</v>
      </c>
      <c r="F386" s="44">
        <v>33476</v>
      </c>
      <c r="G386" s="44" t="s">
        <v>31</v>
      </c>
      <c r="H386" s="44"/>
      <c r="I386" s="45">
        <v>300</v>
      </c>
      <c r="J386" s="45" t="s">
        <v>32</v>
      </c>
      <c r="K386" s="45" t="s">
        <v>33</v>
      </c>
      <c r="L386" s="130"/>
      <c r="M386" s="124"/>
      <c r="N386" s="46" t="s">
        <v>34</v>
      </c>
      <c r="O386" s="44" t="s">
        <v>62</v>
      </c>
      <c r="P386" s="48"/>
    </row>
    <row r="387" ht="29.1" customHeight="1" spans="1:21">
      <c r="A387" s="40">
        <v>46114</v>
      </c>
      <c r="B387" s="41" t="s">
        <v>450</v>
      </c>
      <c r="C387" s="42" t="s">
        <v>499</v>
      </c>
      <c r="D387" s="43" t="s">
        <v>500</v>
      </c>
      <c r="E387" s="44">
        <v>980522957</v>
      </c>
      <c r="F387" s="44">
        <v>33476</v>
      </c>
      <c r="G387" s="44" t="s">
        <v>31</v>
      </c>
      <c r="H387" s="44"/>
      <c r="I387" s="45">
        <v>500</v>
      </c>
      <c r="J387" s="45" t="s">
        <v>32</v>
      </c>
      <c r="K387" s="45" t="s">
        <v>33</v>
      </c>
      <c r="L387" s="130"/>
      <c r="M387" s="124"/>
      <c r="N387" s="46" t="s">
        <v>34</v>
      </c>
      <c r="O387" s="44" t="s">
        <v>62</v>
      </c>
      <c r="P387" s="48"/>
    </row>
    <row r="388" ht="29.1" customHeight="1" spans="1:21">
      <c r="A388" s="40">
        <v>46114</v>
      </c>
      <c r="B388" s="41" t="s">
        <v>450</v>
      </c>
      <c r="C388" s="42" t="s">
        <v>501</v>
      </c>
      <c r="D388" s="43" t="s">
        <v>502</v>
      </c>
      <c r="E388" s="44">
        <v>980522968</v>
      </c>
      <c r="F388" s="44">
        <v>33476</v>
      </c>
      <c r="G388" s="44" t="s">
        <v>31</v>
      </c>
      <c r="H388" s="44"/>
      <c r="I388" s="45">
        <v>700</v>
      </c>
      <c r="J388" s="45" t="s">
        <v>32</v>
      </c>
      <c r="K388" s="45" t="s">
        <v>33</v>
      </c>
      <c r="L388" s="130"/>
      <c r="M388" s="124"/>
      <c r="N388" s="46" t="s">
        <v>34</v>
      </c>
      <c r="O388" s="44" t="s">
        <v>62</v>
      </c>
      <c r="P388" s="48"/>
    </row>
    <row r="389" ht="29.1" customHeight="1" spans="1:21">
      <c r="A389" s="40">
        <v>46114</v>
      </c>
      <c r="B389" s="41" t="s">
        <v>450</v>
      </c>
      <c r="C389" s="42" t="s">
        <v>503</v>
      </c>
      <c r="D389" s="43" t="s">
        <v>504</v>
      </c>
      <c r="E389" s="44">
        <v>980522961</v>
      </c>
      <c r="F389" s="44">
        <v>33476</v>
      </c>
      <c r="G389" s="44" t="s">
        <v>31</v>
      </c>
      <c r="H389" s="44"/>
      <c r="I389" s="45">
        <v>500</v>
      </c>
      <c r="J389" s="45" t="s">
        <v>32</v>
      </c>
      <c r="K389" s="45" t="s">
        <v>33</v>
      </c>
      <c r="L389" s="130"/>
      <c r="M389" s="124"/>
      <c r="N389" s="46" t="s">
        <v>34</v>
      </c>
      <c r="O389" s="44" t="s">
        <v>62</v>
      </c>
      <c r="P389" s="48"/>
    </row>
    <row r="390" ht="29.1" customHeight="1" spans="1:21">
      <c r="A390" s="40">
        <v>46114</v>
      </c>
      <c r="B390" s="41" t="s">
        <v>450</v>
      </c>
      <c r="C390" s="42" t="s">
        <v>505</v>
      </c>
      <c r="D390" s="43" t="s">
        <v>506</v>
      </c>
      <c r="E390" s="44">
        <v>980522966</v>
      </c>
      <c r="F390" s="44">
        <v>33476</v>
      </c>
      <c r="G390" s="44" t="s">
        <v>31</v>
      </c>
      <c r="H390" s="44"/>
      <c r="I390" s="45">
        <v>400</v>
      </c>
      <c r="J390" s="45" t="s">
        <v>32</v>
      </c>
      <c r="K390" s="45" t="s">
        <v>33</v>
      </c>
      <c r="L390" s="131"/>
      <c r="M390" s="121"/>
      <c r="N390" s="46" t="s">
        <v>34</v>
      </c>
      <c r="O390" s="44" t="s">
        <v>62</v>
      </c>
      <c r="P390" s="48"/>
    </row>
    <row r="391" ht="29.1" customHeight="1" spans="1:21">
      <c r="A391" s="40">
        <v>46114</v>
      </c>
      <c r="B391" s="41" t="s">
        <v>508</v>
      </c>
      <c r="C391" s="42" t="s">
        <v>509</v>
      </c>
      <c r="D391" s="43" t="s">
        <v>510</v>
      </c>
      <c r="E391" s="44">
        <v>225211</v>
      </c>
      <c r="F391" s="44" t="s">
        <v>51</v>
      </c>
      <c r="G391" s="44" t="s">
        <v>31</v>
      </c>
      <c r="H391" s="44"/>
      <c r="I391" s="45">
        <v>28800</v>
      </c>
      <c r="J391" s="45" t="s">
        <v>32</v>
      </c>
      <c r="K391" s="45" t="s">
        <v>33</v>
      </c>
      <c r="L391" s="46">
        <f>+I391/48</f>
        <v>600</v>
      </c>
      <c r="M391" s="43">
        <f>+U391</f>
        <v>24.5239038</v>
      </c>
      <c r="N391" s="46" t="s">
        <v>34</v>
      </c>
      <c r="O391" s="44"/>
      <c r="P391" s="48"/>
      <c r="Q391" s="8">
        <f>VLOOKUP($F391,[1]装箱单!$A:$E,5,0)</f>
        <v>37.15</v>
      </c>
      <c r="R391" s="8">
        <f>VLOOKUP($F391,[1]装箱单!$A:$F,6,0)</f>
        <v>33</v>
      </c>
      <c r="S391" s="8">
        <f>VLOOKUP($F391,[1]装箱单!$A:$G,7,0)</f>
        <v>33.34</v>
      </c>
      <c r="T391" s="10">
        <f>VLOOKUP($F391,[1]装箱单!$A:$J,10,0)</f>
        <v>0.040873173</v>
      </c>
      <c r="U391" s="11">
        <f>+T391*L391</f>
        <v>24.5239038</v>
      </c>
    </row>
    <row r="392" ht="29.1" customHeight="1" spans="1:21">
      <c r="A392" s="40"/>
      <c r="B392" s="41"/>
      <c r="C392" s="42"/>
      <c r="D392" s="43"/>
      <c r="E392" s="44"/>
      <c r="F392" s="44"/>
      <c r="G392" s="44"/>
      <c r="H392" s="44"/>
      <c r="I392" s="45"/>
      <c r="J392" s="45"/>
      <c r="K392" s="45"/>
      <c r="L392" s="128"/>
      <c r="M392" s="43">
        <f>SUM(M361:M391)</f>
        <v>139.977313443104</v>
      </c>
      <c r="N392" s="46"/>
      <c r="O392" s="44"/>
      <c r="P392" s="51"/>
    </row>
    <row r="393" ht="29.1" customHeight="1" spans="1:21">
      <c r="A393" s="40">
        <v>46122</v>
      </c>
      <c r="B393" s="41" t="s">
        <v>40</v>
      </c>
      <c r="C393" s="42" t="s">
        <v>401</v>
      </c>
      <c r="D393" s="43" t="s">
        <v>379</v>
      </c>
      <c r="E393" s="44">
        <v>954188461</v>
      </c>
      <c r="F393" s="44">
        <v>28483</v>
      </c>
      <c r="G393" s="44" t="s">
        <v>31</v>
      </c>
      <c r="H393" s="44"/>
      <c r="I393" s="45">
        <f>+L393</f>
        <v>360</v>
      </c>
      <c r="J393" s="45" t="s">
        <v>32</v>
      </c>
      <c r="K393" s="45" t="s">
        <v>33</v>
      </c>
      <c r="L393" s="46">
        <f>1080-720</f>
        <v>360</v>
      </c>
      <c r="M393" s="43">
        <f t="shared" ref="M393:M404" si="47">+U393</f>
        <v>2.0781684</v>
      </c>
      <c r="N393" s="46" t="s">
        <v>34</v>
      </c>
      <c r="O393" s="44" t="s">
        <v>511</v>
      </c>
      <c r="P393" s="48" t="s">
        <v>137</v>
      </c>
      <c r="Q393" s="8">
        <f>VLOOKUP($F393,[1]装箱单!$A:$E,5,0)</f>
        <v>16.83</v>
      </c>
      <c r="R393" s="8">
        <f>VLOOKUP($F393,[1]装箱单!$A:$F,6,0)</f>
        <v>17.15</v>
      </c>
      <c r="S393" s="8">
        <f>VLOOKUP($F393,[1]装箱单!$A:$G,7,0)</f>
        <v>20</v>
      </c>
      <c r="T393" s="10">
        <f>VLOOKUP($F393,[1]装箱单!$A:$J,10,0)</f>
        <v>0.00577269</v>
      </c>
      <c r="U393" s="11">
        <f t="shared" ref="U393:U404" si="48">+T393*L393</f>
        <v>2.0781684</v>
      </c>
    </row>
    <row r="394" ht="29.1" customHeight="1" spans="1:21">
      <c r="A394" s="40">
        <v>46122</v>
      </c>
      <c r="B394" s="41" t="s">
        <v>40</v>
      </c>
      <c r="C394" s="42" t="s">
        <v>480</v>
      </c>
      <c r="D394" s="43" t="s">
        <v>481</v>
      </c>
      <c r="E394" s="44">
        <v>969848633</v>
      </c>
      <c r="F394" s="44">
        <v>28458</v>
      </c>
      <c r="G394" s="44" t="s">
        <v>31</v>
      </c>
      <c r="H394" s="44"/>
      <c r="I394" s="45">
        <f>+L394*3</f>
        <v>1584</v>
      </c>
      <c r="J394" s="45" t="s">
        <v>47</v>
      </c>
      <c r="K394" s="45" t="s">
        <v>33</v>
      </c>
      <c r="L394" s="46">
        <v>528</v>
      </c>
      <c r="M394" s="43">
        <f t="shared" si="47"/>
        <v>10.998429232032</v>
      </c>
      <c r="N394" s="46" t="s">
        <v>34</v>
      </c>
      <c r="O394" s="44"/>
      <c r="P394" s="48"/>
      <c r="Q394" s="8">
        <f>VLOOKUP($F394,[1]装箱单!$A:$E,5,0)</f>
        <v>26.99</v>
      </c>
      <c r="R394" s="8">
        <f>VLOOKUP($F394,[1]装箱单!$A:$F,6,0)</f>
        <v>27.31</v>
      </c>
      <c r="S394" s="8">
        <f>VLOOKUP($F394,[1]装箱单!$A:$G,7,0)</f>
        <v>28.26</v>
      </c>
      <c r="T394" s="10">
        <f>VLOOKUP($F394,[1]装箱单!$A:$J,10,0)</f>
        <v>0.020830358394</v>
      </c>
      <c r="U394" s="11">
        <f t="shared" si="48"/>
        <v>10.998429232032</v>
      </c>
    </row>
    <row r="395" ht="29.1" customHeight="1" spans="1:21">
      <c r="A395" s="40">
        <v>46122</v>
      </c>
      <c r="B395" s="41" t="s">
        <v>40</v>
      </c>
      <c r="C395" s="42" t="s">
        <v>512</v>
      </c>
      <c r="D395" s="43" t="s">
        <v>513</v>
      </c>
      <c r="E395" s="139" t="s">
        <v>514</v>
      </c>
      <c r="F395" s="44" t="s">
        <v>306</v>
      </c>
      <c r="G395" s="44" t="s">
        <v>31</v>
      </c>
      <c r="H395" s="44"/>
      <c r="I395" s="45">
        <v>573</v>
      </c>
      <c r="J395" s="45" t="s">
        <v>32</v>
      </c>
      <c r="K395" s="45" t="s">
        <v>33</v>
      </c>
      <c r="L395" s="46">
        <f>+I395</f>
        <v>573</v>
      </c>
      <c r="M395" s="43">
        <f t="shared" si="47"/>
        <v>9.031802017005</v>
      </c>
      <c r="N395" s="46" t="s">
        <v>34</v>
      </c>
      <c r="O395" s="44"/>
      <c r="P395" s="48"/>
      <c r="Q395" s="8">
        <f>VLOOKUP($F395,[1]装箱单!$A:$E,5,0)</f>
        <v>24.13</v>
      </c>
      <c r="R395" s="8">
        <f>VLOOKUP($F395,[1]装箱单!$A:$F,6,0)</f>
        <v>19.05</v>
      </c>
      <c r="S395" s="8">
        <f>VLOOKUP($F395,[1]装箱单!$A:$G,7,0)</f>
        <v>34.29</v>
      </c>
      <c r="T395" s="10">
        <f>VLOOKUP($F395,[1]装箱单!$A:$J,10,0)</f>
        <v>0.015762307185</v>
      </c>
      <c r="U395" s="11">
        <f t="shared" si="48"/>
        <v>9.031802017005</v>
      </c>
    </row>
    <row r="396" ht="29.1" customHeight="1" spans="1:21">
      <c r="A396" s="40">
        <v>46122</v>
      </c>
      <c r="B396" s="40" t="s">
        <v>104</v>
      </c>
      <c r="C396" s="41" t="s">
        <v>515</v>
      </c>
      <c r="D396" s="43" t="s">
        <v>516</v>
      </c>
      <c r="E396" s="42">
        <v>40559085</v>
      </c>
      <c r="F396" s="44" t="s">
        <v>517</v>
      </c>
      <c r="G396" s="44" t="s">
        <v>31</v>
      </c>
      <c r="H396" s="44"/>
      <c r="I396" s="45">
        <v>320</v>
      </c>
      <c r="J396" s="45" t="s">
        <v>32</v>
      </c>
      <c r="K396" s="45" t="s">
        <v>33</v>
      </c>
      <c r="L396" s="46">
        <f>+I396/8</f>
        <v>40</v>
      </c>
      <c r="M396" s="43">
        <f t="shared" si="47"/>
        <v>0.51412542336</v>
      </c>
      <c r="N396" s="46" t="s">
        <v>34</v>
      </c>
      <c r="O396" s="44"/>
      <c r="P396" s="48"/>
      <c r="Q396" s="8">
        <f>VLOOKUP($F396,[1]装箱单!$A:$E,5,0)</f>
        <v>30.48</v>
      </c>
      <c r="R396" s="8">
        <f>VLOOKUP($F396,[1]装箱单!$A:$F,6,0)</f>
        <v>27.67</v>
      </c>
      <c r="S396" s="8">
        <f>VLOOKUP($F396,[1]装箱单!$A:$G,7,0)</f>
        <v>15.24</v>
      </c>
      <c r="T396" s="10">
        <f>VLOOKUP($F396,[1]装箱单!$A:$J,10,0)</f>
        <v>0.012853135584</v>
      </c>
      <c r="U396" s="11">
        <f t="shared" si="48"/>
        <v>0.51412542336</v>
      </c>
    </row>
    <row r="397" ht="29.1" customHeight="1" spans="1:21">
      <c r="A397" s="40">
        <v>46122</v>
      </c>
      <c r="B397" s="40" t="s">
        <v>104</v>
      </c>
      <c r="C397" s="41" t="s">
        <v>518</v>
      </c>
      <c r="D397" s="43" t="s">
        <v>519</v>
      </c>
      <c r="E397" s="42">
        <v>40559159</v>
      </c>
      <c r="F397" s="44" t="s">
        <v>517</v>
      </c>
      <c r="G397" s="44" t="s">
        <v>31</v>
      </c>
      <c r="H397" s="44"/>
      <c r="I397" s="45">
        <v>80</v>
      </c>
      <c r="J397" s="45" t="s">
        <v>32</v>
      </c>
      <c r="K397" s="45" t="s">
        <v>33</v>
      </c>
      <c r="L397" s="46">
        <f>+I397/8</f>
        <v>10</v>
      </c>
      <c r="M397" s="43">
        <f t="shared" si="47"/>
        <v>0.12853135584</v>
      </c>
      <c r="N397" s="46" t="s">
        <v>34</v>
      </c>
      <c r="O397" s="44"/>
      <c r="P397" s="48"/>
      <c r="Q397" s="8">
        <f>VLOOKUP($F397,[1]装箱单!$A:$E,5,0)</f>
        <v>30.48</v>
      </c>
      <c r="R397" s="8">
        <f>VLOOKUP($F397,[1]装箱单!$A:$F,6,0)</f>
        <v>27.67</v>
      </c>
      <c r="S397" s="8">
        <f>VLOOKUP($F397,[1]装箱单!$A:$G,7,0)</f>
        <v>15.24</v>
      </c>
      <c r="T397" s="10">
        <f>VLOOKUP($F397,[1]装箱单!$A:$J,10,0)</f>
        <v>0.012853135584</v>
      </c>
      <c r="U397" s="11">
        <f t="shared" si="48"/>
        <v>0.12853135584</v>
      </c>
    </row>
    <row r="398" ht="29.1" customHeight="1" spans="1:21">
      <c r="A398" s="40">
        <v>46122</v>
      </c>
      <c r="B398" s="41" t="s">
        <v>54</v>
      </c>
      <c r="C398" s="42" t="s">
        <v>512</v>
      </c>
      <c r="D398" s="43" t="s">
        <v>513</v>
      </c>
      <c r="E398" s="139" t="s">
        <v>514</v>
      </c>
      <c r="F398" s="44">
        <v>28472</v>
      </c>
      <c r="G398" s="44" t="s">
        <v>31</v>
      </c>
      <c r="H398" s="44"/>
      <c r="I398" s="45">
        <f>+L398</f>
        <v>960</v>
      </c>
      <c r="J398" s="45" t="s">
        <v>32</v>
      </c>
      <c r="K398" s="45" t="s">
        <v>33</v>
      </c>
      <c r="L398" s="46">
        <v>960</v>
      </c>
      <c r="M398" s="43">
        <f t="shared" si="47"/>
        <v>17.6256</v>
      </c>
      <c r="N398" s="46" t="s">
        <v>34</v>
      </c>
      <c r="O398" s="44"/>
      <c r="P398" s="48"/>
      <c r="Q398" s="8">
        <f>VLOOKUP($F398,[1]装箱单!$A:$E,5,0)</f>
        <v>30</v>
      </c>
      <c r="R398" s="8">
        <f>VLOOKUP($F398,[1]装箱单!$A:$F,6,0)</f>
        <v>17</v>
      </c>
      <c r="S398" s="8">
        <f>VLOOKUP($F398,[1]装箱单!$A:$G,7,0)</f>
        <v>36</v>
      </c>
      <c r="T398" s="10">
        <f>VLOOKUP($F398,[1]装箱单!$A:$J,10,0)</f>
        <v>0.01836</v>
      </c>
      <c r="U398" s="11">
        <f t="shared" si="48"/>
        <v>17.6256</v>
      </c>
    </row>
    <row r="399" ht="29.1" customHeight="1" spans="1:21">
      <c r="A399" s="40">
        <v>46122</v>
      </c>
      <c r="B399" s="41" t="s">
        <v>54</v>
      </c>
      <c r="C399" s="42" t="s">
        <v>520</v>
      </c>
      <c r="D399" s="43" t="s">
        <v>521</v>
      </c>
      <c r="E399" s="139" t="s">
        <v>522</v>
      </c>
      <c r="F399" s="44">
        <v>28472</v>
      </c>
      <c r="G399" s="44" t="s">
        <v>31</v>
      </c>
      <c r="H399" s="44"/>
      <c r="I399" s="45">
        <v>1020</v>
      </c>
      <c r="J399" s="45" t="s">
        <v>32</v>
      </c>
      <c r="K399" s="45" t="s">
        <v>33</v>
      </c>
      <c r="L399" s="46">
        <f>+I399</f>
        <v>1020</v>
      </c>
      <c r="M399" s="43">
        <f t="shared" si="47"/>
        <v>18.7272</v>
      </c>
      <c r="N399" s="46" t="s">
        <v>34</v>
      </c>
      <c r="O399" s="44"/>
      <c r="P399" s="48"/>
      <c r="Q399" s="8">
        <f>VLOOKUP($F399,[1]装箱单!$A:$E,5,0)</f>
        <v>30</v>
      </c>
      <c r="R399" s="8">
        <f>VLOOKUP($F399,[1]装箱单!$A:$F,6,0)</f>
        <v>17</v>
      </c>
      <c r="S399" s="8">
        <f>VLOOKUP($F399,[1]装箱单!$A:$G,7,0)</f>
        <v>36</v>
      </c>
      <c r="T399" s="10">
        <f>VLOOKUP($F399,[1]装箱单!$A:$J,10,0)</f>
        <v>0.01836</v>
      </c>
      <c r="U399" s="11">
        <f t="shared" si="48"/>
        <v>18.7272</v>
      </c>
    </row>
    <row r="400" ht="29.1" customHeight="1" spans="1:21">
      <c r="A400" s="40">
        <v>46122</v>
      </c>
      <c r="B400" s="41" t="s">
        <v>54</v>
      </c>
      <c r="C400" s="42" t="s">
        <v>523</v>
      </c>
      <c r="D400" s="43" t="s">
        <v>524</v>
      </c>
      <c r="E400" s="139" t="s">
        <v>525</v>
      </c>
      <c r="F400" s="44">
        <v>28472</v>
      </c>
      <c r="G400" s="44" t="s">
        <v>31</v>
      </c>
      <c r="H400" s="44"/>
      <c r="I400" s="45">
        <v>600</v>
      </c>
      <c r="J400" s="45" t="s">
        <v>32</v>
      </c>
      <c r="K400" s="45" t="s">
        <v>33</v>
      </c>
      <c r="L400" s="46">
        <f>+I400</f>
        <v>600</v>
      </c>
      <c r="M400" s="43">
        <f t="shared" si="47"/>
        <v>11.016</v>
      </c>
      <c r="N400" s="46" t="s">
        <v>34</v>
      </c>
      <c r="O400" s="44"/>
      <c r="P400" s="48"/>
      <c r="Q400" s="8">
        <f>VLOOKUP($F400,[1]装箱单!$A:$E,5,0)</f>
        <v>30</v>
      </c>
      <c r="R400" s="8">
        <f>VLOOKUP($F400,[1]装箱单!$A:$F,6,0)</f>
        <v>17</v>
      </c>
      <c r="S400" s="8">
        <f>VLOOKUP($F400,[1]装箱单!$A:$G,7,0)</f>
        <v>36</v>
      </c>
      <c r="T400" s="10">
        <f>VLOOKUP($F400,[1]装箱单!$A:$J,10,0)</f>
        <v>0.01836</v>
      </c>
      <c r="U400" s="11">
        <f t="shared" si="48"/>
        <v>11.016</v>
      </c>
    </row>
    <row r="401" ht="29.1" customHeight="1" spans="1:21">
      <c r="A401" s="40">
        <v>46122</v>
      </c>
      <c r="B401" s="41" t="s">
        <v>54</v>
      </c>
      <c r="C401" s="42" t="s">
        <v>526</v>
      </c>
      <c r="D401" s="43" t="s">
        <v>527</v>
      </c>
      <c r="E401" s="139" t="s">
        <v>528</v>
      </c>
      <c r="F401" s="44">
        <v>28472</v>
      </c>
      <c r="G401" s="44" t="s">
        <v>31</v>
      </c>
      <c r="H401" s="44"/>
      <c r="I401" s="45">
        <v>1500</v>
      </c>
      <c r="J401" s="45" t="s">
        <v>32</v>
      </c>
      <c r="K401" s="45" t="s">
        <v>33</v>
      </c>
      <c r="L401" s="46">
        <f>+I401</f>
        <v>1500</v>
      </c>
      <c r="M401" s="43">
        <f t="shared" si="47"/>
        <v>27.54</v>
      </c>
      <c r="N401" s="46" t="s">
        <v>34</v>
      </c>
      <c r="O401" s="44"/>
      <c r="P401" s="48"/>
      <c r="Q401" s="8">
        <f>VLOOKUP($F401,[1]装箱单!$A:$E,5,0)</f>
        <v>30</v>
      </c>
      <c r="R401" s="8">
        <f>VLOOKUP($F401,[1]装箱单!$A:$F,6,0)</f>
        <v>17</v>
      </c>
      <c r="S401" s="8">
        <f>VLOOKUP($F401,[1]装箱单!$A:$G,7,0)</f>
        <v>36</v>
      </c>
      <c r="T401" s="10">
        <f>VLOOKUP($F401,[1]装箱单!$A:$J,10,0)</f>
        <v>0.01836</v>
      </c>
      <c r="U401" s="11">
        <f t="shared" si="48"/>
        <v>27.54</v>
      </c>
    </row>
    <row r="402" ht="29.1" customHeight="1" spans="1:21">
      <c r="A402" s="40">
        <v>46122</v>
      </c>
      <c r="B402" s="41" t="s">
        <v>529</v>
      </c>
      <c r="C402" s="42" t="s">
        <v>530</v>
      </c>
      <c r="D402" s="43" t="s">
        <v>531</v>
      </c>
      <c r="E402" s="44">
        <v>225202</v>
      </c>
      <c r="F402" s="44" t="s">
        <v>51</v>
      </c>
      <c r="G402" s="44" t="s">
        <v>31</v>
      </c>
      <c r="H402" s="44"/>
      <c r="I402" s="45">
        <v>21600</v>
      </c>
      <c r="J402" s="45" t="s">
        <v>32</v>
      </c>
      <c r="K402" s="45" t="s">
        <v>33</v>
      </c>
      <c r="L402" s="46">
        <f>+I402/48</f>
        <v>450</v>
      </c>
      <c r="M402" s="43">
        <f t="shared" si="47"/>
        <v>18.39292785</v>
      </c>
      <c r="N402" s="46" t="s">
        <v>34</v>
      </c>
      <c r="O402" s="44"/>
      <c r="P402" s="48"/>
      <c r="Q402" s="8">
        <f>VLOOKUP($F402,[1]装箱单!$A:$E,5,0)</f>
        <v>37.15</v>
      </c>
      <c r="R402" s="8">
        <f>VLOOKUP($F402,[1]装箱单!$A:$F,6,0)</f>
        <v>33</v>
      </c>
      <c r="S402" s="8">
        <f>VLOOKUP($F402,[1]装箱单!$A:$G,7,0)</f>
        <v>33.34</v>
      </c>
      <c r="T402" s="10">
        <f>VLOOKUP($F402,[1]装箱单!$A:$J,10,0)</f>
        <v>0.040873173</v>
      </c>
      <c r="U402" s="11">
        <f t="shared" si="48"/>
        <v>18.39292785</v>
      </c>
    </row>
    <row r="403" ht="29.1" customHeight="1" spans="1:21">
      <c r="A403" s="40">
        <v>46122</v>
      </c>
      <c r="B403" s="41" t="s">
        <v>223</v>
      </c>
      <c r="C403" s="42" t="s">
        <v>532</v>
      </c>
      <c r="D403" s="43" t="s">
        <v>533</v>
      </c>
      <c r="E403" s="44" t="s">
        <v>534</v>
      </c>
      <c r="F403" s="44" t="s">
        <v>45</v>
      </c>
      <c r="G403" s="44" t="s">
        <v>31</v>
      </c>
      <c r="H403" s="44"/>
      <c r="I403" s="45">
        <v>15012</v>
      </c>
      <c r="J403" s="45" t="s">
        <v>32</v>
      </c>
      <c r="K403" s="45" t="s">
        <v>33</v>
      </c>
      <c r="L403" s="46">
        <f>+I403/18</f>
        <v>834</v>
      </c>
      <c r="M403" s="43">
        <f t="shared" si="47"/>
        <v>4.831372514655</v>
      </c>
      <c r="N403" s="46" t="s">
        <v>34</v>
      </c>
      <c r="O403" s="44"/>
      <c r="P403" s="48"/>
      <c r="Q403" s="8">
        <f>VLOOKUP($F403,[1]装箱单!$A:$E,5,0)</f>
        <v>32.385</v>
      </c>
      <c r="R403" s="8">
        <f>VLOOKUP($F403,[1]装箱单!$A:$F,6,0)</f>
        <v>18.78</v>
      </c>
      <c r="S403" s="8">
        <f>VLOOKUP($F403,[1]装箱单!$A:$G,7,0)</f>
        <v>9.525</v>
      </c>
      <c r="T403" s="10">
        <f>VLOOKUP($F403,[1]装箱单!$A:$J,10,0)</f>
        <v>0.0057930126075</v>
      </c>
      <c r="U403" s="11">
        <f t="shared" si="48"/>
        <v>4.831372514655</v>
      </c>
    </row>
    <row r="404" ht="29.1" customHeight="1" spans="1:21">
      <c r="A404" s="40">
        <v>46122</v>
      </c>
      <c r="B404" s="41" t="s">
        <v>223</v>
      </c>
      <c r="C404" s="42" t="s">
        <v>532</v>
      </c>
      <c r="D404" s="43" t="s">
        <v>533</v>
      </c>
      <c r="E404" s="44" t="s">
        <v>534</v>
      </c>
      <c r="F404" s="44" t="s">
        <v>45</v>
      </c>
      <c r="G404" s="44" t="s">
        <v>31</v>
      </c>
      <c r="H404" s="44"/>
      <c r="I404" s="45">
        <v>15012</v>
      </c>
      <c r="J404" s="45" t="s">
        <v>32</v>
      </c>
      <c r="K404" s="45" t="s">
        <v>33</v>
      </c>
      <c r="L404" s="46">
        <f>+I404/18</f>
        <v>834</v>
      </c>
      <c r="M404" s="43">
        <f t="shared" si="47"/>
        <v>4.831372514655</v>
      </c>
      <c r="N404" s="46" t="s">
        <v>34</v>
      </c>
      <c r="O404" s="44"/>
      <c r="P404" s="48"/>
      <c r="Q404" s="8">
        <f>VLOOKUP($F404,[1]装箱单!$A:$E,5,0)</f>
        <v>32.385</v>
      </c>
      <c r="R404" s="8">
        <f>VLOOKUP($F404,[1]装箱单!$A:$F,6,0)</f>
        <v>18.78</v>
      </c>
      <c r="S404" s="8">
        <f>VLOOKUP($F404,[1]装箱单!$A:$G,7,0)</f>
        <v>9.525</v>
      </c>
      <c r="T404" s="10">
        <f>VLOOKUP($F404,[1]装箱单!$A:$J,10,0)</f>
        <v>0.0057930126075</v>
      </c>
      <c r="U404" s="11">
        <f t="shared" si="48"/>
        <v>4.831372514655</v>
      </c>
    </row>
    <row r="405" ht="29.1" customHeight="1" spans="1:21">
      <c r="A405" s="40"/>
      <c r="B405" s="41"/>
      <c r="C405" s="42"/>
      <c r="D405" s="43"/>
      <c r="E405" s="44"/>
      <c r="F405" s="44"/>
      <c r="G405" s="44"/>
      <c r="H405" s="44"/>
      <c r="I405" s="45"/>
      <c r="J405" s="45"/>
      <c r="K405" s="45"/>
      <c r="L405" s="46"/>
      <c r="M405" s="43">
        <f>SUM(M393:M404)</f>
        <v>125.715529307547</v>
      </c>
      <c r="N405" s="46"/>
      <c r="O405" s="44"/>
      <c r="P405" s="51"/>
    </row>
    <row r="406" ht="29.1" customHeight="1" spans="1:21">
      <c r="A406" s="40">
        <v>46122</v>
      </c>
      <c r="B406" s="41" t="s">
        <v>535</v>
      </c>
      <c r="C406" s="42"/>
      <c r="D406" s="43"/>
      <c r="E406" s="44"/>
      <c r="F406" s="44" t="s">
        <v>536</v>
      </c>
      <c r="G406" s="44" t="s">
        <v>537</v>
      </c>
      <c r="H406" s="44"/>
      <c r="I406" s="45">
        <v>1</v>
      </c>
      <c r="J406" s="45" t="s">
        <v>47</v>
      </c>
      <c r="K406" s="45" t="s">
        <v>218</v>
      </c>
      <c r="L406" s="46">
        <v>1</v>
      </c>
      <c r="M406" s="132" t="s">
        <v>538</v>
      </c>
      <c r="N406" s="46"/>
      <c r="O406" s="44"/>
      <c r="P406" s="48" t="s">
        <v>539</v>
      </c>
    </row>
    <row r="407" ht="29.1" customHeight="1" spans="1:21">
      <c r="A407" s="40">
        <v>46122</v>
      </c>
      <c r="B407" s="41" t="s">
        <v>535</v>
      </c>
      <c r="C407" s="42"/>
      <c r="D407" s="43"/>
      <c r="E407" s="44"/>
      <c r="F407" s="44" t="s">
        <v>536</v>
      </c>
      <c r="G407" s="44" t="s">
        <v>540</v>
      </c>
      <c r="H407" s="44"/>
      <c r="I407" s="45">
        <v>1</v>
      </c>
      <c r="J407" s="45" t="s">
        <v>47</v>
      </c>
      <c r="K407" s="45" t="s">
        <v>218</v>
      </c>
      <c r="L407" s="46">
        <v>1</v>
      </c>
      <c r="M407" s="133"/>
      <c r="N407" s="46"/>
      <c r="O407" s="44"/>
      <c r="P407" s="48"/>
    </row>
    <row r="408" ht="29.1" customHeight="1" spans="1:21">
      <c r="A408" s="40">
        <v>46122</v>
      </c>
      <c r="B408" s="41" t="s">
        <v>535</v>
      </c>
      <c r="C408" s="42"/>
      <c r="D408" s="43"/>
      <c r="E408" s="44"/>
      <c r="F408" s="44" t="s">
        <v>536</v>
      </c>
      <c r="G408" s="44" t="s">
        <v>541</v>
      </c>
      <c r="H408" s="44"/>
      <c r="I408" s="45">
        <v>1</v>
      </c>
      <c r="J408" s="45" t="s">
        <v>47</v>
      </c>
      <c r="K408" s="45" t="s">
        <v>218</v>
      </c>
      <c r="L408" s="46">
        <v>1</v>
      </c>
      <c r="M408" s="133"/>
      <c r="N408" s="46"/>
      <c r="O408" s="44"/>
      <c r="P408" s="48"/>
    </row>
    <row r="409" ht="29.1" customHeight="1" spans="1:21">
      <c r="A409" s="40">
        <v>46122</v>
      </c>
      <c r="B409" s="41" t="s">
        <v>535</v>
      </c>
      <c r="C409" s="42"/>
      <c r="D409" s="43"/>
      <c r="E409" s="44"/>
      <c r="F409" s="44" t="s">
        <v>536</v>
      </c>
      <c r="G409" s="44" t="s">
        <v>542</v>
      </c>
      <c r="H409" s="44"/>
      <c r="I409" s="45">
        <v>1</v>
      </c>
      <c r="J409" s="45" t="s">
        <v>47</v>
      </c>
      <c r="K409" s="45" t="s">
        <v>218</v>
      </c>
      <c r="L409" s="46">
        <v>1</v>
      </c>
      <c r="M409" s="133"/>
      <c r="N409" s="46"/>
      <c r="O409" s="44"/>
      <c r="P409" s="48"/>
    </row>
    <row r="410" ht="29.1" customHeight="1" spans="1:21">
      <c r="A410" s="40">
        <v>46122</v>
      </c>
      <c r="B410" s="41" t="s">
        <v>535</v>
      </c>
      <c r="C410" s="42"/>
      <c r="D410" s="43"/>
      <c r="E410" s="44"/>
      <c r="F410" s="44" t="s">
        <v>536</v>
      </c>
      <c r="G410" s="44" t="s">
        <v>543</v>
      </c>
      <c r="H410" s="44"/>
      <c r="I410" s="45">
        <v>1</v>
      </c>
      <c r="J410" s="45" t="s">
        <v>47</v>
      </c>
      <c r="K410" s="45" t="s">
        <v>218</v>
      </c>
      <c r="L410" s="46">
        <v>1</v>
      </c>
      <c r="M410" s="133"/>
      <c r="N410" s="46"/>
      <c r="O410" s="44"/>
      <c r="P410" s="48"/>
    </row>
    <row r="411" ht="29.1" customHeight="1" spans="1:21">
      <c r="A411" s="40">
        <v>46122</v>
      </c>
      <c r="B411" s="41" t="s">
        <v>535</v>
      </c>
      <c r="C411" s="42"/>
      <c r="D411" s="43"/>
      <c r="E411" s="44"/>
      <c r="F411" s="44" t="s">
        <v>536</v>
      </c>
      <c r="G411" s="44" t="s">
        <v>544</v>
      </c>
      <c r="H411" s="44"/>
      <c r="I411" s="45">
        <v>1</v>
      </c>
      <c r="J411" s="45" t="s">
        <v>47</v>
      </c>
      <c r="K411" s="45" t="s">
        <v>218</v>
      </c>
      <c r="L411" s="46">
        <v>1</v>
      </c>
      <c r="M411" s="133"/>
      <c r="N411" s="46"/>
      <c r="O411" s="44" t="s">
        <v>545</v>
      </c>
      <c r="P411" s="48"/>
    </row>
    <row r="412" ht="29.1" customHeight="1" spans="1:21">
      <c r="A412" s="40">
        <v>46122</v>
      </c>
      <c r="B412" s="41" t="s">
        <v>535</v>
      </c>
      <c r="C412" s="42"/>
      <c r="D412" s="43"/>
      <c r="E412" s="44"/>
      <c r="F412" s="44" t="s">
        <v>536</v>
      </c>
      <c r="G412" s="44" t="s">
        <v>546</v>
      </c>
      <c r="H412" s="44"/>
      <c r="I412" s="45">
        <v>18</v>
      </c>
      <c r="J412" s="45" t="s">
        <v>32</v>
      </c>
      <c r="K412" s="45" t="s">
        <v>218</v>
      </c>
      <c r="L412" s="46">
        <v>1</v>
      </c>
      <c r="M412" s="133"/>
      <c r="N412" s="46"/>
      <c r="O412" s="44"/>
      <c r="P412" s="48"/>
    </row>
    <row r="413" ht="29.1" customHeight="1" spans="1:21">
      <c r="A413" s="40">
        <v>46122</v>
      </c>
      <c r="B413" s="41" t="s">
        <v>535</v>
      </c>
      <c r="C413" s="42"/>
      <c r="D413" s="43"/>
      <c r="E413" s="44"/>
      <c r="F413" s="44" t="s">
        <v>536</v>
      </c>
      <c r="G413" s="44" t="s">
        <v>547</v>
      </c>
      <c r="H413" s="44"/>
      <c r="I413" s="45">
        <v>1</v>
      </c>
      <c r="J413" s="45" t="s">
        <v>47</v>
      </c>
      <c r="K413" s="45" t="s">
        <v>218</v>
      </c>
      <c r="L413" s="46">
        <v>1</v>
      </c>
      <c r="M413" s="133"/>
      <c r="N413" s="46"/>
      <c r="O413" s="44"/>
      <c r="P413" s="48"/>
    </row>
    <row r="414" ht="29.1" customHeight="1" spans="1:21">
      <c r="A414" s="40">
        <v>46122</v>
      </c>
      <c r="B414" s="41" t="s">
        <v>535</v>
      </c>
      <c r="C414" s="42"/>
      <c r="D414" s="43"/>
      <c r="E414" s="44"/>
      <c r="F414" s="44" t="s">
        <v>536</v>
      </c>
      <c r="G414" s="44" t="s">
        <v>548</v>
      </c>
      <c r="H414" s="44"/>
      <c r="I414" s="45">
        <v>1</v>
      </c>
      <c r="J414" s="45" t="s">
        <v>47</v>
      </c>
      <c r="K414" s="45" t="s">
        <v>218</v>
      </c>
      <c r="L414" s="46">
        <v>1</v>
      </c>
      <c r="M414" s="133"/>
      <c r="N414" s="46"/>
      <c r="O414" s="44"/>
      <c r="P414" s="48"/>
    </row>
    <row r="415" ht="29.1" customHeight="1" spans="1:21">
      <c r="A415" s="40">
        <v>46122</v>
      </c>
      <c r="B415" s="41" t="s">
        <v>535</v>
      </c>
      <c r="C415" s="42"/>
      <c r="D415" s="43"/>
      <c r="E415" s="44"/>
      <c r="F415" s="44" t="s">
        <v>536</v>
      </c>
      <c r="G415" s="44" t="s">
        <v>549</v>
      </c>
      <c r="H415" s="44"/>
      <c r="I415" s="45">
        <v>1</v>
      </c>
      <c r="J415" s="45" t="s">
        <v>47</v>
      </c>
      <c r="K415" s="45" t="s">
        <v>218</v>
      </c>
      <c r="L415" s="46">
        <v>1</v>
      </c>
      <c r="M415" s="133"/>
      <c r="N415" s="46"/>
      <c r="O415" s="44" t="s">
        <v>545</v>
      </c>
      <c r="P415" s="48"/>
    </row>
    <row r="416" ht="29.1" customHeight="1" spans="1:21">
      <c r="A416" s="40">
        <v>46122</v>
      </c>
      <c r="B416" s="41" t="s">
        <v>535</v>
      </c>
      <c r="C416" s="42"/>
      <c r="D416" s="43"/>
      <c r="E416" s="44"/>
      <c r="F416" s="44" t="s">
        <v>536</v>
      </c>
      <c r="G416" s="44" t="s">
        <v>550</v>
      </c>
      <c r="H416" s="44"/>
      <c r="I416" s="45">
        <v>1</v>
      </c>
      <c r="J416" s="45" t="s">
        <v>47</v>
      </c>
      <c r="K416" s="45" t="s">
        <v>218</v>
      </c>
      <c r="L416" s="46">
        <v>1</v>
      </c>
      <c r="M416" s="133"/>
      <c r="N416" s="46"/>
      <c r="O416" s="44"/>
      <c r="P416" s="48"/>
    </row>
    <row r="417" ht="29.1" customHeight="1" spans="1:16">
      <c r="A417" s="40">
        <v>46122</v>
      </c>
      <c r="B417" s="41" t="s">
        <v>535</v>
      </c>
      <c r="C417" s="42"/>
      <c r="D417" s="43"/>
      <c r="E417" s="44"/>
      <c r="F417" s="44" t="s">
        <v>536</v>
      </c>
      <c r="G417" s="44" t="s">
        <v>551</v>
      </c>
      <c r="H417" s="44"/>
      <c r="I417" s="45">
        <v>1</v>
      </c>
      <c r="J417" s="45" t="s">
        <v>47</v>
      </c>
      <c r="K417" s="45" t="s">
        <v>218</v>
      </c>
      <c r="L417" s="46">
        <v>1</v>
      </c>
      <c r="M417" s="133"/>
      <c r="N417" s="46"/>
      <c r="O417" s="44"/>
      <c r="P417" s="48"/>
    </row>
    <row r="418" ht="29.1" customHeight="1" spans="1:16">
      <c r="A418" s="40">
        <v>46122</v>
      </c>
      <c r="B418" s="41" t="s">
        <v>535</v>
      </c>
      <c r="C418" s="42"/>
      <c r="D418" s="43"/>
      <c r="E418" s="44"/>
      <c r="F418" s="44" t="s">
        <v>536</v>
      </c>
      <c r="G418" s="44" t="s">
        <v>552</v>
      </c>
      <c r="H418" s="44"/>
      <c r="I418" s="45">
        <v>18</v>
      </c>
      <c r="J418" s="45" t="s">
        <v>32</v>
      </c>
      <c r="K418" s="45" t="s">
        <v>218</v>
      </c>
      <c r="L418" s="46">
        <v>1</v>
      </c>
      <c r="M418" s="133"/>
      <c r="N418" s="46"/>
      <c r="O418" s="44"/>
      <c r="P418" s="48"/>
    </row>
    <row r="419" ht="29.1" customHeight="1" spans="1:16">
      <c r="A419" s="40">
        <v>46122</v>
      </c>
      <c r="B419" s="41" t="s">
        <v>535</v>
      </c>
      <c r="C419" s="42"/>
      <c r="D419" s="43"/>
      <c r="E419" s="44"/>
      <c r="F419" s="44" t="s">
        <v>536</v>
      </c>
      <c r="G419" s="44" t="s">
        <v>553</v>
      </c>
      <c r="H419" s="44"/>
      <c r="I419" s="45">
        <v>18</v>
      </c>
      <c r="J419" s="45" t="s">
        <v>32</v>
      </c>
      <c r="K419" s="45" t="s">
        <v>218</v>
      </c>
      <c r="L419" s="46">
        <v>1</v>
      </c>
      <c r="M419" s="133"/>
      <c r="N419" s="46"/>
      <c r="O419" s="44"/>
      <c r="P419" s="48"/>
    </row>
    <row r="420" ht="29.1" customHeight="1" spans="1:16">
      <c r="A420" s="40">
        <v>46122</v>
      </c>
      <c r="B420" s="41" t="s">
        <v>535</v>
      </c>
      <c r="C420" s="42"/>
      <c r="D420" s="43"/>
      <c r="E420" s="44"/>
      <c r="F420" s="44" t="s">
        <v>536</v>
      </c>
      <c r="G420" s="44" t="s">
        <v>554</v>
      </c>
      <c r="H420" s="44"/>
      <c r="I420" s="45">
        <v>18</v>
      </c>
      <c r="J420" s="45" t="s">
        <v>32</v>
      </c>
      <c r="K420" s="45" t="s">
        <v>218</v>
      </c>
      <c r="L420" s="46">
        <v>1</v>
      </c>
      <c r="M420" s="133"/>
      <c r="N420" s="46"/>
      <c r="O420" s="44"/>
      <c r="P420" s="48"/>
    </row>
    <row r="421" ht="29.1" customHeight="1" spans="1:16">
      <c r="A421" s="40">
        <v>46122</v>
      </c>
      <c r="B421" s="41" t="s">
        <v>535</v>
      </c>
      <c r="C421" s="42"/>
      <c r="D421" s="43"/>
      <c r="E421" s="44"/>
      <c r="F421" s="44" t="s">
        <v>536</v>
      </c>
      <c r="G421" s="44" t="s">
        <v>555</v>
      </c>
      <c r="H421" s="44"/>
      <c r="I421" s="45">
        <v>1</v>
      </c>
      <c r="J421" s="45" t="s">
        <v>47</v>
      </c>
      <c r="K421" s="45" t="s">
        <v>218</v>
      </c>
      <c r="L421" s="46">
        <v>1</v>
      </c>
      <c r="M421" s="133"/>
      <c r="N421" s="46"/>
      <c r="O421" s="44"/>
      <c r="P421" s="48"/>
    </row>
    <row r="422" ht="29.1" customHeight="1" spans="1:16">
      <c r="A422" s="40">
        <v>46122</v>
      </c>
      <c r="B422" s="41" t="s">
        <v>535</v>
      </c>
      <c r="C422" s="42"/>
      <c r="D422" s="43"/>
      <c r="E422" s="44"/>
      <c r="F422" s="44" t="s">
        <v>536</v>
      </c>
      <c r="G422" s="44" t="s">
        <v>556</v>
      </c>
      <c r="H422" s="44"/>
      <c r="I422" s="45">
        <v>1</v>
      </c>
      <c r="J422" s="45" t="s">
        <v>47</v>
      </c>
      <c r="K422" s="45" t="s">
        <v>218</v>
      </c>
      <c r="L422" s="46">
        <v>1</v>
      </c>
      <c r="M422" s="133"/>
      <c r="N422" s="46"/>
      <c r="O422" s="44"/>
      <c r="P422" s="48"/>
    </row>
    <row r="423" ht="29.1" customHeight="1" spans="1:16">
      <c r="A423" s="40">
        <v>46122</v>
      </c>
      <c r="B423" s="41" t="s">
        <v>535</v>
      </c>
      <c r="C423" s="42"/>
      <c r="D423" s="43"/>
      <c r="E423" s="44"/>
      <c r="F423" s="44" t="s">
        <v>557</v>
      </c>
      <c r="G423" s="44" t="s">
        <v>558</v>
      </c>
      <c r="H423" s="44"/>
      <c r="I423" s="45">
        <v>1</v>
      </c>
      <c r="J423" s="45" t="s">
        <v>47</v>
      </c>
      <c r="K423" s="45" t="s">
        <v>218</v>
      </c>
      <c r="L423" s="46">
        <v>1</v>
      </c>
      <c r="M423" s="133"/>
      <c r="N423" s="46"/>
      <c r="O423" s="44"/>
      <c r="P423" s="48"/>
    </row>
    <row r="424" ht="29.1" customHeight="1" spans="1:16">
      <c r="A424" s="40">
        <v>46122</v>
      </c>
      <c r="B424" s="41" t="s">
        <v>535</v>
      </c>
      <c r="C424" s="42"/>
      <c r="D424" s="43"/>
      <c r="E424" s="44"/>
      <c r="F424" s="44" t="s">
        <v>557</v>
      </c>
      <c r="G424" s="44" t="s">
        <v>559</v>
      </c>
      <c r="H424" s="44"/>
      <c r="I424" s="45">
        <v>1</v>
      </c>
      <c r="J424" s="45" t="s">
        <v>47</v>
      </c>
      <c r="K424" s="45" t="s">
        <v>218</v>
      </c>
      <c r="L424" s="46">
        <v>1</v>
      </c>
      <c r="M424" s="133"/>
      <c r="N424" s="46"/>
      <c r="O424" s="44"/>
      <c r="P424" s="48"/>
    </row>
    <row r="425" ht="29.1" customHeight="1" spans="1:16">
      <c r="A425" s="40">
        <v>46122</v>
      </c>
      <c r="B425" s="41" t="s">
        <v>535</v>
      </c>
      <c r="C425" s="42"/>
      <c r="D425" s="43"/>
      <c r="E425" s="44"/>
      <c r="F425" s="44" t="s">
        <v>557</v>
      </c>
      <c r="G425" s="44" t="s">
        <v>560</v>
      </c>
      <c r="H425" s="44"/>
      <c r="I425" s="45">
        <v>1</v>
      </c>
      <c r="J425" s="45" t="s">
        <v>47</v>
      </c>
      <c r="K425" s="45" t="s">
        <v>218</v>
      </c>
      <c r="L425" s="46">
        <v>1</v>
      </c>
      <c r="M425" s="133"/>
      <c r="N425" s="46"/>
      <c r="O425" s="44" t="s">
        <v>545</v>
      </c>
      <c r="P425" s="48"/>
    </row>
    <row r="426" ht="29.1" customHeight="1" spans="1:16">
      <c r="A426" s="40">
        <v>46122</v>
      </c>
      <c r="B426" s="41" t="s">
        <v>535</v>
      </c>
      <c r="C426" s="42"/>
      <c r="D426" s="43"/>
      <c r="E426" s="44"/>
      <c r="F426" s="44" t="s">
        <v>557</v>
      </c>
      <c r="G426" s="44" t="s">
        <v>561</v>
      </c>
      <c r="H426" s="44"/>
      <c r="I426" s="45">
        <v>1</v>
      </c>
      <c r="J426" s="45" t="s">
        <v>47</v>
      </c>
      <c r="K426" s="45" t="s">
        <v>218</v>
      </c>
      <c r="L426" s="46">
        <v>1</v>
      </c>
      <c r="M426" s="133"/>
      <c r="N426" s="46"/>
      <c r="O426" s="44"/>
      <c r="P426" s="48"/>
    </row>
    <row r="427" ht="29.1" customHeight="1" spans="1:16">
      <c r="A427" s="40">
        <v>46122</v>
      </c>
      <c r="B427" s="41" t="s">
        <v>535</v>
      </c>
      <c r="C427" s="42"/>
      <c r="D427" s="43"/>
      <c r="E427" s="44"/>
      <c r="F427" s="44" t="s">
        <v>557</v>
      </c>
      <c r="G427" s="44" t="s">
        <v>562</v>
      </c>
      <c r="H427" s="44"/>
      <c r="I427" s="45">
        <v>1</v>
      </c>
      <c r="J427" s="45" t="s">
        <v>47</v>
      </c>
      <c r="K427" s="45" t="s">
        <v>218</v>
      </c>
      <c r="L427" s="46">
        <v>1</v>
      </c>
      <c r="M427" s="133"/>
      <c r="N427" s="46"/>
      <c r="O427" s="44"/>
      <c r="P427" s="48"/>
    </row>
    <row r="428" ht="29.1" customHeight="1" spans="1:16">
      <c r="A428" s="40">
        <v>46122</v>
      </c>
      <c r="B428" s="41" t="s">
        <v>535</v>
      </c>
      <c r="C428" s="42"/>
      <c r="D428" s="43"/>
      <c r="E428" s="44"/>
      <c r="F428" s="44" t="s">
        <v>557</v>
      </c>
      <c r="G428" s="44" t="s">
        <v>563</v>
      </c>
      <c r="H428" s="44"/>
      <c r="I428" s="45">
        <v>1</v>
      </c>
      <c r="J428" s="45" t="s">
        <v>47</v>
      </c>
      <c r="K428" s="45" t="s">
        <v>218</v>
      </c>
      <c r="L428" s="46">
        <v>1</v>
      </c>
      <c r="M428" s="133"/>
      <c r="N428" s="46"/>
      <c r="O428" s="44" t="s">
        <v>564</v>
      </c>
      <c r="P428" s="48"/>
    </row>
    <row r="429" ht="29.1" customHeight="1" spans="1:16">
      <c r="A429" s="40">
        <v>46122</v>
      </c>
      <c r="B429" s="41" t="s">
        <v>535</v>
      </c>
      <c r="C429" s="42"/>
      <c r="D429" s="43"/>
      <c r="E429" s="44"/>
      <c r="F429" s="44" t="s">
        <v>557</v>
      </c>
      <c r="G429" s="44" t="s">
        <v>565</v>
      </c>
      <c r="H429" s="44"/>
      <c r="I429" s="45">
        <v>1</v>
      </c>
      <c r="J429" s="45" t="s">
        <v>47</v>
      </c>
      <c r="K429" s="45" t="s">
        <v>218</v>
      </c>
      <c r="L429" s="46">
        <v>1</v>
      </c>
      <c r="M429" s="133"/>
      <c r="N429" s="46"/>
      <c r="O429" s="44"/>
      <c r="P429" s="48"/>
    </row>
    <row r="430" ht="29.1" customHeight="1" spans="1:16">
      <c r="A430" s="40">
        <v>46122</v>
      </c>
      <c r="B430" s="41" t="s">
        <v>535</v>
      </c>
      <c r="C430" s="42"/>
      <c r="D430" s="43"/>
      <c r="E430" s="44"/>
      <c r="F430" s="44" t="s">
        <v>557</v>
      </c>
      <c r="G430" s="44" t="s">
        <v>566</v>
      </c>
      <c r="H430" s="44"/>
      <c r="I430" s="45">
        <v>36</v>
      </c>
      <c r="J430" s="45" t="s">
        <v>32</v>
      </c>
      <c r="K430" s="45" t="s">
        <v>218</v>
      </c>
      <c r="L430" s="46">
        <v>1</v>
      </c>
      <c r="M430" s="133"/>
      <c r="N430" s="46"/>
      <c r="O430" s="44"/>
      <c r="P430" s="48"/>
    </row>
    <row r="431" ht="29.1" customHeight="1" spans="1:16">
      <c r="A431" s="40">
        <v>46122</v>
      </c>
      <c r="B431" s="41" t="s">
        <v>535</v>
      </c>
      <c r="C431" s="42"/>
      <c r="D431" s="43"/>
      <c r="E431" s="44"/>
      <c r="F431" s="44" t="s">
        <v>557</v>
      </c>
      <c r="G431" s="44" t="s">
        <v>567</v>
      </c>
      <c r="H431" s="44"/>
      <c r="I431" s="45">
        <v>1</v>
      </c>
      <c r="J431" s="45" t="s">
        <v>47</v>
      </c>
      <c r="K431" s="45" t="s">
        <v>218</v>
      </c>
      <c r="L431" s="46">
        <v>1</v>
      </c>
      <c r="M431" s="133"/>
      <c r="N431" s="46"/>
      <c r="O431" s="44"/>
      <c r="P431" s="48"/>
    </row>
    <row r="432" ht="29.1" customHeight="1" spans="1:16">
      <c r="A432" s="40">
        <v>46122</v>
      </c>
      <c r="B432" s="41" t="s">
        <v>535</v>
      </c>
      <c r="C432" s="42"/>
      <c r="D432" s="43"/>
      <c r="E432" s="44"/>
      <c r="F432" s="44" t="s">
        <v>557</v>
      </c>
      <c r="G432" s="44" t="s">
        <v>568</v>
      </c>
      <c r="H432" s="44"/>
      <c r="I432" s="45">
        <v>1</v>
      </c>
      <c r="J432" s="45" t="s">
        <v>47</v>
      </c>
      <c r="K432" s="45" t="s">
        <v>218</v>
      </c>
      <c r="L432" s="46">
        <v>1</v>
      </c>
      <c r="M432" s="133"/>
      <c r="N432" s="46"/>
      <c r="O432" s="44"/>
      <c r="P432" s="48"/>
    </row>
    <row r="433" ht="29.1" customHeight="1" spans="1:16">
      <c r="A433" s="40">
        <v>46122</v>
      </c>
      <c r="B433" s="41" t="s">
        <v>535</v>
      </c>
      <c r="C433" s="42"/>
      <c r="D433" s="43"/>
      <c r="E433" s="44"/>
      <c r="F433" s="44" t="s">
        <v>557</v>
      </c>
      <c r="G433" s="44" t="s">
        <v>569</v>
      </c>
      <c r="H433" s="44"/>
      <c r="I433" s="45">
        <v>18</v>
      </c>
      <c r="J433" s="45" t="s">
        <v>32</v>
      </c>
      <c r="K433" s="45" t="s">
        <v>218</v>
      </c>
      <c r="L433" s="46">
        <v>1</v>
      </c>
      <c r="M433" s="133"/>
      <c r="N433" s="46"/>
      <c r="O433" s="44"/>
      <c r="P433" s="48"/>
    </row>
    <row r="434" ht="29.1" customHeight="1" spans="1:16">
      <c r="A434" s="40">
        <v>46122</v>
      </c>
      <c r="B434" s="41" t="s">
        <v>535</v>
      </c>
      <c r="C434" s="42"/>
      <c r="D434" s="43"/>
      <c r="E434" s="44"/>
      <c r="F434" s="44" t="s">
        <v>557</v>
      </c>
      <c r="G434" s="44" t="s">
        <v>570</v>
      </c>
      <c r="H434" s="44"/>
      <c r="I434" s="45">
        <v>18</v>
      </c>
      <c r="J434" s="45" t="s">
        <v>32</v>
      </c>
      <c r="K434" s="45" t="s">
        <v>218</v>
      </c>
      <c r="L434" s="46">
        <v>1</v>
      </c>
      <c r="M434" s="133"/>
      <c r="N434" s="46"/>
      <c r="O434" s="44"/>
      <c r="P434" s="48"/>
    </row>
    <row r="435" ht="29.1" customHeight="1" spans="1:16">
      <c r="A435" s="40">
        <v>46122</v>
      </c>
      <c r="B435" s="41" t="s">
        <v>535</v>
      </c>
      <c r="C435" s="42"/>
      <c r="D435" s="43"/>
      <c r="E435" s="44"/>
      <c r="F435" s="44" t="s">
        <v>557</v>
      </c>
      <c r="G435" s="44" t="s">
        <v>571</v>
      </c>
      <c r="H435" s="44"/>
      <c r="I435" s="45">
        <v>36</v>
      </c>
      <c r="J435" s="45" t="s">
        <v>32</v>
      </c>
      <c r="K435" s="45" t="s">
        <v>218</v>
      </c>
      <c r="L435" s="46">
        <v>1</v>
      </c>
      <c r="M435" s="133"/>
      <c r="N435" s="46"/>
      <c r="O435" s="44"/>
      <c r="P435" s="48"/>
    </row>
    <row r="436" ht="29.1" customHeight="1" spans="1:16">
      <c r="A436" s="40">
        <v>46122</v>
      </c>
      <c r="B436" s="41" t="s">
        <v>535</v>
      </c>
      <c r="C436" s="42"/>
      <c r="D436" s="43"/>
      <c r="E436" s="44"/>
      <c r="F436" s="44" t="s">
        <v>557</v>
      </c>
      <c r="G436" s="44" t="s">
        <v>572</v>
      </c>
      <c r="H436" s="44"/>
      <c r="I436" s="45">
        <v>36</v>
      </c>
      <c r="J436" s="45" t="s">
        <v>32</v>
      </c>
      <c r="K436" s="45" t="s">
        <v>218</v>
      </c>
      <c r="L436" s="46">
        <v>1</v>
      </c>
      <c r="M436" s="133"/>
      <c r="N436" s="46"/>
      <c r="O436" s="44"/>
      <c r="P436" s="48"/>
    </row>
    <row r="437" ht="29.1" customHeight="1" spans="1:16">
      <c r="A437" s="40">
        <v>46122</v>
      </c>
      <c r="B437" s="41" t="s">
        <v>535</v>
      </c>
      <c r="C437" s="42"/>
      <c r="D437" s="43"/>
      <c r="E437" s="44"/>
      <c r="F437" s="44" t="s">
        <v>557</v>
      </c>
      <c r="G437" s="44" t="s">
        <v>573</v>
      </c>
      <c r="H437" s="44"/>
      <c r="I437" s="45">
        <v>36</v>
      </c>
      <c r="J437" s="45" t="s">
        <v>32</v>
      </c>
      <c r="K437" s="45" t="s">
        <v>218</v>
      </c>
      <c r="L437" s="46">
        <v>1</v>
      </c>
      <c r="M437" s="133"/>
      <c r="N437" s="46"/>
      <c r="O437" s="44"/>
      <c r="P437" s="48"/>
    </row>
    <row r="438" ht="29.1" customHeight="1" spans="1:16">
      <c r="A438" s="40">
        <v>46122</v>
      </c>
      <c r="B438" s="41" t="s">
        <v>535</v>
      </c>
      <c r="C438" s="42"/>
      <c r="D438" s="43"/>
      <c r="E438" s="44"/>
      <c r="F438" s="44" t="s">
        <v>557</v>
      </c>
      <c r="G438" s="44" t="s">
        <v>574</v>
      </c>
      <c r="H438" s="44"/>
      <c r="I438" s="45">
        <v>18</v>
      </c>
      <c r="J438" s="45" t="s">
        <v>32</v>
      </c>
      <c r="K438" s="45" t="s">
        <v>218</v>
      </c>
      <c r="L438" s="46">
        <v>1</v>
      </c>
      <c r="M438" s="133"/>
      <c r="N438" s="46"/>
      <c r="O438" s="44"/>
      <c r="P438" s="48"/>
    </row>
    <row r="439" ht="29.1" customHeight="1" spans="1:16">
      <c r="A439" s="40">
        <v>46122</v>
      </c>
      <c r="B439" s="41" t="s">
        <v>535</v>
      </c>
      <c r="C439" s="42"/>
      <c r="D439" s="43"/>
      <c r="E439" s="44"/>
      <c r="F439" s="44" t="s">
        <v>557</v>
      </c>
      <c r="G439" s="44" t="s">
        <v>575</v>
      </c>
      <c r="H439" s="44"/>
      <c r="I439" s="45">
        <v>18</v>
      </c>
      <c r="J439" s="45" t="s">
        <v>32</v>
      </c>
      <c r="K439" s="45" t="s">
        <v>218</v>
      </c>
      <c r="L439" s="46">
        <v>1</v>
      </c>
      <c r="M439" s="133"/>
      <c r="N439" s="46"/>
      <c r="O439" s="44"/>
      <c r="P439" s="48"/>
    </row>
    <row r="440" ht="29.1" customHeight="1" spans="1:16">
      <c r="A440" s="40">
        <v>46122</v>
      </c>
      <c r="B440" s="41" t="s">
        <v>535</v>
      </c>
      <c r="C440" s="42"/>
      <c r="D440" s="43"/>
      <c r="E440" s="44"/>
      <c r="F440" s="44" t="s">
        <v>557</v>
      </c>
      <c r="G440" s="44" t="s">
        <v>576</v>
      </c>
      <c r="H440" s="44"/>
      <c r="I440" s="45">
        <v>1</v>
      </c>
      <c r="J440" s="45" t="s">
        <v>47</v>
      </c>
      <c r="K440" s="45" t="s">
        <v>218</v>
      </c>
      <c r="L440" s="46">
        <v>1</v>
      </c>
      <c r="M440" s="133"/>
      <c r="N440" s="46"/>
      <c r="O440" s="44" t="s">
        <v>545</v>
      </c>
      <c r="P440" s="48"/>
    </row>
    <row r="441" ht="29.1" customHeight="1" spans="1:16">
      <c r="A441" s="40">
        <v>46122</v>
      </c>
      <c r="B441" s="41" t="s">
        <v>535</v>
      </c>
      <c r="C441" s="42"/>
      <c r="D441" s="43"/>
      <c r="E441" s="44"/>
      <c r="F441" s="44" t="s">
        <v>577</v>
      </c>
      <c r="G441" s="44" t="s">
        <v>578</v>
      </c>
      <c r="H441" s="44"/>
      <c r="I441" s="45">
        <v>1</v>
      </c>
      <c r="J441" s="45" t="s">
        <v>47</v>
      </c>
      <c r="K441" s="45" t="s">
        <v>218</v>
      </c>
      <c r="L441" s="46">
        <v>1</v>
      </c>
      <c r="M441" s="133"/>
      <c r="N441" s="46"/>
      <c r="O441" s="44"/>
      <c r="P441" s="48"/>
    </row>
    <row r="442" ht="29.1" customHeight="1" spans="1:16">
      <c r="A442" s="40">
        <v>46122</v>
      </c>
      <c r="B442" s="41" t="s">
        <v>535</v>
      </c>
      <c r="C442" s="42"/>
      <c r="D442" s="43"/>
      <c r="E442" s="44"/>
      <c r="F442" s="44" t="s">
        <v>577</v>
      </c>
      <c r="G442" s="44" t="s">
        <v>579</v>
      </c>
      <c r="H442" s="44"/>
      <c r="I442" s="45">
        <v>1</v>
      </c>
      <c r="J442" s="45" t="s">
        <v>47</v>
      </c>
      <c r="K442" s="45" t="s">
        <v>218</v>
      </c>
      <c r="L442" s="46">
        <v>1</v>
      </c>
      <c r="M442" s="133"/>
      <c r="N442" s="46"/>
      <c r="O442" s="44"/>
      <c r="P442" s="48"/>
    </row>
    <row r="443" ht="29.1" customHeight="1" spans="1:16">
      <c r="A443" s="40">
        <v>46122</v>
      </c>
      <c r="B443" s="41" t="s">
        <v>535</v>
      </c>
      <c r="C443" s="42"/>
      <c r="D443" s="43"/>
      <c r="E443" s="44"/>
      <c r="F443" s="44" t="s">
        <v>577</v>
      </c>
      <c r="G443" s="44" t="s">
        <v>580</v>
      </c>
      <c r="H443" s="44"/>
      <c r="I443" s="45">
        <v>1</v>
      </c>
      <c r="J443" s="45" t="s">
        <v>47</v>
      </c>
      <c r="K443" s="45" t="s">
        <v>218</v>
      </c>
      <c r="L443" s="46">
        <v>1</v>
      </c>
      <c r="M443" s="133"/>
      <c r="N443" s="46"/>
      <c r="O443" s="44"/>
      <c r="P443" s="48"/>
    </row>
    <row r="444" ht="29.1" customHeight="1" spans="1:16">
      <c r="A444" s="40">
        <v>46122</v>
      </c>
      <c r="B444" s="41" t="s">
        <v>535</v>
      </c>
      <c r="C444" s="42"/>
      <c r="D444" s="43"/>
      <c r="E444" s="44"/>
      <c r="F444" s="44" t="s">
        <v>577</v>
      </c>
      <c r="G444" s="44" t="s">
        <v>581</v>
      </c>
      <c r="H444" s="44"/>
      <c r="I444" s="45">
        <v>1</v>
      </c>
      <c r="J444" s="45" t="s">
        <v>47</v>
      </c>
      <c r="K444" s="45" t="s">
        <v>218</v>
      </c>
      <c r="L444" s="46">
        <v>1</v>
      </c>
      <c r="M444" s="133"/>
      <c r="N444" s="46"/>
      <c r="O444" s="44"/>
      <c r="P444" s="48"/>
    </row>
    <row r="445" ht="29.1" customHeight="1" spans="1:16">
      <c r="A445" s="40">
        <v>46122</v>
      </c>
      <c r="B445" s="41" t="s">
        <v>535</v>
      </c>
      <c r="C445" s="42"/>
      <c r="D445" s="43"/>
      <c r="E445" s="44"/>
      <c r="F445" s="44" t="s">
        <v>577</v>
      </c>
      <c r="G445" s="44" t="s">
        <v>582</v>
      </c>
      <c r="H445" s="44"/>
      <c r="I445" s="45">
        <v>1</v>
      </c>
      <c r="J445" s="45" t="s">
        <v>47</v>
      </c>
      <c r="K445" s="45" t="s">
        <v>218</v>
      </c>
      <c r="L445" s="46">
        <v>1</v>
      </c>
      <c r="M445" s="133"/>
      <c r="N445" s="46"/>
      <c r="O445" s="44"/>
      <c r="P445" s="48"/>
    </row>
    <row r="446" ht="29.1" customHeight="1" spans="1:16">
      <c r="A446" s="40">
        <v>46122</v>
      </c>
      <c r="B446" s="41" t="s">
        <v>535</v>
      </c>
      <c r="C446" s="42"/>
      <c r="D446" s="43"/>
      <c r="E446" s="44"/>
      <c r="F446" s="44" t="s">
        <v>577</v>
      </c>
      <c r="G446" s="44" t="s">
        <v>583</v>
      </c>
      <c r="H446" s="44"/>
      <c r="I446" s="45">
        <v>1</v>
      </c>
      <c r="J446" s="45" t="s">
        <v>47</v>
      </c>
      <c r="K446" s="45" t="s">
        <v>218</v>
      </c>
      <c r="L446" s="46">
        <v>1</v>
      </c>
      <c r="M446" s="133"/>
      <c r="N446" s="46"/>
      <c r="O446" s="44"/>
      <c r="P446" s="48"/>
    </row>
    <row r="447" ht="29.1" customHeight="1" spans="1:16">
      <c r="A447" s="40">
        <v>46122</v>
      </c>
      <c r="B447" s="41" t="s">
        <v>535</v>
      </c>
      <c r="C447" s="42"/>
      <c r="D447" s="43"/>
      <c r="E447" s="44"/>
      <c r="F447" s="44" t="s">
        <v>577</v>
      </c>
      <c r="G447" s="44" t="s">
        <v>584</v>
      </c>
      <c r="H447" s="44"/>
      <c r="I447" s="45">
        <v>1</v>
      </c>
      <c r="J447" s="45" t="s">
        <v>47</v>
      </c>
      <c r="K447" s="45" t="s">
        <v>218</v>
      </c>
      <c r="L447" s="46">
        <v>1</v>
      </c>
      <c r="M447" s="133"/>
      <c r="N447" s="46"/>
      <c r="O447" s="44"/>
      <c r="P447" s="48"/>
    </row>
    <row r="448" ht="29.1" customHeight="1" spans="1:16">
      <c r="A448" s="40">
        <v>46122</v>
      </c>
      <c r="B448" s="41" t="s">
        <v>535</v>
      </c>
      <c r="C448" s="42"/>
      <c r="D448" s="43"/>
      <c r="E448" s="44"/>
      <c r="F448" s="44" t="s">
        <v>577</v>
      </c>
      <c r="G448" s="44" t="s">
        <v>585</v>
      </c>
      <c r="H448" s="44"/>
      <c r="I448" s="45">
        <v>1</v>
      </c>
      <c r="J448" s="45" t="s">
        <v>47</v>
      </c>
      <c r="K448" s="45" t="s">
        <v>218</v>
      </c>
      <c r="L448" s="46">
        <v>1</v>
      </c>
      <c r="M448" s="133"/>
      <c r="N448" s="46"/>
      <c r="O448" s="44"/>
      <c r="P448" s="48"/>
    </row>
    <row r="449" ht="29.1" customHeight="1" spans="1:16">
      <c r="A449" s="40">
        <v>46122</v>
      </c>
      <c r="B449" s="41" t="s">
        <v>535</v>
      </c>
      <c r="C449" s="42"/>
      <c r="D449" s="43"/>
      <c r="E449" s="44"/>
      <c r="F449" s="44" t="s">
        <v>577</v>
      </c>
      <c r="G449" s="44" t="s">
        <v>586</v>
      </c>
      <c r="H449" s="44"/>
      <c r="I449" s="45">
        <v>1</v>
      </c>
      <c r="J449" s="45" t="s">
        <v>47</v>
      </c>
      <c r="K449" s="45" t="s">
        <v>218</v>
      </c>
      <c r="L449" s="46">
        <v>1</v>
      </c>
      <c r="M449" s="133"/>
      <c r="N449" s="46"/>
      <c r="O449" s="44" t="s">
        <v>545</v>
      </c>
      <c r="P449" s="48"/>
    </row>
    <row r="450" ht="29.1" customHeight="1" spans="1:16">
      <c r="A450" s="40">
        <v>46122</v>
      </c>
      <c r="B450" s="41" t="s">
        <v>535</v>
      </c>
      <c r="C450" s="42"/>
      <c r="D450" s="43"/>
      <c r="E450" s="44"/>
      <c r="F450" s="44" t="s">
        <v>577</v>
      </c>
      <c r="G450" s="44" t="s">
        <v>587</v>
      </c>
      <c r="H450" s="44"/>
      <c r="I450" s="45">
        <v>1</v>
      </c>
      <c r="J450" s="45" t="s">
        <v>47</v>
      </c>
      <c r="K450" s="45" t="s">
        <v>218</v>
      </c>
      <c r="L450" s="46">
        <v>1</v>
      </c>
      <c r="M450" s="133"/>
      <c r="N450" s="46"/>
      <c r="O450" s="44"/>
      <c r="P450" s="48"/>
    </row>
    <row r="451" ht="29.1" customHeight="1" spans="1:16">
      <c r="A451" s="40">
        <v>46122</v>
      </c>
      <c r="B451" s="41" t="s">
        <v>535</v>
      </c>
      <c r="C451" s="42"/>
      <c r="D451" s="43"/>
      <c r="E451" s="44"/>
      <c r="F451" s="44" t="s">
        <v>577</v>
      </c>
      <c r="G451" s="44" t="s">
        <v>588</v>
      </c>
      <c r="H451" s="44"/>
      <c r="I451" s="45">
        <v>1</v>
      </c>
      <c r="J451" s="45" t="s">
        <v>47</v>
      </c>
      <c r="K451" s="45" t="s">
        <v>218</v>
      </c>
      <c r="L451" s="46">
        <v>1</v>
      </c>
      <c r="M451" s="133"/>
      <c r="N451" s="46"/>
      <c r="O451" s="44"/>
      <c r="P451" s="48"/>
    </row>
    <row r="452" ht="29.1" customHeight="1" spans="1:16">
      <c r="A452" s="40">
        <v>46122</v>
      </c>
      <c r="B452" s="41" t="s">
        <v>535</v>
      </c>
      <c r="C452" s="42"/>
      <c r="D452" s="43"/>
      <c r="E452" s="44"/>
      <c r="F452" s="44" t="s">
        <v>577</v>
      </c>
      <c r="G452" s="44" t="s">
        <v>589</v>
      </c>
      <c r="H452" s="44"/>
      <c r="I452" s="45">
        <v>1</v>
      </c>
      <c r="J452" s="45" t="s">
        <v>47</v>
      </c>
      <c r="K452" s="45" t="s">
        <v>218</v>
      </c>
      <c r="L452" s="46">
        <v>1</v>
      </c>
      <c r="M452" s="133"/>
      <c r="N452" s="46"/>
      <c r="O452" s="44"/>
      <c r="P452" s="48"/>
    </row>
    <row r="453" ht="29.1" customHeight="1" spans="1:16">
      <c r="A453" s="40">
        <v>46122</v>
      </c>
      <c r="B453" s="41" t="s">
        <v>535</v>
      </c>
      <c r="C453" s="42"/>
      <c r="D453" s="43"/>
      <c r="E453" s="44"/>
      <c r="F453" s="44" t="s">
        <v>577</v>
      </c>
      <c r="G453" s="44" t="s">
        <v>590</v>
      </c>
      <c r="H453" s="44"/>
      <c r="I453" s="45">
        <v>1</v>
      </c>
      <c r="J453" s="45" t="s">
        <v>47</v>
      </c>
      <c r="K453" s="45" t="s">
        <v>218</v>
      </c>
      <c r="L453" s="46">
        <v>1</v>
      </c>
      <c r="M453" s="133"/>
      <c r="N453" s="46"/>
      <c r="O453" s="44" t="s">
        <v>591</v>
      </c>
      <c r="P453" s="48"/>
    </row>
    <row r="454" ht="29.1" customHeight="1" spans="1:16">
      <c r="A454" s="40">
        <v>46122</v>
      </c>
      <c r="B454" s="41" t="s">
        <v>535</v>
      </c>
      <c r="C454" s="42"/>
      <c r="D454" s="43"/>
      <c r="E454" s="44"/>
      <c r="F454" s="44" t="s">
        <v>577</v>
      </c>
      <c r="G454" s="44" t="s">
        <v>592</v>
      </c>
      <c r="H454" s="44"/>
      <c r="I454" s="45">
        <v>1</v>
      </c>
      <c r="J454" s="45" t="s">
        <v>47</v>
      </c>
      <c r="K454" s="45" t="s">
        <v>218</v>
      </c>
      <c r="L454" s="46">
        <v>1</v>
      </c>
      <c r="M454" s="133"/>
      <c r="N454" s="46"/>
      <c r="O454" s="44"/>
      <c r="P454" s="48"/>
    </row>
    <row r="455" ht="29.1" customHeight="1" spans="1:16">
      <c r="A455" s="40">
        <v>46122</v>
      </c>
      <c r="B455" s="41" t="s">
        <v>535</v>
      </c>
      <c r="C455" s="42"/>
      <c r="D455" s="43"/>
      <c r="E455" s="44"/>
      <c r="F455" s="44" t="s">
        <v>577</v>
      </c>
      <c r="G455" s="44" t="s">
        <v>593</v>
      </c>
      <c r="H455" s="44"/>
      <c r="I455" s="45" t="s">
        <v>594</v>
      </c>
      <c r="J455" s="45" t="s">
        <v>32</v>
      </c>
      <c r="K455" s="45" t="s">
        <v>218</v>
      </c>
      <c r="L455" s="46">
        <v>1</v>
      </c>
      <c r="M455" s="133"/>
      <c r="N455" s="46"/>
      <c r="O455" s="44"/>
      <c r="P455" s="48"/>
    </row>
    <row r="456" ht="29.1" customHeight="1" spans="1:16">
      <c r="A456" s="40">
        <v>46122</v>
      </c>
      <c r="B456" s="41" t="s">
        <v>535</v>
      </c>
      <c r="C456" s="42"/>
      <c r="D456" s="43"/>
      <c r="E456" s="44"/>
      <c r="F456" s="44" t="s">
        <v>577</v>
      </c>
      <c r="G456" s="44" t="s">
        <v>595</v>
      </c>
      <c r="H456" s="44"/>
      <c r="I456" s="45">
        <v>1</v>
      </c>
      <c r="J456" s="45" t="s">
        <v>47</v>
      </c>
      <c r="K456" s="45" t="s">
        <v>218</v>
      </c>
      <c r="L456" s="46">
        <v>1</v>
      </c>
      <c r="M456" s="133"/>
      <c r="N456" s="46"/>
      <c r="O456" s="44"/>
      <c r="P456" s="48"/>
    </row>
    <row r="457" ht="29.1" customHeight="1" spans="1:16">
      <c r="A457" s="40">
        <v>46122</v>
      </c>
      <c r="B457" s="41" t="s">
        <v>535</v>
      </c>
      <c r="C457" s="42"/>
      <c r="D457" s="43"/>
      <c r="E457" s="44"/>
      <c r="F457" s="44" t="s">
        <v>577</v>
      </c>
      <c r="G457" s="44" t="s">
        <v>596</v>
      </c>
      <c r="H457" s="44"/>
      <c r="I457" s="45">
        <v>1</v>
      </c>
      <c r="J457" s="45" t="s">
        <v>47</v>
      </c>
      <c r="K457" s="45" t="s">
        <v>218</v>
      </c>
      <c r="L457" s="46">
        <v>1</v>
      </c>
      <c r="M457" s="133"/>
      <c r="N457" s="46"/>
      <c r="O457" s="44"/>
      <c r="P457" s="48"/>
    </row>
    <row r="458" ht="29.1" customHeight="1" spans="1:16">
      <c r="A458" s="40">
        <v>46122</v>
      </c>
      <c r="B458" s="41" t="s">
        <v>535</v>
      </c>
      <c r="C458" s="42"/>
      <c r="D458" s="43"/>
      <c r="E458" s="44"/>
      <c r="F458" s="44" t="s">
        <v>577</v>
      </c>
      <c r="G458" s="44" t="s">
        <v>597</v>
      </c>
      <c r="H458" s="44"/>
      <c r="I458" s="45">
        <v>1</v>
      </c>
      <c r="J458" s="45" t="s">
        <v>47</v>
      </c>
      <c r="K458" s="45" t="s">
        <v>218</v>
      </c>
      <c r="L458" s="46">
        <v>1</v>
      </c>
      <c r="M458" s="133"/>
      <c r="N458" s="46"/>
      <c r="O458" s="44"/>
      <c r="P458" s="48"/>
    </row>
    <row r="459" ht="29.1" customHeight="1" spans="1:16">
      <c r="A459" s="40">
        <v>46122</v>
      </c>
      <c r="B459" s="41" t="s">
        <v>535</v>
      </c>
      <c r="C459" s="42"/>
      <c r="D459" s="43"/>
      <c r="E459" s="44"/>
      <c r="F459" s="44" t="s">
        <v>577</v>
      </c>
      <c r="G459" s="44" t="s">
        <v>598</v>
      </c>
      <c r="H459" s="44"/>
      <c r="I459" s="45">
        <v>1</v>
      </c>
      <c r="J459" s="45" t="s">
        <v>47</v>
      </c>
      <c r="K459" s="45" t="s">
        <v>218</v>
      </c>
      <c r="L459" s="46">
        <v>1</v>
      </c>
      <c r="M459" s="133"/>
      <c r="N459" s="46"/>
      <c r="O459" s="44"/>
      <c r="P459" s="48"/>
    </row>
    <row r="460" ht="29.1" customHeight="1" spans="1:16">
      <c r="A460" s="40">
        <v>46122</v>
      </c>
      <c r="B460" s="41" t="s">
        <v>535</v>
      </c>
      <c r="C460" s="42"/>
      <c r="D460" s="43"/>
      <c r="E460" s="44"/>
      <c r="F460" s="44" t="s">
        <v>599</v>
      </c>
      <c r="G460" s="44" t="s">
        <v>600</v>
      </c>
      <c r="H460" s="44"/>
      <c r="I460" s="45">
        <v>1</v>
      </c>
      <c r="J460" s="45" t="s">
        <v>47</v>
      </c>
      <c r="K460" s="45" t="s">
        <v>218</v>
      </c>
      <c r="L460" s="46">
        <v>1</v>
      </c>
      <c r="M460" s="133"/>
      <c r="N460" s="46"/>
      <c r="O460" s="44"/>
      <c r="P460" s="48"/>
    </row>
    <row r="461" ht="29.1" customHeight="1" spans="1:16">
      <c r="A461" s="40">
        <v>46122</v>
      </c>
      <c r="B461" s="41" t="s">
        <v>535</v>
      </c>
      <c r="C461" s="42"/>
      <c r="D461" s="43"/>
      <c r="E461" s="44"/>
      <c r="F461" s="44" t="s">
        <v>599</v>
      </c>
      <c r="G461" s="44" t="s">
        <v>601</v>
      </c>
      <c r="H461" s="44"/>
      <c r="I461" s="45">
        <v>1</v>
      </c>
      <c r="J461" s="45" t="s">
        <v>47</v>
      </c>
      <c r="K461" s="45" t="s">
        <v>218</v>
      </c>
      <c r="L461" s="46">
        <v>1</v>
      </c>
      <c r="M461" s="133"/>
      <c r="N461" s="46"/>
      <c r="O461" s="44"/>
      <c r="P461" s="48"/>
    </row>
    <row r="462" ht="29.1" customHeight="1" spans="1:16">
      <c r="A462" s="40">
        <v>46122</v>
      </c>
      <c r="B462" s="41" t="s">
        <v>535</v>
      </c>
      <c r="C462" s="42"/>
      <c r="D462" s="43"/>
      <c r="E462" s="44"/>
      <c r="F462" s="44" t="s">
        <v>599</v>
      </c>
      <c r="G462" s="44" t="s">
        <v>602</v>
      </c>
      <c r="H462" s="44"/>
      <c r="I462" s="45">
        <v>1</v>
      </c>
      <c r="J462" s="45" t="s">
        <v>47</v>
      </c>
      <c r="K462" s="45" t="s">
        <v>218</v>
      </c>
      <c r="L462" s="46">
        <v>1</v>
      </c>
      <c r="M462" s="133"/>
      <c r="N462" s="46"/>
      <c r="O462" s="44"/>
      <c r="P462" s="48"/>
    </row>
    <row r="463" ht="29.1" customHeight="1" spans="1:16">
      <c r="A463" s="40">
        <v>46122</v>
      </c>
      <c r="B463" s="41" t="s">
        <v>535</v>
      </c>
      <c r="C463" s="42"/>
      <c r="D463" s="43"/>
      <c r="E463" s="44"/>
      <c r="F463" s="44" t="s">
        <v>599</v>
      </c>
      <c r="G463" s="44" t="s">
        <v>603</v>
      </c>
      <c r="H463" s="44"/>
      <c r="I463" s="45">
        <v>1</v>
      </c>
      <c r="J463" s="45" t="s">
        <v>47</v>
      </c>
      <c r="K463" s="45" t="s">
        <v>218</v>
      </c>
      <c r="L463" s="46">
        <v>1</v>
      </c>
      <c r="M463" s="133"/>
      <c r="N463" s="46"/>
      <c r="O463" s="44"/>
      <c r="P463" s="48"/>
    </row>
    <row r="464" ht="29.1" customHeight="1" spans="1:16">
      <c r="A464" s="40">
        <v>46122</v>
      </c>
      <c r="B464" s="41" t="s">
        <v>535</v>
      </c>
      <c r="C464" s="42"/>
      <c r="D464" s="43"/>
      <c r="E464" s="44"/>
      <c r="F464" s="44" t="s">
        <v>599</v>
      </c>
      <c r="G464" s="44" t="s">
        <v>604</v>
      </c>
      <c r="H464" s="44"/>
      <c r="I464" s="45">
        <v>1</v>
      </c>
      <c r="J464" s="45" t="s">
        <v>47</v>
      </c>
      <c r="K464" s="45" t="s">
        <v>218</v>
      </c>
      <c r="L464" s="46">
        <v>1</v>
      </c>
      <c r="M464" s="133"/>
      <c r="N464" s="46"/>
      <c r="O464" s="44"/>
      <c r="P464" s="48"/>
    </row>
    <row r="465" ht="29.1" customHeight="1" spans="1:16">
      <c r="A465" s="40">
        <v>46122</v>
      </c>
      <c r="B465" s="41" t="s">
        <v>535</v>
      </c>
      <c r="C465" s="42"/>
      <c r="D465" s="43"/>
      <c r="E465" s="44"/>
      <c r="F465" s="44" t="s">
        <v>599</v>
      </c>
      <c r="G465" s="44" t="s">
        <v>605</v>
      </c>
      <c r="H465" s="44"/>
      <c r="I465" s="45">
        <v>1</v>
      </c>
      <c r="J465" s="45" t="s">
        <v>47</v>
      </c>
      <c r="K465" s="45" t="s">
        <v>218</v>
      </c>
      <c r="L465" s="46">
        <v>1</v>
      </c>
      <c r="M465" s="133"/>
      <c r="N465" s="46"/>
      <c r="O465" s="44"/>
      <c r="P465" s="48"/>
    </row>
    <row r="466" ht="29.1" customHeight="1" spans="1:16">
      <c r="A466" s="40">
        <v>46122</v>
      </c>
      <c r="B466" s="41" t="s">
        <v>535</v>
      </c>
      <c r="C466" s="42"/>
      <c r="D466" s="43"/>
      <c r="E466" s="44"/>
      <c r="F466" s="44" t="s">
        <v>599</v>
      </c>
      <c r="G466" s="44" t="s">
        <v>606</v>
      </c>
      <c r="H466" s="44"/>
      <c r="I466" s="45">
        <v>1</v>
      </c>
      <c r="J466" s="45" t="s">
        <v>47</v>
      </c>
      <c r="K466" s="45" t="s">
        <v>218</v>
      </c>
      <c r="L466" s="46">
        <v>1</v>
      </c>
      <c r="M466" s="133"/>
      <c r="N466" s="46"/>
      <c r="O466" s="44"/>
      <c r="P466" s="48"/>
    </row>
    <row r="467" ht="29.1" customHeight="1" spans="1:16">
      <c r="A467" s="40">
        <v>46122</v>
      </c>
      <c r="B467" s="41" t="s">
        <v>535</v>
      </c>
      <c r="C467" s="42"/>
      <c r="D467" s="43"/>
      <c r="E467" s="44"/>
      <c r="F467" s="44" t="s">
        <v>599</v>
      </c>
      <c r="G467" s="44" t="s">
        <v>607</v>
      </c>
      <c r="H467" s="44"/>
      <c r="I467" s="45">
        <v>1</v>
      </c>
      <c r="J467" s="45" t="s">
        <v>47</v>
      </c>
      <c r="K467" s="45" t="s">
        <v>218</v>
      </c>
      <c r="L467" s="46">
        <v>1</v>
      </c>
      <c r="M467" s="133"/>
      <c r="N467" s="46"/>
      <c r="O467" s="44"/>
      <c r="P467" s="48"/>
    </row>
    <row r="468" ht="29.1" customHeight="1" spans="1:16">
      <c r="A468" s="40">
        <v>46122</v>
      </c>
      <c r="B468" s="41" t="s">
        <v>535</v>
      </c>
      <c r="C468" s="42"/>
      <c r="D468" s="43"/>
      <c r="E468" s="44"/>
      <c r="F468" s="44" t="s">
        <v>599</v>
      </c>
      <c r="G468" s="44" t="s">
        <v>608</v>
      </c>
      <c r="H468" s="44"/>
      <c r="I468" s="45">
        <v>1</v>
      </c>
      <c r="J468" s="45" t="s">
        <v>47</v>
      </c>
      <c r="K468" s="45" t="s">
        <v>218</v>
      </c>
      <c r="L468" s="46">
        <v>1</v>
      </c>
      <c r="M468" s="133"/>
      <c r="N468" s="46"/>
      <c r="O468" s="44"/>
      <c r="P468" s="48"/>
    </row>
    <row r="469" ht="29.1" customHeight="1" spans="1:16">
      <c r="A469" s="40">
        <v>46122</v>
      </c>
      <c r="B469" s="41" t="s">
        <v>535</v>
      </c>
      <c r="C469" s="42"/>
      <c r="D469" s="43"/>
      <c r="E469" s="44"/>
      <c r="F469" s="44" t="s">
        <v>599</v>
      </c>
      <c r="G469" s="44" t="s">
        <v>609</v>
      </c>
      <c r="H469" s="44"/>
      <c r="I469" s="45">
        <v>1</v>
      </c>
      <c r="J469" s="45" t="s">
        <v>47</v>
      </c>
      <c r="K469" s="45" t="s">
        <v>218</v>
      </c>
      <c r="L469" s="46">
        <v>1</v>
      </c>
      <c r="M469" s="133"/>
      <c r="N469" s="46"/>
      <c r="O469" s="44"/>
      <c r="P469" s="48"/>
    </row>
    <row r="470" ht="29.1" customHeight="1" spans="1:16">
      <c r="A470" s="40">
        <v>46122</v>
      </c>
      <c r="B470" s="41" t="s">
        <v>535</v>
      </c>
      <c r="C470" s="42"/>
      <c r="D470" s="43"/>
      <c r="E470" s="44"/>
      <c r="F470" s="44" t="s">
        <v>599</v>
      </c>
      <c r="G470" s="44" t="s">
        <v>610</v>
      </c>
      <c r="H470" s="44"/>
      <c r="I470" s="45">
        <v>1</v>
      </c>
      <c r="J470" s="45" t="s">
        <v>47</v>
      </c>
      <c r="K470" s="45" t="s">
        <v>218</v>
      </c>
      <c r="L470" s="46">
        <v>1</v>
      </c>
      <c r="M470" s="133"/>
      <c r="N470" s="46"/>
      <c r="O470" s="44"/>
      <c r="P470" s="48"/>
    </row>
    <row r="471" ht="29.1" customHeight="1" spans="1:16">
      <c r="A471" s="40">
        <v>46122</v>
      </c>
      <c r="B471" s="41" t="s">
        <v>535</v>
      </c>
      <c r="C471" s="42"/>
      <c r="D471" s="43"/>
      <c r="E471" s="44"/>
      <c r="F471" s="44" t="s">
        <v>599</v>
      </c>
      <c r="G471" s="44" t="s">
        <v>611</v>
      </c>
      <c r="H471" s="44"/>
      <c r="I471" s="45">
        <v>1</v>
      </c>
      <c r="J471" s="45" t="s">
        <v>47</v>
      </c>
      <c r="K471" s="45" t="s">
        <v>218</v>
      </c>
      <c r="L471" s="46">
        <v>1</v>
      </c>
      <c r="M471" s="133"/>
      <c r="N471" s="46"/>
      <c r="O471" s="44"/>
      <c r="P471" s="48"/>
    </row>
    <row r="472" ht="29.1" customHeight="1" spans="1:16">
      <c r="A472" s="40">
        <v>46122</v>
      </c>
      <c r="B472" s="41" t="s">
        <v>535</v>
      </c>
      <c r="C472" s="42"/>
      <c r="D472" s="43"/>
      <c r="E472" s="44"/>
      <c r="F472" s="44" t="s">
        <v>599</v>
      </c>
      <c r="G472" s="44" t="s">
        <v>612</v>
      </c>
      <c r="H472" s="44"/>
      <c r="I472" s="45" t="s">
        <v>594</v>
      </c>
      <c r="J472" s="45" t="s">
        <v>32</v>
      </c>
      <c r="K472" s="45" t="s">
        <v>218</v>
      </c>
      <c r="L472" s="46">
        <v>1</v>
      </c>
      <c r="M472" s="133"/>
      <c r="N472" s="46"/>
      <c r="O472" s="44"/>
      <c r="P472" s="48"/>
    </row>
    <row r="473" ht="29.1" customHeight="1" spans="1:16">
      <c r="A473" s="40">
        <v>46122</v>
      </c>
      <c r="B473" s="41" t="s">
        <v>535</v>
      </c>
      <c r="C473" s="42"/>
      <c r="D473" s="43"/>
      <c r="E473" s="44"/>
      <c r="F473" s="44" t="s">
        <v>599</v>
      </c>
      <c r="G473" s="44" t="s">
        <v>613</v>
      </c>
      <c r="H473" s="44"/>
      <c r="I473" s="45">
        <v>1</v>
      </c>
      <c r="J473" s="45" t="s">
        <v>47</v>
      </c>
      <c r="K473" s="45" t="s">
        <v>218</v>
      </c>
      <c r="L473" s="46">
        <v>1</v>
      </c>
      <c r="M473" s="133"/>
      <c r="N473" s="46"/>
      <c r="O473" s="44"/>
      <c r="P473" s="48"/>
    </row>
    <row r="474" ht="29.1" customHeight="1" spans="1:16">
      <c r="A474" s="40">
        <v>46122</v>
      </c>
      <c r="B474" s="41" t="s">
        <v>535</v>
      </c>
      <c r="C474" s="42"/>
      <c r="D474" s="43"/>
      <c r="E474" s="44"/>
      <c r="F474" s="44" t="s">
        <v>599</v>
      </c>
      <c r="G474" s="44" t="s">
        <v>614</v>
      </c>
      <c r="H474" s="44"/>
      <c r="I474" s="45">
        <v>1</v>
      </c>
      <c r="J474" s="45" t="s">
        <v>47</v>
      </c>
      <c r="K474" s="45" t="s">
        <v>218</v>
      </c>
      <c r="L474" s="46">
        <v>1</v>
      </c>
      <c r="M474" s="133"/>
      <c r="N474" s="46"/>
      <c r="O474" s="44"/>
      <c r="P474" s="48"/>
    </row>
    <row r="475" ht="29.1" customHeight="1" spans="1:16">
      <c r="A475" s="40">
        <v>46122</v>
      </c>
      <c r="B475" s="41" t="s">
        <v>535</v>
      </c>
      <c r="C475" s="42"/>
      <c r="D475" s="43"/>
      <c r="E475" s="44"/>
      <c r="F475" s="44" t="s">
        <v>599</v>
      </c>
      <c r="G475" s="44" t="s">
        <v>615</v>
      </c>
      <c r="H475" s="44"/>
      <c r="I475" s="45">
        <v>1</v>
      </c>
      <c r="J475" s="45" t="s">
        <v>47</v>
      </c>
      <c r="K475" s="45" t="s">
        <v>218</v>
      </c>
      <c r="L475" s="46">
        <v>1</v>
      </c>
      <c r="M475" s="133"/>
      <c r="N475" s="46"/>
      <c r="O475" s="44"/>
      <c r="P475" s="48"/>
    </row>
    <row r="476" ht="29.1" customHeight="1" spans="1:16">
      <c r="A476" s="40">
        <v>46122</v>
      </c>
      <c r="B476" s="41" t="s">
        <v>535</v>
      </c>
      <c r="C476" s="42"/>
      <c r="D476" s="43"/>
      <c r="E476" s="44"/>
      <c r="F476" s="44" t="s">
        <v>599</v>
      </c>
      <c r="G476" s="44" t="s">
        <v>616</v>
      </c>
      <c r="H476" s="44"/>
      <c r="I476" s="45">
        <v>1</v>
      </c>
      <c r="J476" s="45" t="s">
        <v>47</v>
      </c>
      <c r="K476" s="45" t="s">
        <v>218</v>
      </c>
      <c r="L476" s="46">
        <v>1</v>
      </c>
      <c r="M476" s="133"/>
      <c r="N476" s="46"/>
      <c r="O476" s="44"/>
      <c r="P476" s="48"/>
    </row>
    <row r="477" ht="29.1" customHeight="1" spans="1:16">
      <c r="A477" s="40">
        <v>46122</v>
      </c>
      <c r="B477" s="41" t="s">
        <v>535</v>
      </c>
      <c r="C477" s="42"/>
      <c r="D477" s="43"/>
      <c r="E477" s="44"/>
      <c r="F477" s="44" t="s">
        <v>617</v>
      </c>
      <c r="G477" s="44" t="s">
        <v>618</v>
      </c>
      <c r="H477" s="44"/>
      <c r="I477" s="45">
        <v>1</v>
      </c>
      <c r="J477" s="45" t="s">
        <v>47</v>
      </c>
      <c r="K477" s="45" t="s">
        <v>218</v>
      </c>
      <c r="L477" s="46">
        <v>1</v>
      </c>
      <c r="M477" s="133"/>
      <c r="N477" s="46"/>
      <c r="O477" s="44"/>
      <c r="P477" s="48"/>
    </row>
    <row r="478" ht="29.1" customHeight="1" spans="1:16">
      <c r="A478" s="40">
        <v>46122</v>
      </c>
      <c r="B478" s="41" t="s">
        <v>535</v>
      </c>
      <c r="C478" s="42"/>
      <c r="D478" s="43"/>
      <c r="E478" s="44"/>
      <c r="F478" s="44" t="s">
        <v>617</v>
      </c>
      <c r="G478" s="44" t="s">
        <v>619</v>
      </c>
      <c r="H478" s="44"/>
      <c r="I478" s="45">
        <v>1</v>
      </c>
      <c r="J478" s="45" t="s">
        <v>47</v>
      </c>
      <c r="K478" s="45" t="s">
        <v>218</v>
      </c>
      <c r="L478" s="46">
        <v>1</v>
      </c>
      <c r="M478" s="133"/>
      <c r="N478" s="46"/>
      <c r="O478" s="44"/>
      <c r="P478" s="48"/>
    </row>
    <row r="479" ht="29.1" customHeight="1" spans="1:16">
      <c r="A479" s="40">
        <v>46122</v>
      </c>
      <c r="B479" s="41" t="s">
        <v>535</v>
      </c>
      <c r="C479" s="42"/>
      <c r="D479" s="43"/>
      <c r="E479" s="44"/>
      <c r="F479" s="44" t="s">
        <v>617</v>
      </c>
      <c r="G479" s="44" t="s">
        <v>620</v>
      </c>
      <c r="H479" s="44"/>
      <c r="I479" s="45">
        <v>1</v>
      </c>
      <c r="J479" s="45" t="s">
        <v>47</v>
      </c>
      <c r="K479" s="45" t="s">
        <v>218</v>
      </c>
      <c r="L479" s="46">
        <v>1</v>
      </c>
      <c r="M479" s="133"/>
      <c r="N479" s="46"/>
      <c r="O479" s="44"/>
      <c r="P479" s="48"/>
    </row>
    <row r="480" ht="29.1" customHeight="1" spans="1:16">
      <c r="A480" s="40">
        <v>46122</v>
      </c>
      <c r="B480" s="41" t="s">
        <v>535</v>
      </c>
      <c r="C480" s="42"/>
      <c r="D480" s="43"/>
      <c r="E480" s="44"/>
      <c r="F480" s="44" t="s">
        <v>617</v>
      </c>
      <c r="G480" s="44" t="s">
        <v>621</v>
      </c>
      <c r="H480" s="44"/>
      <c r="I480" s="45">
        <v>1</v>
      </c>
      <c r="J480" s="45" t="s">
        <v>47</v>
      </c>
      <c r="K480" s="45" t="s">
        <v>218</v>
      </c>
      <c r="L480" s="46">
        <v>1</v>
      </c>
      <c r="M480" s="133"/>
      <c r="N480" s="46"/>
      <c r="O480" s="44"/>
      <c r="P480" s="48"/>
    </row>
    <row r="481" ht="29.1" customHeight="1" spans="1:16">
      <c r="A481" s="40">
        <v>46122</v>
      </c>
      <c r="B481" s="41" t="s">
        <v>535</v>
      </c>
      <c r="C481" s="42"/>
      <c r="D481" s="43"/>
      <c r="E481" s="44"/>
      <c r="F481" s="44" t="s">
        <v>617</v>
      </c>
      <c r="G481" s="44" t="s">
        <v>622</v>
      </c>
      <c r="H481" s="44"/>
      <c r="I481" s="45">
        <v>1</v>
      </c>
      <c r="J481" s="45" t="s">
        <v>47</v>
      </c>
      <c r="K481" s="45" t="s">
        <v>218</v>
      </c>
      <c r="L481" s="46">
        <v>1</v>
      </c>
      <c r="M481" s="133"/>
      <c r="N481" s="46"/>
      <c r="O481" s="44"/>
      <c r="P481" s="48"/>
    </row>
    <row r="482" ht="29.1" customHeight="1" spans="1:16">
      <c r="A482" s="40">
        <v>46122</v>
      </c>
      <c r="B482" s="41" t="s">
        <v>535</v>
      </c>
      <c r="C482" s="42"/>
      <c r="D482" s="43"/>
      <c r="E482" s="44"/>
      <c r="F482" s="44" t="s">
        <v>617</v>
      </c>
      <c r="G482" s="44" t="s">
        <v>623</v>
      </c>
      <c r="H482" s="44"/>
      <c r="I482" s="45">
        <v>1</v>
      </c>
      <c r="J482" s="45" t="s">
        <v>47</v>
      </c>
      <c r="K482" s="45" t="s">
        <v>218</v>
      </c>
      <c r="L482" s="46">
        <v>1</v>
      </c>
      <c r="M482" s="133"/>
      <c r="N482" s="46"/>
      <c r="O482" s="44"/>
      <c r="P482" s="48"/>
    </row>
    <row r="483" ht="29.1" customHeight="1" spans="1:16">
      <c r="A483" s="40">
        <v>46122</v>
      </c>
      <c r="B483" s="41" t="s">
        <v>535</v>
      </c>
      <c r="C483" s="42"/>
      <c r="D483" s="43"/>
      <c r="E483" s="44"/>
      <c r="F483" s="44" t="s">
        <v>617</v>
      </c>
      <c r="G483" s="44" t="s">
        <v>624</v>
      </c>
      <c r="H483" s="44"/>
      <c r="I483" s="45">
        <v>1</v>
      </c>
      <c r="J483" s="45" t="s">
        <v>47</v>
      </c>
      <c r="K483" s="45" t="s">
        <v>218</v>
      </c>
      <c r="L483" s="46">
        <v>1</v>
      </c>
      <c r="M483" s="133"/>
      <c r="N483" s="46"/>
      <c r="O483" s="44"/>
      <c r="P483" s="48"/>
    </row>
    <row r="484" ht="29.1" customHeight="1" spans="1:16">
      <c r="A484" s="40">
        <v>46122</v>
      </c>
      <c r="B484" s="41" t="s">
        <v>535</v>
      </c>
      <c r="C484" s="42"/>
      <c r="D484" s="43"/>
      <c r="E484" s="44"/>
      <c r="F484" s="44" t="s">
        <v>617</v>
      </c>
      <c r="G484" s="44" t="s">
        <v>625</v>
      </c>
      <c r="H484" s="44"/>
      <c r="I484" s="45">
        <v>1</v>
      </c>
      <c r="J484" s="45" t="s">
        <v>47</v>
      </c>
      <c r="K484" s="45" t="s">
        <v>218</v>
      </c>
      <c r="L484" s="46">
        <v>1</v>
      </c>
      <c r="M484" s="133"/>
      <c r="N484" s="46"/>
      <c r="O484" s="44"/>
      <c r="P484" s="48"/>
    </row>
    <row r="485" ht="29.1" customHeight="1" spans="1:16">
      <c r="A485" s="40">
        <v>46122</v>
      </c>
      <c r="B485" s="41" t="s">
        <v>535</v>
      </c>
      <c r="C485" s="42"/>
      <c r="D485" s="43"/>
      <c r="E485" s="44"/>
      <c r="F485" s="44" t="s">
        <v>617</v>
      </c>
      <c r="G485" s="44" t="s">
        <v>626</v>
      </c>
      <c r="H485" s="44"/>
      <c r="I485" s="45">
        <v>1</v>
      </c>
      <c r="J485" s="45" t="s">
        <v>47</v>
      </c>
      <c r="K485" s="45" t="s">
        <v>218</v>
      </c>
      <c r="L485" s="46">
        <v>1</v>
      </c>
      <c r="M485" s="133"/>
      <c r="N485" s="46"/>
      <c r="O485" s="44"/>
      <c r="P485" s="48"/>
    </row>
    <row r="486" ht="29.1" customHeight="1" spans="1:16">
      <c r="A486" s="40">
        <v>46122</v>
      </c>
      <c r="B486" s="41" t="s">
        <v>535</v>
      </c>
      <c r="C486" s="42"/>
      <c r="D486" s="43"/>
      <c r="E486" s="44"/>
      <c r="F486" s="44" t="s">
        <v>617</v>
      </c>
      <c r="G486" s="44" t="s">
        <v>627</v>
      </c>
      <c r="H486" s="44"/>
      <c r="I486" s="45" t="s">
        <v>594</v>
      </c>
      <c r="J486" s="45" t="s">
        <v>32</v>
      </c>
      <c r="K486" s="45" t="s">
        <v>218</v>
      </c>
      <c r="L486" s="46">
        <v>1</v>
      </c>
      <c r="M486" s="133"/>
      <c r="N486" s="46"/>
      <c r="O486" s="44"/>
      <c r="P486" s="48"/>
    </row>
    <row r="487" ht="29.1" customHeight="1" spans="1:16">
      <c r="A487" s="40">
        <v>46122</v>
      </c>
      <c r="B487" s="41" t="s">
        <v>535</v>
      </c>
      <c r="C487" s="42"/>
      <c r="D487" s="43"/>
      <c r="E487" s="44"/>
      <c r="F487" s="44" t="s">
        <v>617</v>
      </c>
      <c r="G487" s="44" t="s">
        <v>628</v>
      </c>
      <c r="H487" s="44"/>
      <c r="I487" s="45">
        <v>1</v>
      </c>
      <c r="J487" s="45" t="s">
        <v>47</v>
      </c>
      <c r="K487" s="45" t="s">
        <v>218</v>
      </c>
      <c r="L487" s="46">
        <v>1</v>
      </c>
      <c r="M487" s="133"/>
      <c r="N487" s="46"/>
      <c r="O487" s="44"/>
      <c r="P487" s="48"/>
    </row>
    <row r="488" ht="29.1" customHeight="1" spans="1:16">
      <c r="A488" s="40">
        <v>46122</v>
      </c>
      <c r="B488" s="41" t="s">
        <v>535</v>
      </c>
      <c r="C488" s="42"/>
      <c r="D488" s="43"/>
      <c r="E488" s="44"/>
      <c r="F488" s="44" t="s">
        <v>617</v>
      </c>
      <c r="G488" s="44" t="s">
        <v>629</v>
      </c>
      <c r="H488" s="44"/>
      <c r="I488" s="45">
        <v>1</v>
      </c>
      <c r="J488" s="45" t="s">
        <v>47</v>
      </c>
      <c r="K488" s="45" t="s">
        <v>218</v>
      </c>
      <c r="L488" s="46">
        <v>1</v>
      </c>
      <c r="M488" s="133"/>
      <c r="N488" s="46"/>
      <c r="O488" s="44"/>
      <c r="P488" s="48"/>
    </row>
    <row r="489" ht="29.1" customHeight="1" spans="1:16">
      <c r="A489" s="40">
        <v>46122</v>
      </c>
      <c r="B489" s="41" t="s">
        <v>535</v>
      </c>
      <c r="C489" s="42"/>
      <c r="D489" s="43"/>
      <c r="E489" s="44"/>
      <c r="F489" s="44" t="s">
        <v>617</v>
      </c>
      <c r="G489" s="44" t="s">
        <v>630</v>
      </c>
      <c r="H489" s="44"/>
      <c r="I489" s="45">
        <v>1</v>
      </c>
      <c r="J489" s="45" t="s">
        <v>47</v>
      </c>
      <c r="K489" s="45" t="s">
        <v>218</v>
      </c>
      <c r="L489" s="46">
        <v>1</v>
      </c>
      <c r="M489" s="133"/>
      <c r="N489" s="46"/>
      <c r="O489" s="44"/>
      <c r="P489" s="48"/>
    </row>
    <row r="490" ht="29.1" customHeight="1" spans="1:16">
      <c r="A490" s="40">
        <v>46122</v>
      </c>
      <c r="B490" s="41" t="s">
        <v>535</v>
      </c>
      <c r="C490" s="42"/>
      <c r="D490" s="43"/>
      <c r="E490" s="44"/>
      <c r="F490" s="44" t="s">
        <v>617</v>
      </c>
      <c r="G490" s="44" t="s">
        <v>631</v>
      </c>
      <c r="H490" s="44"/>
      <c r="I490" s="45">
        <v>1</v>
      </c>
      <c r="J490" s="45" t="s">
        <v>47</v>
      </c>
      <c r="K490" s="45" t="s">
        <v>218</v>
      </c>
      <c r="L490" s="46">
        <v>1</v>
      </c>
      <c r="M490" s="133"/>
      <c r="N490" s="46"/>
      <c r="O490" s="44"/>
      <c r="P490" s="48"/>
    </row>
    <row r="491" ht="29.1" customHeight="1" spans="1:16">
      <c r="A491" s="40">
        <v>46122</v>
      </c>
      <c r="B491" s="41" t="s">
        <v>535</v>
      </c>
      <c r="C491" s="42"/>
      <c r="D491" s="43"/>
      <c r="E491" s="44"/>
      <c r="F491" s="44" t="s">
        <v>632</v>
      </c>
      <c r="G491" s="44" t="s">
        <v>633</v>
      </c>
      <c r="H491" s="44"/>
      <c r="I491" s="45">
        <v>1</v>
      </c>
      <c r="J491" s="45" t="s">
        <v>47</v>
      </c>
      <c r="K491" s="45" t="s">
        <v>218</v>
      </c>
      <c r="L491" s="46">
        <v>1</v>
      </c>
      <c r="M491" s="133"/>
      <c r="N491" s="46"/>
      <c r="O491" s="44"/>
      <c r="P491" s="48"/>
    </row>
    <row r="492" ht="29.1" customHeight="1" spans="1:16">
      <c r="A492" s="40">
        <v>46122</v>
      </c>
      <c r="B492" s="41" t="s">
        <v>535</v>
      </c>
      <c r="C492" s="42"/>
      <c r="D492" s="43"/>
      <c r="E492" s="44"/>
      <c r="F492" s="44" t="s">
        <v>632</v>
      </c>
      <c r="G492" s="44" t="s">
        <v>634</v>
      </c>
      <c r="H492" s="44"/>
      <c r="I492" s="45">
        <v>1</v>
      </c>
      <c r="J492" s="45" t="s">
        <v>47</v>
      </c>
      <c r="K492" s="45" t="s">
        <v>218</v>
      </c>
      <c r="L492" s="46">
        <v>1</v>
      </c>
      <c r="M492" s="133"/>
      <c r="N492" s="46"/>
      <c r="O492" s="44"/>
      <c r="P492" s="48"/>
    </row>
    <row r="493" ht="29.1" customHeight="1" spans="1:16">
      <c r="A493" s="40">
        <v>46122</v>
      </c>
      <c r="B493" s="41" t="s">
        <v>535</v>
      </c>
      <c r="C493" s="42"/>
      <c r="D493" s="43"/>
      <c r="E493" s="44"/>
      <c r="F493" s="44" t="s">
        <v>632</v>
      </c>
      <c r="G493" s="44" t="s">
        <v>635</v>
      </c>
      <c r="H493" s="44"/>
      <c r="I493" s="45">
        <v>1</v>
      </c>
      <c r="J493" s="45" t="s">
        <v>47</v>
      </c>
      <c r="K493" s="45" t="s">
        <v>218</v>
      </c>
      <c r="L493" s="46">
        <v>1</v>
      </c>
      <c r="M493" s="133"/>
      <c r="N493" s="46"/>
      <c r="O493" s="44"/>
      <c r="P493" s="48"/>
    </row>
    <row r="494" ht="29.1" customHeight="1" spans="1:16">
      <c r="A494" s="40">
        <v>46122</v>
      </c>
      <c r="B494" s="41" t="s">
        <v>535</v>
      </c>
      <c r="C494" s="42"/>
      <c r="D494" s="43"/>
      <c r="E494" s="44"/>
      <c r="F494" s="44" t="s">
        <v>632</v>
      </c>
      <c r="G494" s="44" t="s">
        <v>636</v>
      </c>
      <c r="H494" s="44"/>
      <c r="I494" s="45">
        <v>1</v>
      </c>
      <c r="J494" s="45" t="s">
        <v>47</v>
      </c>
      <c r="K494" s="45" t="s">
        <v>218</v>
      </c>
      <c r="L494" s="46">
        <v>1</v>
      </c>
      <c r="M494" s="133"/>
      <c r="N494" s="46"/>
      <c r="O494" s="44" t="s">
        <v>545</v>
      </c>
      <c r="P494" s="48"/>
    </row>
    <row r="495" ht="29.1" customHeight="1" spans="1:16">
      <c r="A495" s="40">
        <v>46122</v>
      </c>
      <c r="B495" s="41" t="s">
        <v>535</v>
      </c>
      <c r="C495" s="42"/>
      <c r="D495" s="43"/>
      <c r="E495" s="44"/>
      <c r="F495" s="44" t="s">
        <v>632</v>
      </c>
      <c r="G495" s="44" t="s">
        <v>637</v>
      </c>
      <c r="H495" s="44"/>
      <c r="I495" s="45">
        <v>1</v>
      </c>
      <c r="J495" s="45" t="s">
        <v>47</v>
      </c>
      <c r="K495" s="45" t="s">
        <v>218</v>
      </c>
      <c r="L495" s="46">
        <v>1</v>
      </c>
      <c r="M495" s="133"/>
      <c r="N495" s="46"/>
      <c r="O495" s="44"/>
      <c r="P495" s="48"/>
    </row>
    <row r="496" ht="29.1" customHeight="1" spans="1:16">
      <c r="A496" s="40">
        <v>46122</v>
      </c>
      <c r="B496" s="41" t="s">
        <v>535</v>
      </c>
      <c r="C496" s="42"/>
      <c r="D496" s="43"/>
      <c r="E496" s="44"/>
      <c r="F496" s="44" t="s">
        <v>632</v>
      </c>
      <c r="G496" s="44" t="s">
        <v>638</v>
      </c>
      <c r="H496" s="44"/>
      <c r="I496" s="45">
        <v>1</v>
      </c>
      <c r="J496" s="45" t="s">
        <v>47</v>
      </c>
      <c r="K496" s="45" t="s">
        <v>218</v>
      </c>
      <c r="L496" s="46">
        <v>1</v>
      </c>
      <c r="M496" s="133"/>
      <c r="N496" s="46"/>
      <c r="O496" s="44"/>
      <c r="P496" s="48"/>
    </row>
    <row r="497" ht="29.1" customHeight="1" spans="1:16">
      <c r="A497" s="40">
        <v>46122</v>
      </c>
      <c r="B497" s="41" t="s">
        <v>535</v>
      </c>
      <c r="C497" s="42"/>
      <c r="D497" s="43"/>
      <c r="E497" s="44"/>
      <c r="F497" s="44" t="s">
        <v>632</v>
      </c>
      <c r="G497" s="44" t="s">
        <v>639</v>
      </c>
      <c r="H497" s="44"/>
      <c r="I497" s="45">
        <v>1</v>
      </c>
      <c r="J497" s="45" t="s">
        <v>47</v>
      </c>
      <c r="K497" s="45" t="s">
        <v>218</v>
      </c>
      <c r="L497" s="46">
        <v>1</v>
      </c>
      <c r="M497" s="133"/>
      <c r="N497" s="46"/>
      <c r="O497" s="44"/>
      <c r="P497" s="48"/>
    </row>
    <row r="498" ht="29.1" customHeight="1" spans="1:16">
      <c r="A498" s="40">
        <v>46122</v>
      </c>
      <c r="B498" s="41" t="s">
        <v>535</v>
      </c>
      <c r="C498" s="42"/>
      <c r="D498" s="43"/>
      <c r="E498" s="44"/>
      <c r="F498" s="44" t="s">
        <v>632</v>
      </c>
      <c r="G498" s="44" t="s">
        <v>640</v>
      </c>
      <c r="H498" s="44"/>
      <c r="I498" s="45">
        <v>1</v>
      </c>
      <c r="J498" s="45" t="s">
        <v>47</v>
      </c>
      <c r="K498" s="45" t="s">
        <v>218</v>
      </c>
      <c r="L498" s="46">
        <v>1</v>
      </c>
      <c r="M498" s="133"/>
      <c r="N498" s="46"/>
      <c r="O498" s="44"/>
      <c r="P498" s="48"/>
    </row>
    <row r="499" ht="29.1" customHeight="1" spans="1:16">
      <c r="A499" s="40">
        <v>46122</v>
      </c>
      <c r="B499" s="41" t="s">
        <v>535</v>
      </c>
      <c r="C499" s="42"/>
      <c r="D499" s="43"/>
      <c r="E499" s="44"/>
      <c r="F499" s="44" t="s">
        <v>632</v>
      </c>
      <c r="G499" s="44" t="s">
        <v>641</v>
      </c>
      <c r="H499" s="44"/>
      <c r="I499" s="45">
        <v>1</v>
      </c>
      <c r="J499" s="45" t="s">
        <v>47</v>
      </c>
      <c r="K499" s="45" t="s">
        <v>218</v>
      </c>
      <c r="L499" s="46">
        <v>1</v>
      </c>
      <c r="M499" s="133"/>
      <c r="N499" s="46"/>
      <c r="O499" s="44"/>
      <c r="P499" s="48"/>
    </row>
    <row r="500" ht="29.1" customHeight="1" spans="1:16">
      <c r="A500" s="40">
        <v>46122</v>
      </c>
      <c r="B500" s="41" t="s">
        <v>535</v>
      </c>
      <c r="C500" s="42"/>
      <c r="D500" s="43"/>
      <c r="E500" s="44"/>
      <c r="F500" s="44" t="s">
        <v>632</v>
      </c>
      <c r="G500" s="44" t="s">
        <v>642</v>
      </c>
      <c r="H500" s="44"/>
      <c r="I500" s="45">
        <v>1</v>
      </c>
      <c r="J500" s="45" t="s">
        <v>47</v>
      </c>
      <c r="K500" s="45" t="s">
        <v>218</v>
      </c>
      <c r="L500" s="46">
        <v>1</v>
      </c>
      <c r="M500" s="133"/>
      <c r="N500" s="46"/>
      <c r="O500" s="44"/>
      <c r="P500" s="48"/>
    </row>
    <row r="501" ht="29.1" customHeight="1" spans="1:16">
      <c r="A501" s="40">
        <v>46122</v>
      </c>
      <c r="B501" s="41" t="s">
        <v>535</v>
      </c>
      <c r="C501" s="42"/>
      <c r="D501" s="43"/>
      <c r="E501" s="44"/>
      <c r="F501" s="44" t="s">
        <v>632</v>
      </c>
      <c r="G501" s="44" t="s">
        <v>643</v>
      </c>
      <c r="H501" s="44"/>
      <c r="I501" s="45">
        <v>1</v>
      </c>
      <c r="J501" s="45" t="s">
        <v>47</v>
      </c>
      <c r="K501" s="45" t="s">
        <v>218</v>
      </c>
      <c r="L501" s="46">
        <v>1</v>
      </c>
      <c r="M501" s="133"/>
      <c r="N501" s="46"/>
      <c r="O501" s="44"/>
      <c r="P501" s="48"/>
    </row>
    <row r="502" ht="29.1" customHeight="1" spans="1:16">
      <c r="A502" s="40">
        <v>46122</v>
      </c>
      <c r="B502" s="41" t="s">
        <v>535</v>
      </c>
      <c r="C502" s="42"/>
      <c r="D502" s="43"/>
      <c r="E502" s="44"/>
      <c r="F502" s="44" t="s">
        <v>632</v>
      </c>
      <c r="G502" s="44" t="s">
        <v>644</v>
      </c>
      <c r="H502" s="44"/>
      <c r="I502" s="45">
        <v>1</v>
      </c>
      <c r="J502" s="45" t="s">
        <v>47</v>
      </c>
      <c r="K502" s="45" t="s">
        <v>218</v>
      </c>
      <c r="L502" s="46">
        <v>1</v>
      </c>
      <c r="M502" s="133"/>
      <c r="N502" s="46"/>
      <c r="O502" s="44"/>
      <c r="P502" s="48"/>
    </row>
    <row r="503" ht="29.1" customHeight="1" spans="1:16">
      <c r="A503" s="40">
        <v>46122</v>
      </c>
      <c r="B503" s="41" t="s">
        <v>535</v>
      </c>
      <c r="C503" s="42"/>
      <c r="D503" s="43"/>
      <c r="E503" s="44"/>
      <c r="F503" s="44" t="s">
        <v>632</v>
      </c>
      <c r="G503" s="44" t="s">
        <v>645</v>
      </c>
      <c r="H503" s="44"/>
      <c r="I503" s="45">
        <v>1</v>
      </c>
      <c r="J503" s="45" t="s">
        <v>47</v>
      </c>
      <c r="K503" s="45" t="s">
        <v>218</v>
      </c>
      <c r="L503" s="46">
        <v>1</v>
      </c>
      <c r="M503" s="133"/>
      <c r="N503" s="46"/>
      <c r="O503" s="44"/>
      <c r="P503" s="48"/>
    </row>
    <row r="504" ht="29.1" customHeight="1" spans="1:16">
      <c r="A504" s="40">
        <v>46122</v>
      </c>
      <c r="B504" s="41" t="s">
        <v>535</v>
      </c>
      <c r="C504" s="42"/>
      <c r="D504" s="43"/>
      <c r="E504" s="44"/>
      <c r="F504" s="44" t="s">
        <v>632</v>
      </c>
      <c r="G504" s="44" t="s">
        <v>646</v>
      </c>
      <c r="H504" s="44"/>
      <c r="I504" s="45">
        <v>1</v>
      </c>
      <c r="J504" s="45" t="s">
        <v>47</v>
      </c>
      <c r="K504" s="45" t="s">
        <v>218</v>
      </c>
      <c r="L504" s="46">
        <v>1</v>
      </c>
      <c r="M504" s="133"/>
      <c r="N504" s="46"/>
      <c r="O504" s="44" t="s">
        <v>545</v>
      </c>
      <c r="P504" s="48"/>
    </row>
    <row r="505" ht="29.1" customHeight="1" spans="1:16">
      <c r="A505" s="40">
        <v>46122</v>
      </c>
      <c r="B505" s="41" t="s">
        <v>535</v>
      </c>
      <c r="C505" s="42"/>
      <c r="D505" s="43"/>
      <c r="E505" s="44"/>
      <c r="F505" s="44" t="s">
        <v>632</v>
      </c>
      <c r="G505" s="44" t="s">
        <v>647</v>
      </c>
      <c r="H505" s="44"/>
      <c r="I505" s="45">
        <v>1</v>
      </c>
      <c r="J505" s="45" t="s">
        <v>47</v>
      </c>
      <c r="K505" s="45" t="s">
        <v>218</v>
      </c>
      <c r="L505" s="46">
        <v>1</v>
      </c>
      <c r="M505" s="133"/>
      <c r="N505" s="46"/>
      <c r="O505" s="44"/>
      <c r="P505" s="48"/>
    </row>
    <row r="506" ht="29.1" customHeight="1" spans="1:16">
      <c r="A506" s="40">
        <v>46122</v>
      </c>
      <c r="B506" s="41" t="s">
        <v>535</v>
      </c>
      <c r="C506" s="42"/>
      <c r="D506" s="43"/>
      <c r="E506" s="44"/>
      <c r="F506" s="44" t="s">
        <v>632</v>
      </c>
      <c r="G506" s="44" t="s">
        <v>648</v>
      </c>
      <c r="H506" s="44"/>
      <c r="I506" s="45">
        <v>1</v>
      </c>
      <c r="J506" s="45" t="s">
        <v>47</v>
      </c>
      <c r="K506" s="45" t="s">
        <v>218</v>
      </c>
      <c r="L506" s="46">
        <v>1</v>
      </c>
      <c r="M506" s="133"/>
      <c r="N506" s="46"/>
      <c r="O506" s="44"/>
      <c r="P506" s="48"/>
    </row>
    <row r="507" ht="29.1" customHeight="1" spans="1:16">
      <c r="A507" s="40">
        <v>46122</v>
      </c>
      <c r="B507" s="41" t="s">
        <v>535</v>
      </c>
      <c r="C507" s="42"/>
      <c r="D507" s="43"/>
      <c r="E507" s="44"/>
      <c r="F507" s="44" t="s">
        <v>632</v>
      </c>
      <c r="G507" s="44" t="s">
        <v>649</v>
      </c>
      <c r="H507" s="44"/>
      <c r="I507" s="45">
        <v>1</v>
      </c>
      <c r="J507" s="45" t="s">
        <v>47</v>
      </c>
      <c r="K507" s="45" t="s">
        <v>218</v>
      </c>
      <c r="L507" s="46">
        <v>1</v>
      </c>
      <c r="M507" s="133"/>
      <c r="N507" s="46"/>
      <c r="O507" s="44"/>
      <c r="P507" s="48"/>
    </row>
    <row r="508" ht="29.1" customHeight="1" spans="1:16">
      <c r="A508" s="40">
        <v>46122</v>
      </c>
      <c r="B508" s="41" t="s">
        <v>535</v>
      </c>
      <c r="C508" s="42"/>
      <c r="D508" s="43"/>
      <c r="E508" s="44"/>
      <c r="F508" s="44" t="s">
        <v>632</v>
      </c>
      <c r="G508" s="44" t="s">
        <v>650</v>
      </c>
      <c r="H508" s="44"/>
      <c r="I508" s="45">
        <v>1</v>
      </c>
      <c r="J508" s="45" t="s">
        <v>47</v>
      </c>
      <c r="K508" s="45" t="s">
        <v>218</v>
      </c>
      <c r="L508" s="46">
        <v>1</v>
      </c>
      <c r="M508" s="133"/>
      <c r="N508" s="46"/>
      <c r="O508" s="44"/>
      <c r="P508" s="48"/>
    </row>
    <row r="509" ht="29.1" customHeight="1" spans="1:16">
      <c r="A509" s="40">
        <v>46122</v>
      </c>
      <c r="B509" s="41" t="s">
        <v>535</v>
      </c>
      <c r="C509" s="42"/>
      <c r="D509" s="43"/>
      <c r="E509" s="44"/>
      <c r="F509" s="44" t="s">
        <v>632</v>
      </c>
      <c r="G509" s="44" t="s">
        <v>651</v>
      </c>
      <c r="H509" s="44"/>
      <c r="I509" s="45">
        <v>1</v>
      </c>
      <c r="J509" s="45" t="s">
        <v>47</v>
      </c>
      <c r="K509" s="45" t="s">
        <v>218</v>
      </c>
      <c r="L509" s="46">
        <v>1</v>
      </c>
      <c r="M509" s="133"/>
      <c r="N509" s="46"/>
      <c r="O509" s="44"/>
      <c r="P509" s="48"/>
    </row>
    <row r="510" ht="29.1" customHeight="1" spans="1:16">
      <c r="A510" s="40">
        <v>46122</v>
      </c>
      <c r="B510" s="41" t="s">
        <v>535</v>
      </c>
      <c r="C510" s="42"/>
      <c r="D510" s="43"/>
      <c r="E510" s="44"/>
      <c r="F510" s="44" t="s">
        <v>632</v>
      </c>
      <c r="G510" s="44" t="s">
        <v>652</v>
      </c>
      <c r="H510" s="44"/>
      <c r="I510" s="45">
        <v>1</v>
      </c>
      <c r="J510" s="45" t="s">
        <v>47</v>
      </c>
      <c r="K510" s="45" t="s">
        <v>218</v>
      </c>
      <c r="L510" s="46">
        <v>1</v>
      </c>
      <c r="M510" s="133"/>
      <c r="N510" s="46"/>
      <c r="O510" s="44"/>
      <c r="P510" s="48"/>
    </row>
    <row r="511" ht="29.1" customHeight="1" spans="1:16">
      <c r="A511" s="40">
        <v>46122</v>
      </c>
      <c r="B511" s="41" t="s">
        <v>535</v>
      </c>
      <c r="C511" s="42"/>
      <c r="D511" s="43"/>
      <c r="E511" s="44"/>
      <c r="F511" s="44" t="s">
        <v>632</v>
      </c>
      <c r="G511" s="44" t="s">
        <v>653</v>
      </c>
      <c r="H511" s="44"/>
      <c r="I511" s="45">
        <v>1</v>
      </c>
      <c r="J511" s="45" t="s">
        <v>47</v>
      </c>
      <c r="K511" s="45" t="s">
        <v>218</v>
      </c>
      <c r="L511" s="46">
        <v>1</v>
      </c>
      <c r="M511" s="133"/>
      <c r="N511" s="46"/>
      <c r="O511" s="44"/>
      <c r="P511" s="48"/>
    </row>
    <row r="512" ht="29.1" customHeight="1" spans="1:16">
      <c r="A512" s="40">
        <v>46122</v>
      </c>
      <c r="B512" s="41" t="s">
        <v>535</v>
      </c>
      <c r="C512" s="42"/>
      <c r="D512" s="43"/>
      <c r="E512" s="44"/>
      <c r="F512" s="44" t="s">
        <v>632</v>
      </c>
      <c r="G512" s="44" t="s">
        <v>654</v>
      </c>
      <c r="H512" s="44"/>
      <c r="I512" s="45">
        <v>1</v>
      </c>
      <c r="J512" s="45" t="s">
        <v>47</v>
      </c>
      <c r="K512" s="45" t="s">
        <v>218</v>
      </c>
      <c r="L512" s="46">
        <v>1</v>
      </c>
      <c r="M512" s="133"/>
      <c r="N512" s="46"/>
      <c r="O512" s="44"/>
      <c r="P512" s="48"/>
    </row>
    <row r="513" ht="29.1" customHeight="1" spans="1:16">
      <c r="A513" s="40">
        <v>46122</v>
      </c>
      <c r="B513" s="41" t="s">
        <v>535</v>
      </c>
      <c r="C513" s="42"/>
      <c r="D513" s="43"/>
      <c r="E513" s="44"/>
      <c r="F513" s="44" t="s">
        <v>632</v>
      </c>
      <c r="G513" s="44" t="s">
        <v>655</v>
      </c>
      <c r="H513" s="44"/>
      <c r="I513" s="45">
        <v>1</v>
      </c>
      <c r="J513" s="45" t="s">
        <v>47</v>
      </c>
      <c r="K513" s="45" t="s">
        <v>218</v>
      </c>
      <c r="L513" s="46">
        <v>1</v>
      </c>
      <c r="M513" s="133"/>
      <c r="N513" s="46"/>
      <c r="O513" s="44"/>
      <c r="P513" s="48"/>
    </row>
    <row r="514" ht="29.1" customHeight="1" spans="1:16">
      <c r="A514" s="40">
        <v>46122</v>
      </c>
      <c r="B514" s="41" t="s">
        <v>535</v>
      </c>
      <c r="C514" s="42"/>
      <c r="D514" s="43"/>
      <c r="E514" s="44"/>
      <c r="F514" s="44" t="s">
        <v>656</v>
      </c>
      <c r="G514" s="44" t="s">
        <v>657</v>
      </c>
      <c r="H514" s="44"/>
      <c r="I514" s="45">
        <v>1</v>
      </c>
      <c r="J514" s="45" t="s">
        <v>47</v>
      </c>
      <c r="K514" s="45" t="s">
        <v>218</v>
      </c>
      <c r="L514" s="46">
        <v>1</v>
      </c>
      <c r="M514" s="133"/>
      <c r="N514" s="46"/>
      <c r="O514" s="44"/>
      <c r="P514" s="48"/>
    </row>
    <row r="515" ht="29.1" customHeight="1" spans="1:16">
      <c r="A515" s="40">
        <v>46122</v>
      </c>
      <c r="B515" s="41" t="s">
        <v>535</v>
      </c>
      <c r="C515" s="42"/>
      <c r="D515" s="43"/>
      <c r="E515" s="44"/>
      <c r="F515" s="44" t="s">
        <v>656</v>
      </c>
      <c r="G515" s="44" t="s">
        <v>658</v>
      </c>
      <c r="H515" s="44"/>
      <c r="I515" s="45">
        <v>1</v>
      </c>
      <c r="J515" s="45" t="s">
        <v>47</v>
      </c>
      <c r="K515" s="45" t="s">
        <v>218</v>
      </c>
      <c r="L515" s="46">
        <v>1</v>
      </c>
      <c r="M515" s="133"/>
      <c r="N515" s="46"/>
      <c r="O515" s="44"/>
      <c r="P515" s="48"/>
    </row>
    <row r="516" ht="29.1" customHeight="1" spans="1:16">
      <c r="A516" s="40">
        <v>46122</v>
      </c>
      <c r="B516" s="41" t="s">
        <v>535</v>
      </c>
      <c r="C516" s="42"/>
      <c r="D516" s="43"/>
      <c r="E516" s="44"/>
      <c r="F516" s="44" t="s">
        <v>656</v>
      </c>
      <c r="G516" s="44" t="s">
        <v>659</v>
      </c>
      <c r="H516" s="44"/>
      <c r="I516" s="45">
        <v>1</v>
      </c>
      <c r="J516" s="45" t="s">
        <v>47</v>
      </c>
      <c r="K516" s="45" t="s">
        <v>218</v>
      </c>
      <c r="L516" s="46">
        <v>1</v>
      </c>
      <c r="M516" s="133"/>
      <c r="N516" s="46"/>
      <c r="O516" s="44"/>
      <c r="P516" s="48"/>
    </row>
    <row r="517" ht="29.1" customHeight="1" spans="1:16">
      <c r="A517" s="40">
        <v>46122</v>
      </c>
      <c r="B517" s="41" t="s">
        <v>535</v>
      </c>
      <c r="C517" s="42"/>
      <c r="D517" s="43"/>
      <c r="E517" s="44"/>
      <c r="F517" s="44" t="s">
        <v>656</v>
      </c>
      <c r="G517" s="44" t="s">
        <v>660</v>
      </c>
      <c r="H517" s="44"/>
      <c r="I517" s="45">
        <v>1</v>
      </c>
      <c r="J517" s="45" t="s">
        <v>47</v>
      </c>
      <c r="K517" s="45" t="s">
        <v>218</v>
      </c>
      <c r="L517" s="46">
        <v>1</v>
      </c>
      <c r="M517" s="133"/>
      <c r="N517" s="46"/>
      <c r="O517" s="44"/>
      <c r="P517" s="48"/>
    </row>
    <row r="518" ht="29.1" customHeight="1" spans="1:16">
      <c r="A518" s="40">
        <v>46122</v>
      </c>
      <c r="B518" s="41" t="s">
        <v>535</v>
      </c>
      <c r="C518" s="42"/>
      <c r="D518" s="43"/>
      <c r="E518" s="44"/>
      <c r="F518" s="44" t="s">
        <v>656</v>
      </c>
      <c r="G518" s="44" t="s">
        <v>661</v>
      </c>
      <c r="H518" s="44"/>
      <c r="I518" s="45">
        <v>1</v>
      </c>
      <c r="J518" s="45" t="s">
        <v>47</v>
      </c>
      <c r="K518" s="45" t="s">
        <v>218</v>
      </c>
      <c r="L518" s="46">
        <v>1</v>
      </c>
      <c r="M518" s="133"/>
      <c r="N518" s="46"/>
      <c r="O518" s="44" t="s">
        <v>662</v>
      </c>
      <c r="P518" s="48"/>
    </row>
    <row r="519" ht="29.1" customHeight="1" spans="1:16">
      <c r="A519" s="40">
        <v>46122</v>
      </c>
      <c r="B519" s="41" t="s">
        <v>535</v>
      </c>
      <c r="C519" s="42"/>
      <c r="D519" s="43"/>
      <c r="E519" s="44"/>
      <c r="F519" s="44" t="s">
        <v>656</v>
      </c>
      <c r="G519" s="44" t="s">
        <v>663</v>
      </c>
      <c r="H519" s="44"/>
      <c r="I519" s="45">
        <v>1</v>
      </c>
      <c r="J519" s="45" t="s">
        <v>47</v>
      </c>
      <c r="K519" s="45" t="s">
        <v>218</v>
      </c>
      <c r="L519" s="46">
        <v>1</v>
      </c>
      <c r="M519" s="133"/>
      <c r="N519" s="46"/>
      <c r="O519" s="44" t="s">
        <v>545</v>
      </c>
      <c r="P519" s="48"/>
    </row>
    <row r="520" ht="29.1" customHeight="1" spans="1:16">
      <c r="A520" s="40">
        <v>46122</v>
      </c>
      <c r="B520" s="41" t="s">
        <v>535</v>
      </c>
      <c r="C520" s="42"/>
      <c r="D520" s="43"/>
      <c r="E520" s="44"/>
      <c r="F520" s="44" t="s">
        <v>656</v>
      </c>
      <c r="G520" s="44" t="s">
        <v>664</v>
      </c>
      <c r="H520" s="44"/>
      <c r="I520" s="45">
        <v>1</v>
      </c>
      <c r="J520" s="45" t="s">
        <v>47</v>
      </c>
      <c r="K520" s="45" t="s">
        <v>218</v>
      </c>
      <c r="L520" s="46">
        <v>1</v>
      </c>
      <c r="M520" s="133"/>
      <c r="N520" s="46"/>
      <c r="O520" s="44"/>
      <c r="P520" s="48"/>
    </row>
    <row r="521" ht="29.1" customHeight="1" spans="1:16">
      <c r="A521" s="40">
        <v>46122</v>
      </c>
      <c r="B521" s="41" t="s">
        <v>535</v>
      </c>
      <c r="C521" s="42"/>
      <c r="D521" s="43"/>
      <c r="E521" s="44"/>
      <c r="F521" s="44" t="s">
        <v>656</v>
      </c>
      <c r="G521" s="44" t="s">
        <v>665</v>
      </c>
      <c r="H521" s="44"/>
      <c r="I521" s="45">
        <v>1</v>
      </c>
      <c r="J521" s="45" t="s">
        <v>47</v>
      </c>
      <c r="K521" s="45" t="s">
        <v>218</v>
      </c>
      <c r="L521" s="46">
        <v>1</v>
      </c>
      <c r="M521" s="133"/>
      <c r="N521" s="46"/>
      <c r="O521" s="44"/>
      <c r="P521" s="48"/>
    </row>
    <row r="522" ht="29.1" customHeight="1" spans="1:16">
      <c r="A522" s="40">
        <v>46122</v>
      </c>
      <c r="B522" s="41" t="s">
        <v>535</v>
      </c>
      <c r="C522" s="42"/>
      <c r="D522" s="43"/>
      <c r="E522" s="44"/>
      <c r="F522" s="44" t="s">
        <v>656</v>
      </c>
      <c r="G522" s="44" t="s">
        <v>666</v>
      </c>
      <c r="H522" s="44"/>
      <c r="I522" s="45">
        <v>24</v>
      </c>
      <c r="J522" s="45" t="s">
        <v>32</v>
      </c>
      <c r="K522" s="45" t="s">
        <v>218</v>
      </c>
      <c r="L522" s="46">
        <v>1</v>
      </c>
      <c r="M522" s="133"/>
      <c r="N522" s="46"/>
      <c r="O522" s="44"/>
      <c r="P522" s="48"/>
    </row>
    <row r="523" ht="29.1" customHeight="1" spans="1:16">
      <c r="A523" s="40">
        <v>46122</v>
      </c>
      <c r="B523" s="41" t="s">
        <v>535</v>
      </c>
      <c r="C523" s="42"/>
      <c r="D523" s="43"/>
      <c r="E523" s="44"/>
      <c r="F523" s="44" t="s">
        <v>656</v>
      </c>
      <c r="G523" s="44" t="s">
        <v>667</v>
      </c>
      <c r="H523" s="44"/>
      <c r="I523" s="45">
        <v>36</v>
      </c>
      <c r="J523" s="45" t="s">
        <v>32</v>
      </c>
      <c r="K523" s="45" t="s">
        <v>218</v>
      </c>
      <c r="L523" s="46">
        <v>1</v>
      </c>
      <c r="M523" s="133"/>
      <c r="N523" s="46"/>
      <c r="O523" s="44"/>
      <c r="P523" s="48"/>
    </row>
    <row r="524" ht="29.1" customHeight="1" spans="1:16">
      <c r="A524" s="40">
        <v>46122</v>
      </c>
      <c r="B524" s="41" t="s">
        <v>535</v>
      </c>
      <c r="C524" s="42"/>
      <c r="D524" s="43"/>
      <c r="E524" s="44"/>
      <c r="F524" s="44" t="s">
        <v>668</v>
      </c>
      <c r="G524" s="44" t="s">
        <v>669</v>
      </c>
      <c r="H524" s="44"/>
      <c r="I524" s="45">
        <v>1</v>
      </c>
      <c r="J524" s="45" t="s">
        <v>47</v>
      </c>
      <c r="K524" s="45" t="s">
        <v>218</v>
      </c>
      <c r="L524" s="46">
        <v>1</v>
      </c>
      <c r="M524" s="133"/>
      <c r="N524" s="46"/>
      <c r="O524" s="44"/>
      <c r="P524" s="48"/>
    </row>
    <row r="525" ht="29.1" customHeight="1" spans="1:16">
      <c r="A525" s="40">
        <v>46122</v>
      </c>
      <c r="B525" s="41" t="s">
        <v>535</v>
      </c>
      <c r="C525" s="42"/>
      <c r="D525" s="43"/>
      <c r="E525" s="44"/>
      <c r="F525" s="44" t="s">
        <v>668</v>
      </c>
      <c r="G525" s="44" t="s">
        <v>670</v>
      </c>
      <c r="H525" s="44"/>
      <c r="I525" s="45">
        <v>1</v>
      </c>
      <c r="J525" s="45" t="s">
        <v>47</v>
      </c>
      <c r="K525" s="45" t="s">
        <v>218</v>
      </c>
      <c r="L525" s="46">
        <v>1</v>
      </c>
      <c r="M525" s="133"/>
      <c r="N525" s="46"/>
      <c r="O525" s="44"/>
      <c r="P525" s="48"/>
    </row>
    <row r="526" ht="29.1" customHeight="1" spans="1:16">
      <c r="A526" s="40">
        <v>46122</v>
      </c>
      <c r="B526" s="41" t="s">
        <v>535</v>
      </c>
      <c r="C526" s="42"/>
      <c r="D526" s="43"/>
      <c r="E526" s="44"/>
      <c r="F526" s="44" t="s">
        <v>668</v>
      </c>
      <c r="G526" s="44" t="s">
        <v>671</v>
      </c>
      <c r="H526" s="44"/>
      <c r="I526" s="45">
        <v>1</v>
      </c>
      <c r="J526" s="45" t="s">
        <v>47</v>
      </c>
      <c r="K526" s="45" t="s">
        <v>218</v>
      </c>
      <c r="L526" s="46">
        <v>1</v>
      </c>
      <c r="M526" s="133"/>
      <c r="N526" s="46"/>
      <c r="O526" s="44"/>
      <c r="P526" s="48"/>
    </row>
    <row r="527" ht="29.1" customHeight="1" spans="1:16">
      <c r="A527" s="40">
        <v>46122</v>
      </c>
      <c r="B527" s="41" t="s">
        <v>535</v>
      </c>
      <c r="C527" s="42"/>
      <c r="D527" s="43"/>
      <c r="E527" s="44"/>
      <c r="F527" s="44" t="s">
        <v>668</v>
      </c>
      <c r="G527" s="44" t="s">
        <v>672</v>
      </c>
      <c r="H527" s="44"/>
      <c r="I527" s="45">
        <v>1</v>
      </c>
      <c r="J527" s="45" t="s">
        <v>47</v>
      </c>
      <c r="K527" s="45" t="s">
        <v>218</v>
      </c>
      <c r="L527" s="46">
        <v>1</v>
      </c>
      <c r="M527" s="133"/>
      <c r="N527" s="46"/>
      <c r="O527" s="44"/>
      <c r="P527" s="48"/>
    </row>
    <row r="528" ht="29.1" customHeight="1" spans="1:16">
      <c r="A528" s="40">
        <v>46122</v>
      </c>
      <c r="B528" s="41" t="s">
        <v>535</v>
      </c>
      <c r="C528" s="42"/>
      <c r="D528" s="43"/>
      <c r="E528" s="44"/>
      <c r="F528" s="44" t="s">
        <v>668</v>
      </c>
      <c r="G528" s="44" t="s">
        <v>673</v>
      </c>
      <c r="H528" s="44"/>
      <c r="I528" s="45">
        <v>1</v>
      </c>
      <c r="J528" s="45" t="s">
        <v>47</v>
      </c>
      <c r="K528" s="45" t="s">
        <v>218</v>
      </c>
      <c r="L528" s="46">
        <v>1</v>
      </c>
      <c r="M528" s="133"/>
      <c r="N528" s="46"/>
      <c r="O528" s="44"/>
      <c r="P528" s="48"/>
    </row>
    <row r="529" ht="29.1" customHeight="1" spans="1:21">
      <c r="A529" s="40">
        <v>46122</v>
      </c>
      <c r="B529" s="41" t="s">
        <v>535</v>
      </c>
      <c r="C529" s="42"/>
      <c r="D529" s="43"/>
      <c r="E529" s="44"/>
      <c r="F529" s="44" t="s">
        <v>668</v>
      </c>
      <c r="G529" s="44" t="s">
        <v>674</v>
      </c>
      <c r="H529" s="44"/>
      <c r="I529" s="45">
        <v>1</v>
      </c>
      <c r="J529" s="45" t="s">
        <v>47</v>
      </c>
      <c r="K529" s="45" t="s">
        <v>218</v>
      </c>
      <c r="L529" s="46">
        <v>1</v>
      </c>
      <c r="M529" s="133"/>
      <c r="N529" s="46"/>
      <c r="O529" s="44"/>
      <c r="P529" s="48"/>
    </row>
    <row r="530" ht="29.1" customHeight="1" spans="1:21">
      <c r="A530" s="40">
        <v>46122</v>
      </c>
      <c r="B530" s="41" t="s">
        <v>535</v>
      </c>
      <c r="C530" s="42"/>
      <c r="D530" s="43"/>
      <c r="E530" s="44"/>
      <c r="F530" s="44" t="s">
        <v>668</v>
      </c>
      <c r="G530" s="44" t="s">
        <v>675</v>
      </c>
      <c r="H530" s="44"/>
      <c r="I530" s="45">
        <v>1</v>
      </c>
      <c r="J530" s="45" t="s">
        <v>47</v>
      </c>
      <c r="K530" s="45" t="s">
        <v>218</v>
      </c>
      <c r="L530" s="46">
        <v>1</v>
      </c>
      <c r="M530" s="134"/>
      <c r="N530" s="46"/>
      <c r="O530" s="44"/>
      <c r="P530" s="48"/>
    </row>
    <row r="531" ht="29.1" customHeight="1" spans="1:21">
      <c r="A531" s="40"/>
      <c r="B531" s="41"/>
      <c r="C531" s="42"/>
      <c r="D531" s="43"/>
      <c r="E531" s="44"/>
      <c r="F531" s="44"/>
      <c r="G531" s="44"/>
      <c r="H531" s="44"/>
      <c r="I531" s="45"/>
      <c r="J531" s="45"/>
      <c r="K531" s="45"/>
      <c r="L531" s="46"/>
      <c r="M531" s="43" t="s">
        <v>676</v>
      </c>
      <c r="N531" s="46"/>
      <c r="O531" s="44"/>
      <c r="P531" s="51"/>
    </row>
    <row r="532" ht="29.1" customHeight="1" spans="1:21">
      <c r="A532" s="40">
        <v>46123</v>
      </c>
      <c r="B532" s="41" t="s">
        <v>54</v>
      </c>
      <c r="C532" s="42" t="s">
        <v>512</v>
      </c>
      <c r="D532" s="43" t="s">
        <v>513</v>
      </c>
      <c r="E532" s="139" t="s">
        <v>514</v>
      </c>
      <c r="F532" s="44">
        <v>28472</v>
      </c>
      <c r="G532" s="44" t="s">
        <v>31</v>
      </c>
      <c r="H532" s="44"/>
      <c r="I532" s="45">
        <f>+L532</f>
        <v>360</v>
      </c>
      <c r="J532" s="45" t="s">
        <v>32</v>
      </c>
      <c r="K532" s="45" t="s">
        <v>33</v>
      </c>
      <c r="L532" s="46">
        <v>360</v>
      </c>
      <c r="M532" s="43">
        <f t="shared" ref="M532:M540" si="49">+U532</f>
        <v>6.6096</v>
      </c>
      <c r="N532" s="46"/>
      <c r="O532" s="44"/>
      <c r="P532" s="47" t="s">
        <v>53</v>
      </c>
      <c r="Q532" s="8">
        <f>VLOOKUP($F532,[1]装箱单!$A:$E,5,0)</f>
        <v>30</v>
      </c>
      <c r="R532" s="8">
        <f>VLOOKUP($F532,[1]装箱单!$A:$F,6,0)</f>
        <v>17</v>
      </c>
      <c r="S532" s="8">
        <f>VLOOKUP($F532,[1]装箱单!$A:$G,7,0)</f>
        <v>36</v>
      </c>
      <c r="T532" s="10">
        <f>VLOOKUP($F532,[1]装箱单!$A:$J,10,0)</f>
        <v>0.01836</v>
      </c>
      <c r="U532" s="11">
        <f t="shared" ref="U532:U540" si="50">+T532*L532</f>
        <v>6.6096</v>
      </c>
    </row>
    <row r="533" ht="29.1" customHeight="1" spans="1:21">
      <c r="A533" s="40">
        <v>46123</v>
      </c>
      <c r="B533" s="41" t="s">
        <v>54</v>
      </c>
      <c r="C533" s="42" t="s">
        <v>677</v>
      </c>
      <c r="D533" s="43" t="s">
        <v>678</v>
      </c>
      <c r="E533" s="139" t="s">
        <v>679</v>
      </c>
      <c r="F533" s="44">
        <v>28472</v>
      </c>
      <c r="G533" s="44" t="s">
        <v>31</v>
      </c>
      <c r="H533" s="44"/>
      <c r="I533" s="45">
        <f>+L533</f>
        <v>600</v>
      </c>
      <c r="J533" s="45" t="s">
        <v>32</v>
      </c>
      <c r="K533" s="45" t="s">
        <v>33</v>
      </c>
      <c r="L533" s="46">
        <v>600</v>
      </c>
      <c r="M533" s="43">
        <f t="shared" si="49"/>
        <v>11.016</v>
      </c>
      <c r="N533" s="46"/>
      <c r="O533" s="44"/>
      <c r="P533" s="48"/>
      <c r="Q533" s="8">
        <f>VLOOKUP($F533,[1]装箱单!$A:$E,5,0)</f>
        <v>30</v>
      </c>
      <c r="R533" s="8">
        <f>VLOOKUP($F533,[1]装箱单!$A:$F,6,0)</f>
        <v>17</v>
      </c>
      <c r="S533" s="8">
        <f>VLOOKUP($F533,[1]装箱单!$A:$G,7,0)</f>
        <v>36</v>
      </c>
      <c r="T533" s="10">
        <f>VLOOKUP($F533,[1]装箱单!$A:$J,10,0)</f>
        <v>0.01836</v>
      </c>
      <c r="U533" s="11">
        <f t="shared" si="50"/>
        <v>11.016</v>
      </c>
    </row>
    <row r="534" ht="29.1" customHeight="1" spans="1:21">
      <c r="A534" s="40">
        <v>46123</v>
      </c>
      <c r="B534" s="41" t="s">
        <v>54</v>
      </c>
      <c r="C534" s="42" t="s">
        <v>680</v>
      </c>
      <c r="D534" s="43" t="s">
        <v>681</v>
      </c>
      <c r="E534" s="139" t="s">
        <v>682</v>
      </c>
      <c r="F534" s="44">
        <v>28472</v>
      </c>
      <c r="G534" s="44" t="s">
        <v>31</v>
      </c>
      <c r="H534" s="44"/>
      <c r="I534" s="45">
        <v>2460</v>
      </c>
      <c r="J534" s="45" t="s">
        <v>32</v>
      </c>
      <c r="K534" s="45" t="s">
        <v>33</v>
      </c>
      <c r="L534" s="46">
        <f>+I534</f>
        <v>2460</v>
      </c>
      <c r="M534" s="43">
        <f t="shared" si="49"/>
        <v>45.1656</v>
      </c>
      <c r="N534" s="46"/>
      <c r="O534" s="44"/>
      <c r="P534" s="48"/>
      <c r="Q534" s="8">
        <f>VLOOKUP($F534,[1]装箱单!$A:$E,5,0)</f>
        <v>30</v>
      </c>
      <c r="R534" s="8">
        <f>VLOOKUP($F534,[1]装箱单!$A:$F,6,0)</f>
        <v>17</v>
      </c>
      <c r="S534" s="8">
        <f>VLOOKUP($F534,[1]装箱单!$A:$G,7,0)</f>
        <v>36</v>
      </c>
      <c r="T534" s="10">
        <f>VLOOKUP($F534,[1]装箱单!$A:$J,10,0)</f>
        <v>0.01836</v>
      </c>
      <c r="U534" s="11">
        <f t="shared" si="50"/>
        <v>45.1656</v>
      </c>
    </row>
    <row r="535" ht="29.1" customHeight="1" spans="1:21">
      <c r="A535" s="40">
        <v>46123</v>
      </c>
      <c r="B535" s="41" t="s">
        <v>54</v>
      </c>
      <c r="C535" s="42" t="s">
        <v>683</v>
      </c>
      <c r="D535" s="43" t="s">
        <v>684</v>
      </c>
      <c r="E535" s="139" t="s">
        <v>685</v>
      </c>
      <c r="F535" s="44">
        <v>28472</v>
      </c>
      <c r="G535" s="44" t="s">
        <v>31</v>
      </c>
      <c r="H535" s="44"/>
      <c r="I535" s="45">
        <v>1740</v>
      </c>
      <c r="J535" s="45" t="s">
        <v>32</v>
      </c>
      <c r="K535" s="45" t="s">
        <v>33</v>
      </c>
      <c r="L535" s="46">
        <f>+I535</f>
        <v>1740</v>
      </c>
      <c r="M535" s="43">
        <f t="shared" si="49"/>
        <v>31.9464</v>
      </c>
      <c r="N535" s="46"/>
      <c r="O535" s="44"/>
      <c r="P535" s="48"/>
      <c r="Q535" s="8">
        <f>VLOOKUP($F535,[1]装箱单!$A:$E,5,0)</f>
        <v>30</v>
      </c>
      <c r="R535" s="8">
        <f>VLOOKUP($F535,[1]装箱单!$A:$F,6,0)</f>
        <v>17</v>
      </c>
      <c r="S535" s="8">
        <f>VLOOKUP($F535,[1]装箱单!$A:$G,7,0)</f>
        <v>36</v>
      </c>
      <c r="T535" s="10">
        <f>VLOOKUP($F535,[1]装箱单!$A:$J,10,0)</f>
        <v>0.01836</v>
      </c>
      <c r="U535" s="11">
        <f t="shared" si="50"/>
        <v>31.9464</v>
      </c>
    </row>
    <row r="536" ht="29.1" customHeight="1" spans="1:21">
      <c r="A536" s="40">
        <v>46123</v>
      </c>
      <c r="B536" s="41" t="s">
        <v>686</v>
      </c>
      <c r="C536" s="42" t="s">
        <v>687</v>
      </c>
      <c r="D536" s="43" t="s">
        <v>688</v>
      </c>
      <c r="E536" s="44" t="s">
        <v>689</v>
      </c>
      <c r="F536" s="44" t="s">
        <v>263</v>
      </c>
      <c r="G536" s="44" t="s">
        <v>31</v>
      </c>
      <c r="H536" s="44"/>
      <c r="I536" s="45">
        <v>7008</v>
      </c>
      <c r="J536" s="45" t="s">
        <v>32</v>
      </c>
      <c r="K536" s="45" t="s">
        <v>33</v>
      </c>
      <c r="L536" s="46">
        <v>146</v>
      </c>
      <c r="M536" s="43">
        <f t="shared" si="49"/>
        <v>2.1588676580625</v>
      </c>
      <c r="N536" s="46" t="s">
        <v>34</v>
      </c>
      <c r="O536" s="44"/>
      <c r="P536" s="48"/>
      <c r="Q536" s="8">
        <f>VLOOKUP($F536,[1]装箱单!$A:$E,5,0)</f>
        <v>34.925</v>
      </c>
      <c r="R536" s="8">
        <f>VLOOKUP($F536,[1]装箱单!$A:$F,6,0)</f>
        <v>22.225</v>
      </c>
      <c r="S536" s="8">
        <f>VLOOKUP($F536,[1]装箱单!$A:$G,7,0)</f>
        <v>19.05</v>
      </c>
      <c r="T536" s="10">
        <f>VLOOKUP($F536,[1]装箱单!$A:$J,10,0)</f>
        <v>0.01478676478125</v>
      </c>
      <c r="U536" s="11">
        <f t="shared" si="50"/>
        <v>2.1588676580625</v>
      </c>
    </row>
    <row r="537" ht="29.1" customHeight="1" spans="1:21">
      <c r="A537" s="40">
        <v>46123</v>
      </c>
      <c r="B537" s="41" t="s">
        <v>686</v>
      </c>
      <c r="C537" s="42" t="s">
        <v>687</v>
      </c>
      <c r="D537" s="43" t="s">
        <v>688</v>
      </c>
      <c r="E537" s="44" t="s">
        <v>689</v>
      </c>
      <c r="F537" s="44" t="s">
        <v>263</v>
      </c>
      <c r="G537" s="44" t="s">
        <v>31</v>
      </c>
      <c r="H537" s="44"/>
      <c r="I537" s="45">
        <v>7008</v>
      </c>
      <c r="J537" s="45" t="s">
        <v>32</v>
      </c>
      <c r="K537" s="45" t="s">
        <v>33</v>
      </c>
      <c r="L537" s="46">
        <v>146</v>
      </c>
      <c r="M537" s="43">
        <f t="shared" si="49"/>
        <v>2.1588676580625</v>
      </c>
      <c r="N537" s="46" t="s">
        <v>34</v>
      </c>
      <c r="O537" s="44"/>
      <c r="P537" s="48"/>
      <c r="Q537" s="8">
        <f>VLOOKUP($F537,[1]装箱单!$A:$E,5,0)</f>
        <v>34.925</v>
      </c>
      <c r="R537" s="8">
        <f>VLOOKUP($F537,[1]装箱单!$A:$F,6,0)</f>
        <v>22.225</v>
      </c>
      <c r="S537" s="8">
        <f>VLOOKUP($F537,[1]装箱单!$A:$G,7,0)</f>
        <v>19.05</v>
      </c>
      <c r="T537" s="10">
        <f>VLOOKUP($F537,[1]装箱单!$A:$J,10,0)</f>
        <v>0.01478676478125</v>
      </c>
      <c r="U537" s="11">
        <f t="shared" si="50"/>
        <v>2.1588676580625</v>
      </c>
    </row>
    <row r="538" ht="29.1" customHeight="1" spans="1:21">
      <c r="A538" s="40">
        <v>46123</v>
      </c>
      <c r="B538" s="41" t="s">
        <v>686</v>
      </c>
      <c r="C538" s="42" t="s">
        <v>687</v>
      </c>
      <c r="D538" s="43" t="s">
        <v>688</v>
      </c>
      <c r="E538" s="44" t="s">
        <v>689</v>
      </c>
      <c r="F538" s="44" t="s">
        <v>255</v>
      </c>
      <c r="G538" s="44" t="s">
        <v>31</v>
      </c>
      <c r="H538" s="44"/>
      <c r="I538" s="45">
        <v>7008</v>
      </c>
      <c r="J538" s="45" t="s">
        <v>32</v>
      </c>
      <c r="K538" s="45" t="s">
        <v>33</v>
      </c>
      <c r="L538" s="46">
        <v>146</v>
      </c>
      <c r="M538" s="43">
        <f t="shared" si="49"/>
        <v>2.1588676580625</v>
      </c>
      <c r="N538" s="46" t="s">
        <v>34</v>
      </c>
      <c r="O538" s="44"/>
      <c r="P538" s="48"/>
      <c r="Q538" s="8">
        <f>VLOOKUP($F538,[1]装箱单!$A:$E,5,0)</f>
        <v>34.925</v>
      </c>
      <c r="R538" s="8">
        <f>VLOOKUP($F538,[1]装箱单!$A:$F,6,0)</f>
        <v>22.225</v>
      </c>
      <c r="S538" s="8">
        <f>VLOOKUP($F538,[1]装箱单!$A:$G,7,0)</f>
        <v>19.05</v>
      </c>
      <c r="T538" s="10">
        <f>VLOOKUP($F538,[1]装箱单!$A:$J,10,0)</f>
        <v>0.01478676478125</v>
      </c>
      <c r="U538" s="11">
        <f t="shared" si="50"/>
        <v>2.1588676580625</v>
      </c>
    </row>
    <row r="539" ht="29.1" customHeight="1" spans="1:21">
      <c r="A539" s="40">
        <v>46123</v>
      </c>
      <c r="B539" s="41" t="s">
        <v>686</v>
      </c>
      <c r="C539" s="42" t="s">
        <v>687</v>
      </c>
      <c r="D539" s="43" t="s">
        <v>688</v>
      </c>
      <c r="E539" s="44" t="s">
        <v>689</v>
      </c>
      <c r="F539" s="44" t="s">
        <v>255</v>
      </c>
      <c r="G539" s="44" t="s">
        <v>31</v>
      </c>
      <c r="H539" s="44"/>
      <c r="I539" s="45">
        <v>7008</v>
      </c>
      <c r="J539" s="45" t="s">
        <v>32</v>
      </c>
      <c r="K539" s="45" t="s">
        <v>33</v>
      </c>
      <c r="L539" s="46">
        <v>146</v>
      </c>
      <c r="M539" s="43">
        <f t="shared" si="49"/>
        <v>2.1588676580625</v>
      </c>
      <c r="N539" s="46" t="s">
        <v>34</v>
      </c>
      <c r="O539" s="44"/>
      <c r="P539" s="48"/>
      <c r="Q539" s="8">
        <f>VLOOKUP($F539,[1]装箱单!$A:$E,5,0)</f>
        <v>34.925</v>
      </c>
      <c r="R539" s="8">
        <f>VLOOKUP($F539,[1]装箱单!$A:$F,6,0)</f>
        <v>22.225</v>
      </c>
      <c r="S539" s="8">
        <f>VLOOKUP($F539,[1]装箱单!$A:$G,7,0)</f>
        <v>19.05</v>
      </c>
      <c r="T539" s="10">
        <f>VLOOKUP($F539,[1]装箱单!$A:$J,10,0)</f>
        <v>0.01478676478125</v>
      </c>
      <c r="U539" s="11">
        <f t="shared" si="50"/>
        <v>2.1588676580625</v>
      </c>
    </row>
    <row r="540" ht="29.1" customHeight="1" spans="1:21">
      <c r="A540" s="40">
        <v>46123</v>
      </c>
      <c r="B540" s="41" t="s">
        <v>146</v>
      </c>
      <c r="C540" s="42" t="s">
        <v>690</v>
      </c>
      <c r="D540" s="43" t="s">
        <v>691</v>
      </c>
      <c r="E540" s="44">
        <v>2557103</v>
      </c>
      <c r="F540" s="44">
        <v>46134</v>
      </c>
      <c r="G540" s="44" t="s">
        <v>31</v>
      </c>
      <c r="H540" s="44"/>
      <c r="I540" s="45">
        <f>+L540*2</f>
        <v>1400</v>
      </c>
      <c r="J540" s="45" t="s">
        <v>32</v>
      </c>
      <c r="K540" s="45" t="s">
        <v>33</v>
      </c>
      <c r="L540" s="46">
        <v>700</v>
      </c>
      <c r="M540" s="43">
        <f t="shared" si="49"/>
        <v>15.6560026224</v>
      </c>
      <c r="N540" s="46"/>
      <c r="O540" s="44"/>
      <c r="P540" s="48"/>
      <c r="Q540" s="8">
        <f>VLOOKUP($F540,[1]装箱单!$A:$E,5,0)</f>
        <v>40.01</v>
      </c>
      <c r="R540" s="8">
        <f>VLOOKUP($F540,[1]装箱单!$A:$F,6,0)</f>
        <v>26.67</v>
      </c>
      <c r="S540" s="8">
        <f>VLOOKUP($F540,[1]装箱单!$A:$G,7,0)</f>
        <v>20.96</v>
      </c>
      <c r="T540" s="10">
        <f>VLOOKUP($F540,[1]装箱单!$A:$J,10,0)</f>
        <v>0.022365718032</v>
      </c>
      <c r="U540" s="11">
        <f t="shared" si="50"/>
        <v>15.6560026224</v>
      </c>
    </row>
    <row r="541" ht="29.1" customHeight="1" spans="1:21">
      <c r="A541" s="40">
        <v>46123</v>
      </c>
      <c r="B541" s="41"/>
      <c r="C541" s="42"/>
      <c r="D541" s="43"/>
      <c r="E541" s="44"/>
      <c r="F541" s="44"/>
      <c r="G541" s="44" t="s">
        <v>692</v>
      </c>
      <c r="H541" s="44"/>
      <c r="I541" s="45">
        <v>1</v>
      </c>
      <c r="J541" s="45" t="s">
        <v>693</v>
      </c>
      <c r="K541" s="45"/>
      <c r="L541" s="46"/>
      <c r="M541" s="43"/>
      <c r="N541" s="46"/>
      <c r="O541" s="44"/>
      <c r="P541" s="48"/>
    </row>
    <row r="542" ht="29.1" customHeight="1" spans="1:21">
      <c r="A542" s="40">
        <v>46123</v>
      </c>
      <c r="B542" s="41"/>
      <c r="C542" s="42"/>
      <c r="D542" s="43"/>
      <c r="E542" s="44"/>
      <c r="F542" s="44"/>
      <c r="G542" s="44" t="s">
        <v>694</v>
      </c>
      <c r="H542" s="44"/>
      <c r="I542" s="45">
        <v>1</v>
      </c>
      <c r="J542" s="45" t="s">
        <v>693</v>
      </c>
      <c r="K542" s="45"/>
      <c r="L542" s="46"/>
      <c r="M542" s="43"/>
      <c r="N542" s="46"/>
      <c r="O542" s="44"/>
      <c r="P542" s="48"/>
    </row>
    <row r="543" ht="29.1" customHeight="1" spans="1:21">
      <c r="A543" s="40"/>
      <c r="B543" s="41"/>
      <c r="C543" s="42"/>
      <c r="D543" s="43"/>
      <c r="E543" s="44"/>
      <c r="F543" s="44"/>
      <c r="G543" s="44"/>
      <c r="H543" s="44"/>
      <c r="I543" s="45"/>
      <c r="J543" s="45"/>
      <c r="K543" s="45"/>
      <c r="L543" s="46"/>
      <c r="M543" s="43">
        <f>SUM(M533:M540)</f>
        <v>112.41947325465</v>
      </c>
      <c r="N543" s="46"/>
      <c r="O543" s="44"/>
      <c r="P543" s="51"/>
    </row>
    <row r="544" ht="29.1" customHeight="1" spans="1:21">
      <c r="A544" s="40">
        <v>46123</v>
      </c>
      <c r="B544" s="41" t="s">
        <v>415</v>
      </c>
      <c r="C544" s="42" t="s">
        <v>695</v>
      </c>
      <c r="D544" s="43"/>
      <c r="E544" s="139" t="s">
        <v>696</v>
      </c>
      <c r="F544" s="44">
        <v>12772</v>
      </c>
      <c r="G544" s="44" t="s">
        <v>697</v>
      </c>
      <c r="H544" s="44">
        <v>2739</v>
      </c>
      <c r="I544" s="45">
        <v>123255</v>
      </c>
      <c r="J544" s="45" t="s">
        <v>32</v>
      </c>
      <c r="K544" s="45" t="s">
        <v>33</v>
      </c>
      <c r="L544" s="44">
        <v>2739</v>
      </c>
      <c r="M544" s="43">
        <v>45</v>
      </c>
      <c r="N544" s="46" t="s">
        <v>34</v>
      </c>
      <c r="O544" s="44"/>
      <c r="P544" s="123" t="s">
        <v>698</v>
      </c>
    </row>
    <row r="545" ht="29.1" customHeight="1" spans="1:21">
      <c r="A545" s="40">
        <v>46126</v>
      </c>
      <c r="B545" s="41" t="s">
        <v>54</v>
      </c>
      <c r="C545" s="42" t="s">
        <v>677</v>
      </c>
      <c r="D545" s="43" t="s">
        <v>678</v>
      </c>
      <c r="E545" s="139" t="s">
        <v>679</v>
      </c>
      <c r="F545" s="44">
        <v>28472</v>
      </c>
      <c r="G545" s="44" t="s">
        <v>31</v>
      </c>
      <c r="H545" s="44"/>
      <c r="I545" s="45">
        <f>+L545</f>
        <v>60</v>
      </c>
      <c r="J545" s="45" t="s">
        <v>32</v>
      </c>
      <c r="K545" s="45" t="s">
        <v>33</v>
      </c>
      <c r="L545" s="46">
        <v>60</v>
      </c>
      <c r="M545" s="43">
        <f>+U545</f>
        <v>1.1016</v>
      </c>
      <c r="N545" s="46" t="s">
        <v>34</v>
      </c>
      <c r="O545" s="44"/>
      <c r="P545" s="47" t="s">
        <v>699</v>
      </c>
      <c r="Q545" s="8">
        <f>VLOOKUP($F545,[1]装箱单!$A:$E,5,0)</f>
        <v>30</v>
      </c>
      <c r="R545" s="8">
        <f>VLOOKUP($F545,[1]装箱单!$A:$F,6,0)</f>
        <v>17</v>
      </c>
      <c r="S545" s="8">
        <f>VLOOKUP($F545,[1]装箱单!$A:$G,7,0)</f>
        <v>36</v>
      </c>
      <c r="T545" s="10">
        <f>VLOOKUP($F545,[1]装箱单!$A:$J,10,0)</f>
        <v>0.01836</v>
      </c>
      <c r="U545" s="11">
        <f>+T545*L545</f>
        <v>1.1016</v>
      </c>
    </row>
    <row r="546" ht="29.1" customHeight="1" spans="1:21">
      <c r="A546" s="40">
        <v>46126</v>
      </c>
      <c r="B546" s="41" t="s">
        <v>104</v>
      </c>
      <c r="C546" s="42" t="s">
        <v>700</v>
      </c>
      <c r="D546" s="43">
        <v>46122</v>
      </c>
      <c r="E546" s="44">
        <v>40559313</v>
      </c>
      <c r="F546" s="44">
        <v>33429</v>
      </c>
      <c r="G546" s="44" t="s">
        <v>31</v>
      </c>
      <c r="H546" s="44"/>
      <c r="I546" s="45">
        <v>7800</v>
      </c>
      <c r="J546" s="45" t="s">
        <v>32</v>
      </c>
      <c r="K546" s="45" t="s">
        <v>33</v>
      </c>
      <c r="L546" s="46">
        <f>+I546/78</f>
        <v>100</v>
      </c>
      <c r="M546" s="43">
        <v>1</v>
      </c>
      <c r="N546" s="46" t="s">
        <v>34</v>
      </c>
      <c r="O546" s="44"/>
      <c r="P546" s="48"/>
    </row>
    <row r="547" ht="29.1" customHeight="1" spans="1:21">
      <c r="A547" s="40">
        <v>46126</v>
      </c>
      <c r="B547" s="41" t="s">
        <v>104</v>
      </c>
      <c r="C547" s="42" t="s">
        <v>701</v>
      </c>
      <c r="D547" s="43">
        <v>46122</v>
      </c>
      <c r="E547" s="44">
        <v>40559602</v>
      </c>
      <c r="F547" s="44">
        <v>33429</v>
      </c>
      <c r="G547" s="44" t="s">
        <v>31</v>
      </c>
      <c r="H547" s="44"/>
      <c r="I547" s="45">
        <v>2574</v>
      </c>
      <c r="J547" s="45" t="s">
        <v>32</v>
      </c>
      <c r="K547" s="45" t="s">
        <v>33</v>
      </c>
      <c r="L547" s="46">
        <f>+I547/78</f>
        <v>33</v>
      </c>
      <c r="M547" s="43">
        <v>0.5</v>
      </c>
      <c r="N547" s="46" t="s">
        <v>34</v>
      </c>
      <c r="O547" s="44"/>
      <c r="P547" s="48"/>
    </row>
    <row r="548" ht="29.1" customHeight="1" spans="1:21">
      <c r="A548" s="40">
        <v>46126</v>
      </c>
      <c r="B548" s="41" t="s">
        <v>104</v>
      </c>
      <c r="C548" s="42" t="s">
        <v>702</v>
      </c>
      <c r="D548" s="43">
        <v>46122</v>
      </c>
      <c r="E548" s="44">
        <v>40559495</v>
      </c>
      <c r="F548" s="44">
        <v>33429</v>
      </c>
      <c r="G548" s="44" t="s">
        <v>31</v>
      </c>
      <c r="H548" s="44"/>
      <c r="I548" s="45">
        <v>2574</v>
      </c>
      <c r="J548" s="45" t="s">
        <v>32</v>
      </c>
      <c r="K548" s="45" t="s">
        <v>33</v>
      </c>
      <c r="L548" s="46">
        <f>+I548/78</f>
        <v>33</v>
      </c>
      <c r="M548" s="43">
        <v>0.5</v>
      </c>
      <c r="N548" s="46" t="s">
        <v>34</v>
      </c>
      <c r="O548" s="44"/>
      <c r="P548" s="48"/>
    </row>
    <row r="549" ht="29.1" customHeight="1" spans="1:21">
      <c r="A549" s="40">
        <v>46126</v>
      </c>
      <c r="B549" s="41" t="s">
        <v>40</v>
      </c>
      <c r="C549" s="42" t="s">
        <v>703</v>
      </c>
      <c r="D549" s="43" t="s">
        <v>704</v>
      </c>
      <c r="E549" s="44" t="s">
        <v>705</v>
      </c>
      <c r="F549" s="44" t="s">
        <v>179</v>
      </c>
      <c r="G549" s="44" t="s">
        <v>31</v>
      </c>
      <c r="H549" s="44"/>
      <c r="I549" s="45">
        <v>12960</v>
      </c>
      <c r="J549" s="45" t="s">
        <v>32</v>
      </c>
      <c r="K549" s="45" t="s">
        <v>33</v>
      </c>
      <c r="L549" s="46">
        <f>+I549/24</f>
        <v>540</v>
      </c>
      <c r="M549" s="43">
        <f t="shared" ref="M549:M556" si="51">+U549</f>
        <v>7.18146</v>
      </c>
      <c r="N549" s="46" t="s">
        <v>34</v>
      </c>
      <c r="O549" s="44"/>
      <c r="P549" s="48"/>
      <c r="Q549" s="8">
        <f>VLOOKUP($F549,[1]装箱单!$A:$E,5,0)</f>
        <v>31</v>
      </c>
      <c r="R549" s="8">
        <f>VLOOKUP($F549,[1]装箱单!$A:$F,6,0)</f>
        <v>22</v>
      </c>
      <c r="S549" s="8">
        <f>VLOOKUP($F549,[1]装箱单!$A:$G,7,0)</f>
        <v>19.5</v>
      </c>
      <c r="T549" s="10">
        <f>VLOOKUP($F549,[1]装箱单!$A:$J,10,0)</f>
        <v>0.013299</v>
      </c>
      <c r="U549" s="11">
        <f t="shared" ref="U549:U556" si="52">+T549*L549</f>
        <v>7.18146</v>
      </c>
    </row>
    <row r="550" ht="29.1" customHeight="1" spans="1:21">
      <c r="A550" s="40">
        <v>46126</v>
      </c>
      <c r="B550" s="41" t="s">
        <v>40</v>
      </c>
      <c r="C550" s="42" t="s">
        <v>706</v>
      </c>
      <c r="D550" s="43" t="s">
        <v>707</v>
      </c>
      <c r="E550" s="44" t="s">
        <v>708</v>
      </c>
      <c r="F550" s="44" t="s">
        <v>179</v>
      </c>
      <c r="G550" s="44" t="s">
        <v>31</v>
      </c>
      <c r="H550" s="44"/>
      <c r="I550" s="45">
        <v>15120</v>
      </c>
      <c r="J550" s="45" t="s">
        <v>32</v>
      </c>
      <c r="K550" s="45" t="s">
        <v>33</v>
      </c>
      <c r="L550" s="46">
        <f>+I550/24</f>
        <v>630</v>
      </c>
      <c r="M550" s="43">
        <f t="shared" si="51"/>
        <v>8.37837</v>
      </c>
      <c r="N550" s="46" t="s">
        <v>34</v>
      </c>
      <c r="O550" s="44"/>
      <c r="P550" s="48"/>
      <c r="Q550" s="8">
        <f>VLOOKUP($F550,[1]装箱单!$A:$E,5,0)</f>
        <v>31</v>
      </c>
      <c r="R550" s="8">
        <f>VLOOKUP($F550,[1]装箱单!$A:$F,6,0)</f>
        <v>22</v>
      </c>
      <c r="S550" s="8">
        <f>VLOOKUP($F550,[1]装箱单!$A:$G,7,0)</f>
        <v>19.5</v>
      </c>
      <c r="T550" s="10">
        <f>VLOOKUP($F550,[1]装箱单!$A:$J,10,0)</f>
        <v>0.013299</v>
      </c>
      <c r="U550" s="11">
        <f t="shared" si="52"/>
        <v>8.37837</v>
      </c>
    </row>
    <row r="551" ht="29.1" customHeight="1" spans="1:21">
      <c r="A551" s="40">
        <v>46126</v>
      </c>
      <c r="B551" s="41" t="s">
        <v>40</v>
      </c>
      <c r="C551" s="42" t="s">
        <v>709</v>
      </c>
      <c r="D551" s="43" t="s">
        <v>710</v>
      </c>
      <c r="E551" s="44" t="s">
        <v>711</v>
      </c>
      <c r="F551" s="44" t="s">
        <v>179</v>
      </c>
      <c r="G551" s="44" t="s">
        <v>31</v>
      </c>
      <c r="H551" s="44"/>
      <c r="I551" s="45">
        <v>8640</v>
      </c>
      <c r="J551" s="45" t="s">
        <v>32</v>
      </c>
      <c r="K551" s="45" t="s">
        <v>33</v>
      </c>
      <c r="L551" s="46">
        <f>+I551/24</f>
        <v>360</v>
      </c>
      <c r="M551" s="43">
        <f t="shared" si="51"/>
        <v>4.78764</v>
      </c>
      <c r="N551" s="46" t="s">
        <v>34</v>
      </c>
      <c r="O551" s="44"/>
      <c r="P551" s="48"/>
      <c r="Q551" s="8">
        <f>VLOOKUP($F551,[1]装箱单!$A:$E,5,0)</f>
        <v>31</v>
      </c>
      <c r="R551" s="8">
        <f>VLOOKUP($F551,[1]装箱单!$A:$F,6,0)</f>
        <v>22</v>
      </c>
      <c r="S551" s="8">
        <f>VLOOKUP($F551,[1]装箱单!$A:$G,7,0)</f>
        <v>19.5</v>
      </c>
      <c r="T551" s="10">
        <f>VLOOKUP($F551,[1]装箱单!$A:$J,10,0)</f>
        <v>0.013299</v>
      </c>
      <c r="U551" s="11">
        <f t="shared" si="52"/>
        <v>4.78764</v>
      </c>
    </row>
    <row r="552" ht="29.1" customHeight="1" spans="1:21">
      <c r="A552" s="40">
        <v>46126</v>
      </c>
      <c r="B552" s="41" t="s">
        <v>40</v>
      </c>
      <c r="C552" s="42" t="s">
        <v>712</v>
      </c>
      <c r="D552" s="43" t="s">
        <v>713</v>
      </c>
      <c r="E552" s="44" t="s">
        <v>714</v>
      </c>
      <c r="F552" s="44" t="s">
        <v>179</v>
      </c>
      <c r="G552" s="44" t="s">
        <v>31</v>
      </c>
      <c r="H552" s="44"/>
      <c r="I552" s="45">
        <v>10800</v>
      </c>
      <c r="J552" s="45" t="s">
        <v>32</v>
      </c>
      <c r="K552" s="45" t="s">
        <v>33</v>
      </c>
      <c r="L552" s="46">
        <f>+I552/24</f>
        <v>450</v>
      </c>
      <c r="M552" s="43">
        <f t="shared" si="51"/>
        <v>5.98455</v>
      </c>
      <c r="N552" s="46" t="s">
        <v>34</v>
      </c>
      <c r="O552" s="44"/>
      <c r="P552" s="48"/>
      <c r="Q552" s="8">
        <f>VLOOKUP($F552,[1]装箱单!$A:$E,5,0)</f>
        <v>31</v>
      </c>
      <c r="R552" s="8">
        <f>VLOOKUP($F552,[1]装箱单!$A:$F,6,0)</f>
        <v>22</v>
      </c>
      <c r="S552" s="8">
        <f>VLOOKUP($F552,[1]装箱单!$A:$G,7,0)</f>
        <v>19.5</v>
      </c>
      <c r="T552" s="10">
        <f>VLOOKUP($F552,[1]装箱单!$A:$J,10,0)</f>
        <v>0.013299</v>
      </c>
      <c r="U552" s="11">
        <f t="shared" si="52"/>
        <v>5.98455</v>
      </c>
    </row>
    <row r="553" ht="29.1" customHeight="1" spans="1:21">
      <c r="A553" s="40">
        <v>46126</v>
      </c>
      <c r="B553" s="41" t="s">
        <v>52</v>
      </c>
      <c r="C553" s="44">
        <v>45425</v>
      </c>
      <c r="D553" s="43" t="s">
        <v>715</v>
      </c>
      <c r="E553" s="44"/>
      <c r="F553" s="44">
        <v>320398</v>
      </c>
      <c r="G553" s="44" t="s">
        <v>31</v>
      </c>
      <c r="H553" s="44"/>
      <c r="I553" s="45">
        <f>+L553*4</f>
        <v>3000</v>
      </c>
      <c r="J553" s="45" t="s">
        <v>47</v>
      </c>
      <c r="K553" s="45" t="s">
        <v>33</v>
      </c>
      <c r="L553" s="45">
        <v>750</v>
      </c>
      <c r="M553" s="43">
        <f t="shared" si="51"/>
        <v>7.7175</v>
      </c>
      <c r="N553" s="46"/>
      <c r="O553" s="44"/>
      <c r="P553" s="48"/>
      <c r="Q553" s="8">
        <f>VLOOKUP($F553,[1]装箱单!$A:$E,5,0)</f>
        <v>24.5</v>
      </c>
      <c r="R553" s="8">
        <f>VLOOKUP($F553,[1]装箱单!$A:$F,6,0)</f>
        <v>21</v>
      </c>
      <c r="S553" s="8">
        <f>VLOOKUP($F553,[1]装箱单!$A:$G,7,0)</f>
        <v>20</v>
      </c>
      <c r="T553" s="10">
        <f>VLOOKUP($F553,[1]装箱单!$A:$J,10,0)</f>
        <v>0.01029</v>
      </c>
      <c r="U553" s="11">
        <f t="shared" si="52"/>
        <v>7.7175</v>
      </c>
    </row>
    <row r="554" ht="29.1" customHeight="1" spans="1:21">
      <c r="A554" s="40">
        <v>46126</v>
      </c>
      <c r="B554" s="41" t="s">
        <v>52</v>
      </c>
      <c r="C554" s="44">
        <v>45425</v>
      </c>
      <c r="D554" s="43" t="s">
        <v>716</v>
      </c>
      <c r="E554" s="44"/>
      <c r="F554" s="44" t="s">
        <v>63</v>
      </c>
      <c r="G554" s="44" t="s">
        <v>31</v>
      </c>
      <c r="H554" s="44"/>
      <c r="I554" s="45">
        <f>+L554*4</f>
        <v>3000</v>
      </c>
      <c r="J554" s="45" t="s">
        <v>32</v>
      </c>
      <c r="K554" s="45" t="s">
        <v>33</v>
      </c>
      <c r="L554" s="45">
        <v>750</v>
      </c>
      <c r="M554" s="43">
        <f t="shared" si="51"/>
        <v>11.41691265</v>
      </c>
      <c r="N554" s="46"/>
      <c r="O554" s="44"/>
      <c r="P554" s="48"/>
      <c r="Q554" s="8">
        <f>VLOOKUP($F554,[1]装箱单!$A:$E,5,0)</f>
        <v>27.94</v>
      </c>
      <c r="R554" s="8">
        <f>VLOOKUP($F554,[1]装箱单!$A:$F,6,0)</f>
        <v>16.51</v>
      </c>
      <c r="S554" s="8">
        <f>VLOOKUP($F554,[1]装箱单!$A:$G,7,0)</f>
        <v>33</v>
      </c>
      <c r="T554" s="10">
        <f>VLOOKUP($F554,[1]装箱单!$A:$J,10,0)</f>
        <v>0.0152225502</v>
      </c>
      <c r="U554" s="11">
        <f t="shared" si="52"/>
        <v>11.41691265</v>
      </c>
    </row>
    <row r="555" ht="29.1" customHeight="1" spans="1:21">
      <c r="A555" s="40">
        <v>46126</v>
      </c>
      <c r="B555" s="41" t="s">
        <v>52</v>
      </c>
      <c r="C555" s="44">
        <v>45293</v>
      </c>
      <c r="D555" s="43" t="s">
        <v>411</v>
      </c>
      <c r="E555" s="44"/>
      <c r="F555" s="44" t="s">
        <v>717</v>
      </c>
      <c r="G555" s="44" t="s">
        <v>31</v>
      </c>
      <c r="H555" s="44"/>
      <c r="I555" s="45">
        <f>+L555*4</f>
        <v>3000</v>
      </c>
      <c r="J555" s="45" t="s">
        <v>32</v>
      </c>
      <c r="K555" s="45" t="s">
        <v>33</v>
      </c>
      <c r="L555" s="45">
        <v>750</v>
      </c>
      <c r="M555" s="43">
        <f t="shared" si="51"/>
        <v>11.41691265</v>
      </c>
      <c r="N555" s="46"/>
      <c r="O555" s="44"/>
      <c r="P555" s="48"/>
      <c r="Q555" s="8">
        <f>VLOOKUP($F555,[1]装箱单!$A:$E,5,0)</f>
        <v>27.94</v>
      </c>
      <c r="R555" s="8">
        <f>VLOOKUP($F555,[1]装箱单!$A:$F,6,0)</f>
        <v>16.51</v>
      </c>
      <c r="S555" s="8">
        <f>VLOOKUP($F555,[1]装箱单!$A:$G,7,0)</f>
        <v>33</v>
      </c>
      <c r="T555" s="10">
        <f>VLOOKUP($F555,[1]装箱单!$A:$J,10,0)</f>
        <v>0.0152225502</v>
      </c>
      <c r="U555" s="11">
        <f t="shared" si="52"/>
        <v>11.41691265</v>
      </c>
    </row>
    <row r="556" ht="29.1" customHeight="1" spans="1:21">
      <c r="A556" s="40">
        <v>46126</v>
      </c>
      <c r="B556" s="41" t="s">
        <v>52</v>
      </c>
      <c r="C556" s="44">
        <v>44875</v>
      </c>
      <c r="D556" s="43" t="s">
        <v>311</v>
      </c>
      <c r="E556" s="44"/>
      <c r="F556" s="44">
        <v>570974</v>
      </c>
      <c r="G556" s="44" t="s">
        <v>31</v>
      </c>
      <c r="H556" s="44"/>
      <c r="I556" s="45">
        <f>+L556</f>
        <v>850</v>
      </c>
      <c r="J556" s="45" t="s">
        <v>32</v>
      </c>
      <c r="K556" s="45" t="s">
        <v>33</v>
      </c>
      <c r="L556" s="45">
        <v>850</v>
      </c>
      <c r="M556" s="43">
        <f t="shared" si="51"/>
        <v>73.035869676</v>
      </c>
      <c r="N556" s="46"/>
      <c r="O556" s="44"/>
      <c r="P556" s="48"/>
      <c r="Q556" s="8">
        <f>VLOOKUP($F556,[1]装箱单!$A:$E,5,0)</f>
        <v>59.05</v>
      </c>
      <c r="R556" s="8">
        <f>VLOOKUP($F556,[1]装箱单!$A:$F,6,0)</f>
        <v>26.04</v>
      </c>
      <c r="S556" s="8">
        <f>VLOOKUP($F556,[1]装箱单!$A:$G,7,0)</f>
        <v>55.88</v>
      </c>
      <c r="T556" s="10">
        <f>VLOOKUP($F556,[1]装箱单!$A:$J,10,0)</f>
        <v>0.08592455256</v>
      </c>
      <c r="U556" s="11">
        <f t="shared" si="52"/>
        <v>73.035869676</v>
      </c>
    </row>
    <row r="557" ht="29.1" customHeight="1" spans="1:21">
      <c r="A557" s="40">
        <v>46126</v>
      </c>
      <c r="B557" s="41"/>
      <c r="C557" s="44"/>
      <c r="D557" s="43"/>
      <c r="E557" s="44"/>
      <c r="F557" s="44"/>
      <c r="G557" s="44" t="s">
        <v>718</v>
      </c>
      <c r="H557" s="44"/>
      <c r="I557" s="45">
        <v>4</v>
      </c>
      <c r="J557" s="45" t="s">
        <v>133</v>
      </c>
      <c r="K557" s="45" t="s">
        <v>218</v>
      </c>
      <c r="L557" s="45">
        <v>1</v>
      </c>
      <c r="M557" s="43"/>
      <c r="N557" s="46"/>
      <c r="O557" s="44"/>
      <c r="P557" s="48"/>
    </row>
    <row r="558" ht="29.1" customHeight="1" spans="1:21">
      <c r="A558" s="40">
        <v>46126</v>
      </c>
      <c r="B558" s="41"/>
      <c r="C558" s="44"/>
      <c r="D558" s="43"/>
      <c r="E558" s="44"/>
      <c r="F558" s="44"/>
      <c r="G558" s="44" t="s">
        <v>719</v>
      </c>
      <c r="H558" s="44"/>
      <c r="I558" s="45">
        <v>2</v>
      </c>
      <c r="J558" s="45" t="s">
        <v>133</v>
      </c>
      <c r="K558" s="45" t="s">
        <v>218</v>
      </c>
      <c r="L558" s="45">
        <v>1</v>
      </c>
      <c r="M558" s="43"/>
      <c r="N558" s="46"/>
      <c r="O558" s="44"/>
      <c r="P558" s="48"/>
    </row>
    <row r="559" ht="29.1" customHeight="1" spans="1:21">
      <c r="A559" s="40">
        <v>46126</v>
      </c>
      <c r="B559" s="41"/>
      <c r="C559" s="44"/>
      <c r="D559" s="43"/>
      <c r="E559" s="44"/>
      <c r="F559" s="44"/>
      <c r="G559" s="44" t="s">
        <v>720</v>
      </c>
      <c r="H559" s="44"/>
      <c r="I559" s="45">
        <v>2</v>
      </c>
      <c r="J559" s="45" t="s">
        <v>133</v>
      </c>
      <c r="K559" s="45" t="s">
        <v>218</v>
      </c>
      <c r="L559" s="45">
        <v>1</v>
      </c>
      <c r="M559" s="43"/>
      <c r="N559" s="46"/>
      <c r="O559" s="44"/>
      <c r="P559" s="48"/>
    </row>
    <row r="560" ht="29.1" customHeight="1" spans="1:21">
      <c r="A560" s="40"/>
      <c r="B560" s="41"/>
      <c r="C560" s="44"/>
      <c r="D560" s="43"/>
      <c r="E560" s="44"/>
      <c r="F560" s="44"/>
      <c r="G560" s="44"/>
      <c r="H560" s="44"/>
      <c r="I560" s="45"/>
      <c r="J560" s="45"/>
      <c r="K560" s="45"/>
      <c r="L560" s="45"/>
      <c r="M560" s="43">
        <f>SUM(M545:M556)</f>
        <v>133.020814976</v>
      </c>
      <c r="N560" s="46"/>
      <c r="O560" s="44"/>
      <c r="P560" s="51"/>
    </row>
    <row r="561" ht="29.1" customHeight="1" spans="1:21">
      <c r="A561" s="40">
        <v>46127</v>
      </c>
      <c r="B561" s="41" t="s">
        <v>40</v>
      </c>
      <c r="C561" s="42" t="s">
        <v>721</v>
      </c>
      <c r="D561" s="43" t="s">
        <v>722</v>
      </c>
      <c r="E561" s="44" t="s">
        <v>723</v>
      </c>
      <c r="F561" s="44" t="s">
        <v>179</v>
      </c>
      <c r="G561" s="44" t="s">
        <v>31</v>
      </c>
      <c r="H561" s="44"/>
      <c r="I561" s="45">
        <f>+L561*24</f>
        <v>34560</v>
      </c>
      <c r="J561" s="45" t="s">
        <v>32</v>
      </c>
      <c r="K561" s="45" t="s">
        <v>33</v>
      </c>
      <c r="L561" s="46">
        <v>1440</v>
      </c>
      <c r="M561" s="43">
        <f>+U561</f>
        <v>19.15056</v>
      </c>
      <c r="N561" s="46" t="s">
        <v>34</v>
      </c>
      <c r="O561" s="44"/>
      <c r="P561" s="47" t="s">
        <v>724</v>
      </c>
      <c r="Q561" s="8">
        <f>VLOOKUP($F561,[1]装箱单!$A:$E,5,0)</f>
        <v>31</v>
      </c>
      <c r="R561" s="8">
        <f>VLOOKUP($F561,[1]装箱单!$A:$F,6,0)</f>
        <v>22</v>
      </c>
      <c r="S561" s="8">
        <f>VLOOKUP($F561,[1]装箱单!$A:$G,7,0)</f>
        <v>19.5</v>
      </c>
      <c r="T561" s="10">
        <f>VLOOKUP($F561,[1]装箱单!$A:$J,10,0)</f>
        <v>0.013299</v>
      </c>
      <c r="U561" s="11">
        <f>+T561*L561</f>
        <v>19.15056</v>
      </c>
    </row>
    <row r="562" ht="29.1" customHeight="1" spans="1:21">
      <c r="A562" s="40">
        <v>46127</v>
      </c>
      <c r="B562" s="41" t="s">
        <v>52</v>
      </c>
      <c r="C562" s="44">
        <v>44875</v>
      </c>
      <c r="D562" s="43" t="s">
        <v>311</v>
      </c>
      <c r="E562" s="44"/>
      <c r="F562" s="44">
        <v>570974</v>
      </c>
      <c r="G562" s="44"/>
      <c r="H562" s="44"/>
      <c r="I562" s="45">
        <f>+L562</f>
        <v>1430</v>
      </c>
      <c r="J562" s="45" t="s">
        <v>32</v>
      </c>
      <c r="K562" s="45" t="s">
        <v>33</v>
      </c>
      <c r="L562" s="45">
        <f>2280-850</f>
        <v>1430</v>
      </c>
      <c r="M562" s="43">
        <f>+U562</f>
        <v>122.8721101608</v>
      </c>
      <c r="N562" s="46"/>
      <c r="O562" s="44"/>
      <c r="P562" s="48"/>
      <c r="Q562" s="8">
        <f>VLOOKUP($F562,[1]装箱单!$A:$E,5,0)</f>
        <v>59.05</v>
      </c>
      <c r="R562" s="8">
        <f>VLOOKUP($F562,[1]装箱单!$A:$F,6,0)</f>
        <v>26.04</v>
      </c>
      <c r="S562" s="8">
        <f>VLOOKUP($F562,[1]装箱单!$A:$G,7,0)</f>
        <v>55.88</v>
      </c>
      <c r="T562" s="10">
        <f>VLOOKUP($F562,[1]装箱单!$A:$J,10,0)</f>
        <v>0.08592455256</v>
      </c>
      <c r="U562" s="11">
        <f>+T562*L562</f>
        <v>122.8721101608</v>
      </c>
    </row>
    <row r="563" ht="29.1" customHeight="1" spans="1:21">
      <c r="A563" s="40"/>
      <c r="B563" s="41"/>
      <c r="C563" s="44"/>
      <c r="D563" s="43"/>
      <c r="E563" s="44"/>
      <c r="F563" s="44"/>
      <c r="G563" s="44"/>
      <c r="H563" s="44"/>
      <c r="I563" s="45"/>
      <c r="J563" s="45"/>
      <c r="K563" s="45"/>
      <c r="L563" s="45"/>
      <c r="M563" s="43">
        <f>SUM(M561:M562)</f>
        <v>142.0226701608</v>
      </c>
      <c r="N563" s="46"/>
      <c r="O563" s="44"/>
      <c r="P563" s="51"/>
    </row>
    <row r="564" ht="29.1" customHeight="1" spans="1:21">
      <c r="A564" s="40">
        <v>46128</v>
      </c>
      <c r="B564" s="41" t="s">
        <v>52</v>
      </c>
      <c r="C564" s="42" t="s">
        <v>725</v>
      </c>
      <c r="D564" s="43" t="s">
        <v>726</v>
      </c>
      <c r="E564" s="44"/>
      <c r="F564" s="44">
        <v>470764</v>
      </c>
      <c r="G564" s="44"/>
      <c r="H564" s="44">
        <v>7000</v>
      </c>
      <c r="I564" s="45">
        <f>+L564</f>
        <v>4099</v>
      </c>
      <c r="J564" s="45" t="s">
        <v>32</v>
      </c>
      <c r="K564" s="45" t="s">
        <v>33</v>
      </c>
      <c r="L564" s="45">
        <v>4099</v>
      </c>
      <c r="M564" s="43">
        <f t="shared" ref="M564:M569" si="53">+U564</f>
        <v>109.836804</v>
      </c>
      <c r="N564" s="46" t="s">
        <v>34</v>
      </c>
      <c r="O564" s="44"/>
      <c r="P564" s="47" t="s">
        <v>727</v>
      </c>
      <c r="Q564" s="8">
        <f>VLOOKUP($F564,[1]装箱单!$A:$E,5,0)</f>
        <v>42</v>
      </c>
      <c r="R564" s="8">
        <f>VLOOKUP($F564,[1]装箱单!$A:$F,6,0)</f>
        <v>22</v>
      </c>
      <c r="S564" s="8">
        <f>VLOOKUP($F564,[1]装箱单!$A:$G,7,0)</f>
        <v>29</v>
      </c>
      <c r="T564" s="10">
        <f>VLOOKUP($F564,[1]装箱单!$A:$J,10,0)</f>
        <v>0.026796</v>
      </c>
      <c r="U564" s="11">
        <f t="shared" ref="U564:U569" si="54">+T564*L564</f>
        <v>109.836804</v>
      </c>
    </row>
    <row r="565" ht="29.1" customHeight="1" spans="1:21">
      <c r="A565" s="40">
        <v>46128</v>
      </c>
      <c r="B565" s="41" t="s">
        <v>40</v>
      </c>
      <c r="C565" s="42" t="s">
        <v>721</v>
      </c>
      <c r="D565" s="43" t="s">
        <v>722</v>
      </c>
      <c r="E565" s="44" t="s">
        <v>723</v>
      </c>
      <c r="F565" s="44" t="s">
        <v>179</v>
      </c>
      <c r="G565" s="44" t="str">
        <f>VLOOKUP(F565,[1]装箱单!$A:$C,3,0)</f>
        <v>搪胶小鸭</v>
      </c>
      <c r="H565" s="44">
        <v>41040</v>
      </c>
      <c r="I565" s="45">
        <f>+L565*24</f>
        <v>6480</v>
      </c>
      <c r="J565" s="45" t="s">
        <v>32</v>
      </c>
      <c r="K565" s="45" t="s">
        <v>33</v>
      </c>
      <c r="L565" s="46">
        <f>1710-1440</f>
        <v>270</v>
      </c>
      <c r="M565" s="43">
        <f t="shared" si="53"/>
        <v>3.59073</v>
      </c>
      <c r="N565" s="46" t="s">
        <v>34</v>
      </c>
      <c r="O565" s="44"/>
      <c r="P565" s="48"/>
      <c r="Q565" s="8">
        <f>VLOOKUP($F565,[1]装箱单!$A:$E,5,0)</f>
        <v>31</v>
      </c>
      <c r="R565" s="8">
        <f>VLOOKUP($F565,[1]装箱单!$A:$F,6,0)</f>
        <v>22</v>
      </c>
      <c r="S565" s="8">
        <f>VLOOKUP($F565,[1]装箱单!$A:$G,7,0)</f>
        <v>19.5</v>
      </c>
      <c r="T565" s="10">
        <f>VLOOKUP($F565,[1]装箱单!$A:$J,10,0)</f>
        <v>0.013299</v>
      </c>
      <c r="U565" s="11">
        <f t="shared" si="54"/>
        <v>3.59073</v>
      </c>
    </row>
    <row r="566" ht="29.1" customHeight="1" spans="1:21">
      <c r="A566" s="40">
        <v>46128</v>
      </c>
      <c r="B566" s="41" t="s">
        <v>40</v>
      </c>
      <c r="C566" s="42" t="s">
        <v>683</v>
      </c>
      <c r="D566" s="43" t="s">
        <v>684</v>
      </c>
      <c r="E566" s="139" t="s">
        <v>685</v>
      </c>
      <c r="F566" s="44">
        <v>28458</v>
      </c>
      <c r="G566" s="44" t="str">
        <f>VLOOKUP(F566,[1]装箱单!$A:$C,3,0)</f>
        <v>五款硅胶手感球</v>
      </c>
      <c r="H566" s="44">
        <v>1584</v>
      </c>
      <c r="I566" s="45">
        <f>+L566*3</f>
        <v>1584</v>
      </c>
      <c r="J566" s="45" t="s">
        <v>47</v>
      </c>
      <c r="K566" s="45" t="s">
        <v>33</v>
      </c>
      <c r="L566" s="46">
        <v>528</v>
      </c>
      <c r="M566" s="43">
        <f t="shared" si="53"/>
        <v>10.998429232032</v>
      </c>
      <c r="N566" s="46" t="s">
        <v>34</v>
      </c>
      <c r="O566" s="44"/>
      <c r="P566" s="48"/>
      <c r="Q566" s="8">
        <f>VLOOKUP($F566,[1]装箱单!$A:$E,5,0)</f>
        <v>26.99</v>
      </c>
      <c r="R566" s="8">
        <f>VLOOKUP($F566,[1]装箱单!$A:$F,6,0)</f>
        <v>27.31</v>
      </c>
      <c r="S566" s="8">
        <f>VLOOKUP($F566,[1]装箱单!$A:$G,7,0)</f>
        <v>28.26</v>
      </c>
      <c r="T566" s="10">
        <f>VLOOKUP($F566,[1]装箱单!$A:$J,10,0)</f>
        <v>0.020830358394</v>
      </c>
      <c r="U566" s="11">
        <f t="shared" si="54"/>
        <v>10.998429232032</v>
      </c>
    </row>
    <row r="567" ht="29.1" customHeight="1" spans="1:21">
      <c r="A567" s="40">
        <v>46128</v>
      </c>
      <c r="B567" s="41" t="s">
        <v>40</v>
      </c>
      <c r="C567" s="42" t="s">
        <v>512</v>
      </c>
      <c r="D567" s="43" t="s">
        <v>513</v>
      </c>
      <c r="E567" s="139" t="s">
        <v>514</v>
      </c>
      <c r="F567" s="44">
        <v>28458</v>
      </c>
      <c r="G567" s="44" t="str">
        <f>VLOOKUP(F567,[1]装箱单!$A:$C,3,0)</f>
        <v>五款硅胶手感球</v>
      </c>
      <c r="H567" s="44">
        <v>1440</v>
      </c>
      <c r="I567" s="45">
        <f>+L567*3</f>
        <v>1440</v>
      </c>
      <c r="J567" s="45" t="s">
        <v>47</v>
      </c>
      <c r="K567" s="45" t="s">
        <v>33</v>
      </c>
      <c r="L567" s="46">
        <v>480</v>
      </c>
      <c r="M567" s="43">
        <f t="shared" si="53"/>
        <v>9.99857202912</v>
      </c>
      <c r="N567" s="46" t="s">
        <v>34</v>
      </c>
      <c r="O567" s="44"/>
      <c r="P567" s="48"/>
      <c r="Q567" s="8">
        <f>VLOOKUP($F567,[1]装箱单!$A:$E,5,0)</f>
        <v>26.99</v>
      </c>
      <c r="R567" s="8">
        <f>VLOOKUP($F567,[1]装箱单!$A:$F,6,0)</f>
        <v>27.31</v>
      </c>
      <c r="S567" s="8">
        <f>VLOOKUP($F567,[1]装箱单!$A:$G,7,0)</f>
        <v>28.26</v>
      </c>
      <c r="T567" s="10">
        <f>VLOOKUP($F567,[1]装箱单!$A:$J,10,0)</f>
        <v>0.020830358394</v>
      </c>
      <c r="U567" s="11">
        <f t="shared" si="54"/>
        <v>9.99857202912</v>
      </c>
    </row>
    <row r="568" ht="29.1" customHeight="1" spans="1:21">
      <c r="A568" s="40">
        <v>46128</v>
      </c>
      <c r="B568" s="41" t="s">
        <v>40</v>
      </c>
      <c r="C568" s="42" t="s">
        <v>526</v>
      </c>
      <c r="D568" s="43" t="s">
        <v>527</v>
      </c>
      <c r="E568" s="139" t="s">
        <v>528</v>
      </c>
      <c r="F568" s="44">
        <v>28458</v>
      </c>
      <c r="G568" s="44" t="str">
        <f>VLOOKUP(F568,[1]装箱单!$A:$C,3,0)</f>
        <v>五款硅胶手感球</v>
      </c>
      <c r="H568" s="44">
        <v>1434</v>
      </c>
      <c r="I568" s="45">
        <f>+L568*3</f>
        <v>1434</v>
      </c>
      <c r="J568" s="45" t="s">
        <v>32</v>
      </c>
      <c r="K568" s="45" t="s">
        <v>33</v>
      </c>
      <c r="L568" s="46">
        <v>478</v>
      </c>
      <c r="M568" s="43">
        <f t="shared" si="53"/>
        <v>9.956911312332</v>
      </c>
      <c r="N568" s="46" t="s">
        <v>34</v>
      </c>
      <c r="O568" s="44"/>
      <c r="P568" s="48"/>
      <c r="Q568" s="8">
        <f>VLOOKUP($F568,[1]装箱单!$A:$E,5,0)</f>
        <v>26.99</v>
      </c>
      <c r="R568" s="8">
        <f>VLOOKUP($F568,[1]装箱单!$A:$F,6,0)</f>
        <v>27.31</v>
      </c>
      <c r="S568" s="8">
        <f>VLOOKUP($F568,[1]装箱单!$A:$G,7,0)</f>
        <v>28.26</v>
      </c>
      <c r="T568" s="10">
        <f>VLOOKUP($F568,[1]装箱单!$A:$J,10,0)</f>
        <v>0.020830358394</v>
      </c>
      <c r="U568" s="11">
        <f t="shared" si="54"/>
        <v>9.956911312332</v>
      </c>
    </row>
    <row r="569" ht="29.1" customHeight="1" spans="1:21">
      <c r="A569" s="40">
        <v>46128</v>
      </c>
      <c r="B569" s="41" t="s">
        <v>40</v>
      </c>
      <c r="C569" s="42" t="s">
        <v>680</v>
      </c>
      <c r="D569" s="43" t="s">
        <v>681</v>
      </c>
      <c r="E569" s="139" t="s">
        <v>682</v>
      </c>
      <c r="F569" s="44">
        <v>28458</v>
      </c>
      <c r="G569" s="44" t="str">
        <f>VLOOKUP(F569,[1]装箱单!$A:$C,3,0)</f>
        <v>五款硅胶手感球</v>
      </c>
      <c r="H569" s="44">
        <v>1728</v>
      </c>
      <c r="I569" s="45">
        <f>+L569*3</f>
        <v>1728</v>
      </c>
      <c r="J569" s="45" t="s">
        <v>47</v>
      </c>
      <c r="K569" s="45" t="s">
        <v>33</v>
      </c>
      <c r="L569" s="46">
        <v>576</v>
      </c>
      <c r="M569" s="43">
        <f t="shared" si="53"/>
        <v>11.998286434944</v>
      </c>
      <c r="N569" s="46" t="s">
        <v>34</v>
      </c>
      <c r="O569" s="44"/>
      <c r="P569" s="48"/>
      <c r="Q569" s="8">
        <f>VLOOKUP($F569,[1]装箱单!$A:$E,5,0)</f>
        <v>26.99</v>
      </c>
      <c r="R569" s="8">
        <f>VLOOKUP($F569,[1]装箱单!$A:$F,6,0)</f>
        <v>27.31</v>
      </c>
      <c r="S569" s="8">
        <f>VLOOKUP($F569,[1]装箱单!$A:$G,7,0)</f>
        <v>28.26</v>
      </c>
      <c r="T569" s="10">
        <f>VLOOKUP($F569,[1]装箱单!$A:$J,10,0)</f>
        <v>0.020830358394</v>
      </c>
      <c r="U569" s="11">
        <f t="shared" si="54"/>
        <v>11.998286434944</v>
      </c>
    </row>
    <row r="570" ht="29.1" customHeight="1" spans="1:21">
      <c r="A570" s="40"/>
      <c r="B570" s="41"/>
      <c r="C570" s="42"/>
      <c r="D570" s="43"/>
      <c r="E570" s="44"/>
      <c r="F570" s="44"/>
      <c r="G570" s="44"/>
      <c r="H570" s="44"/>
      <c r="I570" s="45"/>
      <c r="J570" s="45"/>
      <c r="K570" s="45"/>
      <c r="L570" s="46"/>
      <c r="M570" s="43">
        <f>SUM(M564:M569)</f>
        <v>156.379733008428</v>
      </c>
      <c r="N570" s="46"/>
      <c r="O570" s="44"/>
      <c r="P570" s="51"/>
    </row>
    <row r="571" ht="29.1" customHeight="1" spans="1:21">
      <c r="A571" s="40">
        <v>46129</v>
      </c>
      <c r="B571" s="41" t="s">
        <v>77</v>
      </c>
      <c r="C571" s="42" t="s">
        <v>728</v>
      </c>
      <c r="D571" s="43" t="s">
        <v>729</v>
      </c>
      <c r="E571" s="44" t="s">
        <v>730</v>
      </c>
      <c r="F571" s="44" t="s">
        <v>45</v>
      </c>
      <c r="G571" s="44" t="str">
        <f>VLOOKUP(F571,[1]装箱单!$A:$C,3,0)</f>
        <v>鸭子</v>
      </c>
      <c r="H571" s="44">
        <v>9954</v>
      </c>
      <c r="I571" s="45">
        <v>9954</v>
      </c>
      <c r="J571" s="45" t="s">
        <v>32</v>
      </c>
      <c r="K571" s="45" t="s">
        <v>33</v>
      </c>
      <c r="L571" s="46">
        <f t="shared" ref="L571:L577" si="55">+I571/18</f>
        <v>553</v>
      </c>
      <c r="M571" s="43">
        <f t="shared" ref="M571:M583" si="56">+U571</f>
        <v>3.2035359719475</v>
      </c>
      <c r="N571" s="46"/>
      <c r="O571" s="44" t="s">
        <v>731</v>
      </c>
      <c r="P571" s="47" t="s">
        <v>137</v>
      </c>
      <c r="Q571" s="8">
        <f>VLOOKUP($F571,[1]装箱单!$A:$E,5,0)</f>
        <v>32.385</v>
      </c>
      <c r="R571" s="8">
        <f>VLOOKUP($F571,[1]装箱单!$A:$F,6,0)</f>
        <v>18.78</v>
      </c>
      <c r="S571" s="8">
        <f>VLOOKUP($F571,[1]装箱单!$A:$G,7,0)</f>
        <v>9.525</v>
      </c>
      <c r="T571" s="10">
        <f>VLOOKUP($F571,[1]装箱单!$A:$J,10,0)</f>
        <v>0.0057930126075</v>
      </c>
      <c r="U571" s="11">
        <f t="shared" ref="U571:U583" si="57">+T571*L571</f>
        <v>3.2035359719475</v>
      </c>
    </row>
    <row r="572" ht="29.1" customHeight="1" spans="1:21">
      <c r="A572" s="40">
        <v>46129</v>
      </c>
      <c r="B572" s="41" t="s">
        <v>77</v>
      </c>
      <c r="C572" s="42" t="s">
        <v>728</v>
      </c>
      <c r="D572" s="43" t="s">
        <v>729</v>
      </c>
      <c r="E572" s="44" t="s">
        <v>730</v>
      </c>
      <c r="F572" s="44" t="s">
        <v>45</v>
      </c>
      <c r="G572" s="44" t="str">
        <f>VLOOKUP(F572,[1]装箱单!$A:$C,3,0)</f>
        <v>鸭子</v>
      </c>
      <c r="H572" s="44">
        <v>12456</v>
      </c>
      <c r="I572" s="45">
        <v>12456</v>
      </c>
      <c r="J572" s="45" t="s">
        <v>32</v>
      </c>
      <c r="K572" s="45" t="s">
        <v>33</v>
      </c>
      <c r="L572" s="46">
        <f t="shared" si="55"/>
        <v>692</v>
      </c>
      <c r="M572" s="43">
        <f t="shared" si="56"/>
        <v>4.00876472439</v>
      </c>
      <c r="N572" s="46"/>
      <c r="O572" s="44" t="s">
        <v>732</v>
      </c>
      <c r="P572" s="48"/>
      <c r="Q572" s="8">
        <f>VLOOKUP($F572,[1]装箱单!$A:$E,5,0)</f>
        <v>32.385</v>
      </c>
      <c r="R572" s="8">
        <f>VLOOKUP($F572,[1]装箱单!$A:$F,6,0)</f>
        <v>18.78</v>
      </c>
      <c r="S572" s="8">
        <f>VLOOKUP($F572,[1]装箱单!$A:$G,7,0)</f>
        <v>9.525</v>
      </c>
      <c r="T572" s="10">
        <f>VLOOKUP($F572,[1]装箱单!$A:$J,10,0)</f>
        <v>0.0057930126075</v>
      </c>
      <c r="U572" s="11">
        <f t="shared" si="57"/>
        <v>4.00876472439</v>
      </c>
    </row>
    <row r="573" ht="29.1" customHeight="1" spans="1:21">
      <c r="A573" s="40">
        <v>46129</v>
      </c>
      <c r="B573" s="41" t="s">
        <v>77</v>
      </c>
      <c r="C573" s="42" t="s">
        <v>728</v>
      </c>
      <c r="D573" s="43" t="s">
        <v>729</v>
      </c>
      <c r="E573" s="44" t="s">
        <v>730</v>
      </c>
      <c r="F573" s="44" t="s">
        <v>45</v>
      </c>
      <c r="G573" s="44" t="str">
        <f>VLOOKUP(F573,[1]装箱单!$A:$C,3,0)</f>
        <v>鸭子</v>
      </c>
      <c r="H573" s="44">
        <v>8712</v>
      </c>
      <c r="I573" s="45">
        <v>8712</v>
      </c>
      <c r="J573" s="45" t="s">
        <v>32</v>
      </c>
      <c r="K573" s="45" t="s">
        <v>33</v>
      </c>
      <c r="L573" s="46">
        <f t="shared" si="55"/>
        <v>484</v>
      </c>
      <c r="M573" s="43">
        <f t="shared" si="56"/>
        <v>2.80381810203</v>
      </c>
      <c r="N573" s="46"/>
      <c r="O573" s="44" t="s">
        <v>733</v>
      </c>
      <c r="P573" s="48"/>
      <c r="Q573" s="8">
        <f>VLOOKUP($F573,[1]装箱单!$A:$E,5,0)</f>
        <v>32.385</v>
      </c>
      <c r="R573" s="8">
        <f>VLOOKUP($F573,[1]装箱单!$A:$F,6,0)</f>
        <v>18.78</v>
      </c>
      <c r="S573" s="8">
        <f>VLOOKUP($F573,[1]装箱单!$A:$G,7,0)</f>
        <v>9.525</v>
      </c>
      <c r="T573" s="10">
        <f>VLOOKUP($F573,[1]装箱单!$A:$J,10,0)</f>
        <v>0.0057930126075</v>
      </c>
      <c r="U573" s="11">
        <f t="shared" si="57"/>
        <v>2.80381810203</v>
      </c>
    </row>
    <row r="574" ht="29.1" customHeight="1" spans="1:21">
      <c r="A574" s="40">
        <v>46129</v>
      </c>
      <c r="B574" s="41" t="s">
        <v>77</v>
      </c>
      <c r="C574" s="42" t="s">
        <v>728</v>
      </c>
      <c r="D574" s="43" t="s">
        <v>729</v>
      </c>
      <c r="E574" s="44" t="s">
        <v>730</v>
      </c>
      <c r="F574" s="44" t="s">
        <v>45</v>
      </c>
      <c r="G574" s="44" t="str">
        <f>VLOOKUP(F574,[1]装箱单!$A:$C,3,0)</f>
        <v>鸭子</v>
      </c>
      <c r="H574" s="44">
        <v>7488</v>
      </c>
      <c r="I574" s="45">
        <v>7488</v>
      </c>
      <c r="J574" s="45" t="s">
        <v>32</v>
      </c>
      <c r="K574" s="45" t="s">
        <v>33</v>
      </c>
      <c r="L574" s="46">
        <f t="shared" si="55"/>
        <v>416</v>
      </c>
      <c r="M574" s="43">
        <f t="shared" si="56"/>
        <v>2.40989324472</v>
      </c>
      <c r="N574" s="46"/>
      <c r="O574" s="44" t="s">
        <v>734</v>
      </c>
      <c r="P574" s="48"/>
      <c r="Q574" s="8">
        <f>VLOOKUP($F574,[1]装箱单!$A:$E,5,0)</f>
        <v>32.385</v>
      </c>
      <c r="R574" s="8">
        <f>VLOOKUP($F574,[1]装箱单!$A:$F,6,0)</f>
        <v>18.78</v>
      </c>
      <c r="S574" s="8">
        <f>VLOOKUP($F574,[1]装箱单!$A:$G,7,0)</f>
        <v>9.525</v>
      </c>
      <c r="T574" s="10">
        <f>VLOOKUP($F574,[1]装箱单!$A:$J,10,0)</f>
        <v>0.0057930126075</v>
      </c>
      <c r="U574" s="11">
        <f t="shared" si="57"/>
        <v>2.40989324472</v>
      </c>
    </row>
    <row r="575" ht="29.1" customHeight="1" spans="1:21">
      <c r="A575" s="40">
        <v>46129</v>
      </c>
      <c r="B575" s="41" t="s">
        <v>77</v>
      </c>
      <c r="C575" s="42" t="s">
        <v>728</v>
      </c>
      <c r="D575" s="43" t="s">
        <v>729</v>
      </c>
      <c r="E575" s="44" t="s">
        <v>730</v>
      </c>
      <c r="F575" s="44" t="s">
        <v>45</v>
      </c>
      <c r="G575" s="44" t="str">
        <f>VLOOKUP(F575,[1]装箱单!$A:$C,3,0)</f>
        <v>鸭子</v>
      </c>
      <c r="H575" s="44">
        <v>11214</v>
      </c>
      <c r="I575" s="45">
        <v>11214</v>
      </c>
      <c r="J575" s="45" t="s">
        <v>32</v>
      </c>
      <c r="K575" s="45" t="s">
        <v>33</v>
      </c>
      <c r="L575" s="46">
        <f t="shared" si="55"/>
        <v>623</v>
      </c>
      <c r="M575" s="43">
        <f t="shared" si="56"/>
        <v>3.6090468544725</v>
      </c>
      <c r="N575" s="46"/>
      <c r="O575" s="44" t="s">
        <v>735</v>
      </c>
      <c r="P575" s="48"/>
      <c r="Q575" s="8">
        <f>VLOOKUP($F575,[1]装箱单!$A:$E,5,0)</f>
        <v>32.385</v>
      </c>
      <c r="R575" s="8">
        <f>VLOOKUP($F575,[1]装箱单!$A:$F,6,0)</f>
        <v>18.78</v>
      </c>
      <c r="S575" s="8">
        <f>VLOOKUP($F575,[1]装箱单!$A:$G,7,0)</f>
        <v>9.525</v>
      </c>
      <c r="T575" s="10">
        <f>VLOOKUP($F575,[1]装箱单!$A:$J,10,0)</f>
        <v>0.0057930126075</v>
      </c>
      <c r="U575" s="11">
        <f t="shared" si="57"/>
        <v>3.6090468544725</v>
      </c>
    </row>
    <row r="576" ht="29.1" customHeight="1" spans="1:21">
      <c r="A576" s="40">
        <v>46129</v>
      </c>
      <c r="B576" s="41" t="s">
        <v>77</v>
      </c>
      <c r="C576" s="42" t="s">
        <v>728</v>
      </c>
      <c r="D576" s="43" t="s">
        <v>729</v>
      </c>
      <c r="E576" s="44" t="s">
        <v>730</v>
      </c>
      <c r="F576" s="44" t="s">
        <v>45</v>
      </c>
      <c r="G576" s="44" t="str">
        <f>VLOOKUP(F576,[1]装箱单!$A:$C,3,0)</f>
        <v>鸭子</v>
      </c>
      <c r="H576" s="44">
        <v>7488</v>
      </c>
      <c r="I576" s="45">
        <v>7488</v>
      </c>
      <c r="J576" s="45" t="s">
        <v>32</v>
      </c>
      <c r="K576" s="45" t="s">
        <v>33</v>
      </c>
      <c r="L576" s="46">
        <f t="shared" si="55"/>
        <v>416</v>
      </c>
      <c r="M576" s="43">
        <f t="shared" si="56"/>
        <v>2.40989324472</v>
      </c>
      <c r="N576" s="46"/>
      <c r="O576" s="44" t="s">
        <v>736</v>
      </c>
      <c r="P576" s="48"/>
      <c r="Q576" s="8">
        <f>VLOOKUP($F576,[1]装箱单!$A:$E,5,0)</f>
        <v>32.385</v>
      </c>
      <c r="R576" s="8">
        <f>VLOOKUP($F576,[1]装箱单!$A:$F,6,0)</f>
        <v>18.78</v>
      </c>
      <c r="S576" s="8">
        <f>VLOOKUP($F576,[1]装箱单!$A:$G,7,0)</f>
        <v>9.525</v>
      </c>
      <c r="T576" s="10">
        <f>VLOOKUP($F576,[1]装箱单!$A:$J,10,0)</f>
        <v>0.0057930126075</v>
      </c>
      <c r="U576" s="11">
        <f t="shared" si="57"/>
        <v>2.40989324472</v>
      </c>
    </row>
    <row r="577" ht="29.1" customHeight="1" spans="1:21">
      <c r="A577" s="40">
        <v>46129</v>
      </c>
      <c r="B577" s="41" t="s">
        <v>737</v>
      </c>
      <c r="C577" s="42" t="s">
        <v>738</v>
      </c>
      <c r="D577" s="43" t="s">
        <v>739</v>
      </c>
      <c r="E577" s="44" t="s">
        <v>740</v>
      </c>
      <c r="F577" s="44" t="s">
        <v>45</v>
      </c>
      <c r="G577" s="44" t="str">
        <f>VLOOKUP(F577,[1]装箱单!$A:$C,3,0)</f>
        <v>鸭子</v>
      </c>
      <c r="H577" s="44">
        <v>12006</v>
      </c>
      <c r="I577" s="45">
        <v>12006</v>
      </c>
      <c r="J577" s="45" t="s">
        <v>32</v>
      </c>
      <c r="K577" s="45" t="s">
        <v>33</v>
      </c>
      <c r="L577" s="46">
        <f t="shared" si="55"/>
        <v>667</v>
      </c>
      <c r="M577" s="43">
        <f t="shared" si="56"/>
        <v>3.8639394092025</v>
      </c>
      <c r="N577" s="46"/>
      <c r="O577" s="44"/>
      <c r="P577" s="48"/>
      <c r="Q577" s="8">
        <f>VLOOKUP($F577,[1]装箱单!$A:$E,5,0)</f>
        <v>32.385</v>
      </c>
      <c r="R577" s="8">
        <f>VLOOKUP($F577,[1]装箱单!$A:$F,6,0)</f>
        <v>18.78</v>
      </c>
      <c r="S577" s="8">
        <f>VLOOKUP($F577,[1]装箱单!$A:$G,7,0)</f>
        <v>9.525</v>
      </c>
      <c r="T577" s="10">
        <f>VLOOKUP($F577,[1]装箱单!$A:$J,10,0)</f>
        <v>0.0057930126075</v>
      </c>
      <c r="U577" s="11">
        <f t="shared" si="57"/>
        <v>3.8639394092025</v>
      </c>
    </row>
    <row r="578" ht="29.1" customHeight="1" spans="1:21">
      <c r="A578" s="40">
        <v>46129</v>
      </c>
      <c r="B578" s="41" t="s">
        <v>737</v>
      </c>
      <c r="C578" s="42" t="s">
        <v>738</v>
      </c>
      <c r="D578" s="43" t="s">
        <v>739</v>
      </c>
      <c r="E578" s="44" t="s">
        <v>740</v>
      </c>
      <c r="F578" s="44" t="s">
        <v>255</v>
      </c>
      <c r="G578" s="44" t="str">
        <f>VLOOKUP(F578,[1]装箱单!$A:$C,3,0)</f>
        <v>搪胶小鸭</v>
      </c>
      <c r="H578" s="44">
        <v>6012</v>
      </c>
      <c r="I578" s="45">
        <f>+L578*18</f>
        <v>6012</v>
      </c>
      <c r="J578" s="45" t="s">
        <v>32</v>
      </c>
      <c r="K578" s="45" t="s">
        <v>33</v>
      </c>
      <c r="L578" s="46">
        <v>334</v>
      </c>
      <c r="M578" s="43">
        <f t="shared" si="56"/>
        <v>4.9387794369375</v>
      </c>
      <c r="N578" s="46"/>
      <c r="O578" s="44"/>
      <c r="P578" s="48"/>
      <c r="Q578" s="8">
        <f>VLOOKUP($F578,[1]装箱单!$A:$E,5,0)</f>
        <v>34.925</v>
      </c>
      <c r="R578" s="8">
        <f>VLOOKUP($F578,[1]装箱单!$A:$F,6,0)</f>
        <v>22.225</v>
      </c>
      <c r="S578" s="8">
        <f>VLOOKUP($F578,[1]装箱单!$A:$G,7,0)</f>
        <v>19.05</v>
      </c>
      <c r="T578" s="10">
        <f>VLOOKUP($F578,[1]装箱单!$A:$J,10,0)</f>
        <v>0.01478676478125</v>
      </c>
      <c r="U578" s="11">
        <f t="shared" si="57"/>
        <v>4.9387794369375</v>
      </c>
    </row>
    <row r="579" ht="29.1" customHeight="1" spans="1:21">
      <c r="A579" s="40">
        <v>46129</v>
      </c>
      <c r="B579" s="41" t="s">
        <v>508</v>
      </c>
      <c r="C579" s="42" t="s">
        <v>741</v>
      </c>
      <c r="D579" s="43" t="s">
        <v>742</v>
      </c>
      <c r="E579" s="44" t="s">
        <v>743</v>
      </c>
      <c r="F579" s="44" t="s">
        <v>51</v>
      </c>
      <c r="G579" s="44" t="str">
        <f>VLOOKUP(F579,[1]装箱单!$A:$C,3,0)</f>
        <v>鸭子</v>
      </c>
      <c r="H579" s="44">
        <v>28800</v>
      </c>
      <c r="I579" s="45">
        <v>28800</v>
      </c>
      <c r="J579" s="45" t="s">
        <v>32</v>
      </c>
      <c r="K579" s="45" t="s">
        <v>33</v>
      </c>
      <c r="L579" s="46">
        <f>+I579/48</f>
        <v>600</v>
      </c>
      <c r="M579" s="43">
        <f t="shared" si="56"/>
        <v>24.5239038</v>
      </c>
      <c r="N579" s="46"/>
      <c r="O579" s="44"/>
      <c r="P579" s="48"/>
      <c r="Q579" s="8">
        <f>VLOOKUP($F579,[1]装箱单!$A:$E,5,0)</f>
        <v>37.15</v>
      </c>
      <c r="R579" s="8">
        <f>VLOOKUP($F579,[1]装箱单!$A:$F,6,0)</f>
        <v>33</v>
      </c>
      <c r="S579" s="8">
        <f>VLOOKUP($F579,[1]装箱单!$A:$G,7,0)</f>
        <v>33.34</v>
      </c>
      <c r="T579" s="10">
        <f>VLOOKUP($F579,[1]装箱单!$A:$J,10,0)</f>
        <v>0.040873173</v>
      </c>
      <c r="U579" s="11">
        <f t="shared" si="57"/>
        <v>24.5239038</v>
      </c>
    </row>
    <row r="580" ht="29.1" customHeight="1" spans="1:21">
      <c r="A580" s="40">
        <v>46129</v>
      </c>
      <c r="B580" s="41" t="s">
        <v>529</v>
      </c>
      <c r="C580" s="42" t="s">
        <v>744</v>
      </c>
      <c r="D580" s="43" t="s">
        <v>745</v>
      </c>
      <c r="E580" s="44" t="s">
        <v>746</v>
      </c>
      <c r="F580" s="44" t="s">
        <v>51</v>
      </c>
      <c r="G580" s="44" t="str">
        <f>VLOOKUP(F580,[1]装箱单!$A:$C,3,0)</f>
        <v>鸭子</v>
      </c>
      <c r="H580" s="44">
        <v>21600</v>
      </c>
      <c r="I580" s="45">
        <v>21600</v>
      </c>
      <c r="J580" s="45" t="s">
        <v>32</v>
      </c>
      <c r="K580" s="45" t="s">
        <v>33</v>
      </c>
      <c r="L580" s="46">
        <f>+I580/48</f>
        <v>450</v>
      </c>
      <c r="M580" s="43">
        <f t="shared" si="56"/>
        <v>18.39292785</v>
      </c>
      <c r="N580" s="46"/>
      <c r="O580" s="44"/>
      <c r="P580" s="48"/>
      <c r="Q580" s="8">
        <f>VLOOKUP($F580,[1]装箱单!$A:$E,5,0)</f>
        <v>37.15</v>
      </c>
      <c r="R580" s="8">
        <f>VLOOKUP($F580,[1]装箱单!$A:$F,6,0)</f>
        <v>33</v>
      </c>
      <c r="S580" s="8">
        <f>VLOOKUP($F580,[1]装箱单!$A:$G,7,0)</f>
        <v>33.34</v>
      </c>
      <c r="T580" s="10">
        <f>VLOOKUP($F580,[1]装箱单!$A:$J,10,0)</f>
        <v>0.040873173</v>
      </c>
      <c r="U580" s="11">
        <f t="shared" si="57"/>
        <v>18.39292785</v>
      </c>
    </row>
    <row r="581" ht="29.1" customHeight="1" spans="1:21">
      <c r="A581" s="40">
        <v>46129</v>
      </c>
      <c r="B581" s="41" t="s">
        <v>141</v>
      </c>
      <c r="C581" s="42" t="s">
        <v>747</v>
      </c>
      <c r="D581" s="43" t="s">
        <v>748</v>
      </c>
      <c r="E581" s="44" t="s">
        <v>749</v>
      </c>
      <c r="F581" s="44" t="s">
        <v>750</v>
      </c>
      <c r="G581" s="44" t="str">
        <f>VLOOKUP(F581,[1]装箱单!$A:$C,3,0)</f>
        <v>我爱纽约组合小鸭</v>
      </c>
      <c r="H581" s="44">
        <v>10000</v>
      </c>
      <c r="I581" s="45">
        <v>10000</v>
      </c>
      <c r="J581" s="45" t="s">
        <v>32</v>
      </c>
      <c r="K581" s="45" t="s">
        <v>33</v>
      </c>
      <c r="L581" s="46">
        <f>+I581/8</f>
        <v>1250</v>
      </c>
      <c r="M581" s="43">
        <f t="shared" si="56"/>
        <v>9.8509125</v>
      </c>
      <c r="N581" s="46"/>
      <c r="O581" s="44"/>
      <c r="P581" s="48"/>
      <c r="Q581" s="8">
        <f>VLOOKUP($F581,[1]装箱单!$A:$E,5,0)</f>
        <v>33</v>
      </c>
      <c r="R581" s="8">
        <f>VLOOKUP($F581,[1]装箱单!$A:$F,6,0)</f>
        <v>16.7</v>
      </c>
      <c r="S581" s="8">
        <f>VLOOKUP($F581,[1]装箱单!$A:$G,7,0)</f>
        <v>14.3</v>
      </c>
      <c r="T581" s="10">
        <f>VLOOKUP($F581,[1]装箱单!$A:$J,10,0)</f>
        <v>0.00788073</v>
      </c>
      <c r="U581" s="11">
        <f t="shared" si="57"/>
        <v>9.8509125</v>
      </c>
    </row>
    <row r="582" ht="29.1" customHeight="1" spans="1:21">
      <c r="A582" s="40">
        <v>46129</v>
      </c>
      <c r="B582" s="41" t="s">
        <v>141</v>
      </c>
      <c r="C582" s="42" t="s">
        <v>751</v>
      </c>
      <c r="D582" s="43" t="s">
        <v>752</v>
      </c>
      <c r="E582" s="44" t="s">
        <v>753</v>
      </c>
      <c r="F582" s="44" t="s">
        <v>754</v>
      </c>
      <c r="G582" s="44" t="str">
        <f>VLOOKUP(F582,[1]装箱单!$A:$C,3,0)</f>
        <v>搪胶小鸭</v>
      </c>
      <c r="H582" s="44">
        <v>4000</v>
      </c>
      <c r="I582" s="45">
        <v>4000</v>
      </c>
      <c r="J582" s="45" t="s">
        <v>32</v>
      </c>
      <c r="K582" s="45" t="s">
        <v>33</v>
      </c>
      <c r="L582" s="46">
        <f>+I582/8</f>
        <v>500</v>
      </c>
      <c r="M582" s="43">
        <f t="shared" si="56"/>
        <v>3.940365</v>
      </c>
      <c r="N582" s="46"/>
      <c r="O582" s="44"/>
      <c r="P582" s="48"/>
      <c r="Q582" s="8">
        <f>VLOOKUP($F582,[1]装箱单!$A:$E,5,0)</f>
        <v>33</v>
      </c>
      <c r="R582" s="8">
        <f>VLOOKUP($F582,[1]装箱单!$A:$F,6,0)</f>
        <v>16.7</v>
      </c>
      <c r="S582" s="8">
        <f>VLOOKUP($F582,[1]装箱单!$A:$G,7,0)</f>
        <v>14.3</v>
      </c>
      <c r="T582" s="10">
        <f>VLOOKUP($F582,[1]装箱单!$A:$J,10,0)</f>
        <v>0.00788073</v>
      </c>
      <c r="U582" s="11">
        <f t="shared" si="57"/>
        <v>3.940365</v>
      </c>
    </row>
    <row r="583" ht="29.1" customHeight="1" spans="1:21">
      <c r="A583" s="40">
        <v>46129</v>
      </c>
      <c r="B583" s="41" t="s">
        <v>52</v>
      </c>
      <c r="C583" s="42" t="s">
        <v>725</v>
      </c>
      <c r="D583" s="43" t="s">
        <v>726</v>
      </c>
      <c r="E583" s="44"/>
      <c r="F583" s="44">
        <v>470764</v>
      </c>
      <c r="G583" s="44" t="str">
        <f>VLOOKUP(F583,[1]装箱单!$A:$C,3,0)</f>
        <v>大型自卸车</v>
      </c>
      <c r="H583" s="44">
        <v>7000</v>
      </c>
      <c r="I583" s="45">
        <f>+L583</f>
        <v>2085</v>
      </c>
      <c r="J583" s="45" t="s">
        <v>32</v>
      </c>
      <c r="K583" s="45" t="s">
        <v>33</v>
      </c>
      <c r="L583" s="45">
        <v>2085</v>
      </c>
      <c r="M583" s="43">
        <f t="shared" si="56"/>
        <v>55.86966</v>
      </c>
      <c r="N583" s="46"/>
      <c r="O583" s="44"/>
      <c r="P583" s="48"/>
      <c r="Q583" s="8">
        <f>VLOOKUP($F583,[1]装箱单!$A:$E,5,0)</f>
        <v>42</v>
      </c>
      <c r="R583" s="8">
        <f>VLOOKUP($F583,[1]装箱单!$A:$F,6,0)</f>
        <v>22</v>
      </c>
      <c r="S583" s="8">
        <f>VLOOKUP($F583,[1]装箱单!$A:$G,7,0)</f>
        <v>29</v>
      </c>
      <c r="T583" s="10">
        <f>VLOOKUP($F583,[1]装箱单!$A:$J,10,0)</f>
        <v>0.026796</v>
      </c>
      <c r="U583" s="11">
        <f t="shared" si="57"/>
        <v>55.86966</v>
      </c>
    </row>
    <row r="584" ht="29.1" customHeight="1" spans="1:21">
      <c r="A584" s="40">
        <v>46129</v>
      </c>
      <c r="B584" s="41"/>
      <c r="C584" s="42"/>
      <c r="D584" s="43"/>
      <c r="E584" s="44"/>
      <c r="F584" s="44" t="s">
        <v>383</v>
      </c>
      <c r="G584" s="44" t="s">
        <v>755</v>
      </c>
      <c r="H584" s="44">
        <v>1</v>
      </c>
      <c r="I584" s="45">
        <v>1</v>
      </c>
      <c r="J584" s="45" t="s">
        <v>47</v>
      </c>
      <c r="K584" s="45" t="s">
        <v>218</v>
      </c>
      <c r="L584" s="45"/>
      <c r="M584" s="43"/>
      <c r="N584" s="46"/>
      <c r="O584" s="44"/>
      <c r="P584" s="48"/>
    </row>
    <row r="585" ht="29.1" customHeight="1" spans="1:21">
      <c r="A585" s="40"/>
      <c r="B585" s="41"/>
      <c r="C585" s="42"/>
      <c r="D585" s="43"/>
      <c r="E585" s="44"/>
      <c r="F585" s="44"/>
      <c r="G585" s="44"/>
      <c r="H585" s="44"/>
      <c r="I585" s="45"/>
      <c r="J585" s="45"/>
      <c r="K585" s="45"/>
      <c r="L585" s="46"/>
      <c r="M585" s="43">
        <f>SUM(M571:M583)</f>
        <v>139.82544013842</v>
      </c>
      <c r="N585" s="46"/>
      <c r="O585" s="44"/>
      <c r="P585" s="51"/>
    </row>
    <row r="586" ht="29.1" customHeight="1" spans="1:21">
      <c r="A586" s="40">
        <v>46133</v>
      </c>
      <c r="B586" s="41" t="s">
        <v>52</v>
      </c>
      <c r="C586" s="42">
        <v>320399</v>
      </c>
      <c r="D586" s="43" t="s">
        <v>756</v>
      </c>
      <c r="E586" s="44"/>
      <c r="F586" s="44">
        <v>320399</v>
      </c>
      <c r="G586" s="44" t="str">
        <f>VLOOKUP(F586,[1]装箱单!$A:$C,3,0)</f>
        <v>猫家族</v>
      </c>
      <c r="H586" s="44">
        <v>1500</v>
      </c>
      <c r="I586" s="45">
        <f>+L586*4</f>
        <v>6000</v>
      </c>
      <c r="J586" s="45" t="s">
        <v>47</v>
      </c>
      <c r="K586" s="45" t="s">
        <v>33</v>
      </c>
      <c r="L586" s="45">
        <v>1500</v>
      </c>
      <c r="M586" s="43">
        <f>+U586</f>
        <v>15.435</v>
      </c>
      <c r="N586" s="46" t="s">
        <v>57</v>
      </c>
      <c r="O586" s="44" t="s">
        <v>62</v>
      </c>
      <c r="P586" s="47" t="s">
        <v>127</v>
      </c>
      <c r="Q586" s="8">
        <f>VLOOKUP($F586,[1]装箱单!$A:$E,5,0)</f>
        <v>24.5</v>
      </c>
      <c r="R586" s="8">
        <f>VLOOKUP($F586,[1]装箱单!$A:$F,6,0)</f>
        <v>21</v>
      </c>
      <c r="S586" s="8">
        <f>VLOOKUP($F586,[1]装箱单!$A:$G,7,0)</f>
        <v>20</v>
      </c>
      <c r="T586" s="10">
        <f>VLOOKUP($F586,[1]装箱单!$A:$J,10,0)</f>
        <v>0.01029</v>
      </c>
      <c r="U586" s="11">
        <f>+T586*L586</f>
        <v>15.435</v>
      </c>
    </row>
    <row r="587" ht="29.1" customHeight="1" spans="1:21">
      <c r="A587" s="40">
        <v>46133</v>
      </c>
      <c r="B587" s="41" t="s">
        <v>52</v>
      </c>
      <c r="C587" s="42">
        <v>470725</v>
      </c>
      <c r="D587" s="43" t="s">
        <v>756</v>
      </c>
      <c r="E587" s="44"/>
      <c r="F587" s="44">
        <v>470725</v>
      </c>
      <c r="G587" s="44" t="str">
        <f>VLOOKUP(F587,[1]装箱单!$A:$C,3,0)</f>
        <v>独角兽家族</v>
      </c>
      <c r="H587" s="44">
        <v>1000</v>
      </c>
      <c r="I587" s="45">
        <f>+L587*4</f>
        <v>4000</v>
      </c>
      <c r="J587" s="45" t="s">
        <v>47</v>
      </c>
      <c r="K587" s="45" t="s">
        <v>33</v>
      </c>
      <c r="L587" s="45">
        <v>1000</v>
      </c>
      <c r="M587" s="43">
        <f>+U587</f>
        <v>10.71</v>
      </c>
      <c r="N587" s="46" t="s">
        <v>57</v>
      </c>
      <c r="O587" s="44" t="s">
        <v>62</v>
      </c>
      <c r="P587" s="48"/>
      <c r="Q587" s="8">
        <f>VLOOKUP($F587,[1]装箱单!$A:$E,5,0)</f>
        <v>25.5</v>
      </c>
      <c r="R587" s="8">
        <f>VLOOKUP($F587,[1]装箱单!$A:$F,6,0)</f>
        <v>21</v>
      </c>
      <c r="S587" s="8">
        <f>VLOOKUP($F587,[1]装箱单!$A:$G,7,0)</f>
        <v>20</v>
      </c>
      <c r="T587" s="10">
        <f>VLOOKUP($F587,[1]装箱单!$A:$J,10,0)</f>
        <v>0.01071</v>
      </c>
      <c r="U587" s="11">
        <f>+T587*L587</f>
        <v>10.71</v>
      </c>
    </row>
    <row r="588" ht="29.1" customHeight="1" spans="1:21">
      <c r="A588" s="40">
        <v>46133</v>
      </c>
      <c r="B588" s="41" t="s">
        <v>52</v>
      </c>
      <c r="C588" s="42">
        <v>320628</v>
      </c>
      <c r="D588" s="43">
        <v>45637</v>
      </c>
      <c r="E588" s="44"/>
      <c r="F588" s="44">
        <v>320628</v>
      </c>
      <c r="G588" s="44" t="str">
        <f>VLOOKUP(F588,[1]装箱单!$A:$C,3,0)</f>
        <v>生日趴对</v>
      </c>
      <c r="H588" s="44">
        <v>1500</v>
      </c>
      <c r="I588" s="45">
        <f>+L588*4</f>
        <v>6000</v>
      </c>
      <c r="J588" s="45" t="s">
        <v>32</v>
      </c>
      <c r="K588" s="45" t="s">
        <v>33</v>
      </c>
      <c r="L588" s="45">
        <v>1500</v>
      </c>
      <c r="M588" s="43">
        <f>+U588</f>
        <v>14.1745716</v>
      </c>
      <c r="N588" s="46" t="s">
        <v>57</v>
      </c>
      <c r="O588" s="44" t="s">
        <v>62</v>
      </c>
      <c r="P588" s="48"/>
      <c r="Q588" s="8">
        <f>VLOOKUP($F588,[1]装箱单!$A:$E,5,0)</f>
        <v>25.75</v>
      </c>
      <c r="R588" s="8">
        <f>VLOOKUP($F588,[1]装箱单!$A:$F,6,0)</f>
        <v>17.78</v>
      </c>
      <c r="S588" s="8">
        <f>VLOOKUP($F588,[1]装箱单!$A:$G,7,0)</f>
        <v>20.64</v>
      </c>
      <c r="T588" s="10">
        <f>VLOOKUP($F588,[1]装箱单!$A:$J,10,0)</f>
        <v>0.0094497144</v>
      </c>
      <c r="U588" s="11">
        <f>+T588*L588</f>
        <v>14.1745716</v>
      </c>
    </row>
    <row r="589" ht="29.1" customHeight="1" spans="1:21">
      <c r="A589" s="40">
        <v>46133</v>
      </c>
      <c r="B589" s="41" t="s">
        <v>52</v>
      </c>
      <c r="C589" s="42">
        <v>320923</v>
      </c>
      <c r="D589" s="43" t="s">
        <v>756</v>
      </c>
      <c r="E589" s="44"/>
      <c r="F589" s="44">
        <v>320923</v>
      </c>
      <c r="G589" s="44" t="str">
        <f>VLOOKUP(F589,[1]装箱单!$A:$C,3,0)</f>
        <v>花店</v>
      </c>
      <c r="H589" s="44">
        <v>1500</v>
      </c>
      <c r="I589" s="45">
        <f>+L589*2</f>
        <v>3000</v>
      </c>
      <c r="J589" s="45" t="s">
        <v>32</v>
      </c>
      <c r="K589" s="45" t="s">
        <v>33</v>
      </c>
      <c r="L589" s="45">
        <v>1500</v>
      </c>
      <c r="M589" s="43">
        <f>+U589</f>
        <v>39.51010581</v>
      </c>
      <c r="N589" s="46" t="s">
        <v>57</v>
      </c>
      <c r="O589" s="44" t="s">
        <v>62</v>
      </c>
      <c r="P589" s="48"/>
      <c r="Q589" s="8">
        <f>VLOOKUP($F589,[1]装箱单!$A:$E,5,0)</f>
        <v>39.94</v>
      </c>
      <c r="R589" s="8">
        <f>VLOOKUP($F589,[1]装箱单!$A:$F,6,0)</f>
        <v>30.1</v>
      </c>
      <c r="S589" s="8">
        <f>VLOOKUP($F589,[1]装箱单!$A:$G,7,0)</f>
        <v>21.91</v>
      </c>
      <c r="T589" s="10">
        <f>VLOOKUP($F589,[1]装箱单!$A:$J,10,0)</f>
        <v>0.02634007054</v>
      </c>
      <c r="U589" s="11">
        <f>+T589*L589</f>
        <v>39.51010581</v>
      </c>
    </row>
    <row r="590" ht="29.1" customHeight="1" spans="1:21">
      <c r="A590" s="40">
        <v>46133</v>
      </c>
      <c r="B590" s="41" t="s">
        <v>52</v>
      </c>
      <c r="C590" s="42" t="s">
        <v>725</v>
      </c>
      <c r="D590" s="43" t="s">
        <v>726</v>
      </c>
      <c r="E590" s="44"/>
      <c r="F590" s="44">
        <v>470764</v>
      </c>
      <c r="G590" s="44" t="str">
        <f>VLOOKUP(F590,[1]装箱单!$A:$C,3,0)</f>
        <v>大型自卸车</v>
      </c>
      <c r="H590" s="44">
        <v>7000</v>
      </c>
      <c r="I590" s="45">
        <f>+L590</f>
        <v>816</v>
      </c>
      <c r="J590" s="45" t="s">
        <v>32</v>
      </c>
      <c r="K590" s="45" t="s">
        <v>33</v>
      </c>
      <c r="L590" s="45">
        <f>7000-4099-2085</f>
        <v>816</v>
      </c>
      <c r="M590" s="43">
        <f>+U590</f>
        <v>21.865536</v>
      </c>
      <c r="N590" s="46" t="s">
        <v>34</v>
      </c>
      <c r="O590" s="44"/>
      <c r="P590" s="48"/>
      <c r="Q590" s="8">
        <f>VLOOKUP($F590,[1]装箱单!$A:$E,5,0)</f>
        <v>42</v>
      </c>
      <c r="R590" s="8">
        <f>VLOOKUP($F590,[1]装箱单!$A:$F,6,0)</f>
        <v>22</v>
      </c>
      <c r="S590" s="8">
        <f>VLOOKUP($F590,[1]装箱单!$A:$G,7,0)</f>
        <v>29</v>
      </c>
      <c r="T590" s="10">
        <f>VLOOKUP($F590,[1]装箱单!$A:$J,10,0)</f>
        <v>0.026796</v>
      </c>
      <c r="U590" s="11">
        <f>+T590*L590</f>
        <v>21.865536</v>
      </c>
    </row>
    <row r="591" ht="29.1" customHeight="1" spans="1:21">
      <c r="A591" s="40"/>
      <c r="B591" s="41"/>
      <c r="C591" s="42"/>
      <c r="D591" s="43"/>
      <c r="E591" s="44"/>
      <c r="F591" s="44"/>
      <c r="G591" s="44"/>
      <c r="H591" s="44"/>
      <c r="I591" s="45"/>
      <c r="J591" s="45"/>
      <c r="K591" s="45"/>
      <c r="L591" s="45"/>
      <c r="M591" s="43">
        <f>SUM(M586:M590)</f>
        <v>101.69521341</v>
      </c>
      <c r="N591" s="46"/>
      <c r="O591" s="44"/>
      <c r="P591" s="51"/>
    </row>
    <row r="592" ht="29.1" customHeight="1" spans="1:21">
      <c r="A592" s="40">
        <v>46134</v>
      </c>
      <c r="B592" s="41" t="s">
        <v>77</v>
      </c>
      <c r="C592" s="42" t="s">
        <v>728</v>
      </c>
      <c r="D592" s="43" t="s">
        <v>729</v>
      </c>
      <c r="E592" s="44" t="s">
        <v>730</v>
      </c>
      <c r="F592" s="44" t="s">
        <v>45</v>
      </c>
      <c r="G592" s="44" t="str">
        <f>VLOOKUP(F592,[1]装箱单!$A:$C,3,0)</f>
        <v>鸭子</v>
      </c>
      <c r="H592" s="44">
        <v>416</v>
      </c>
      <c r="I592" s="45">
        <v>7488</v>
      </c>
      <c r="J592" s="45" t="s">
        <v>32</v>
      </c>
      <c r="K592" s="45" t="s">
        <v>33</v>
      </c>
      <c r="L592" s="46">
        <f>+I592/18</f>
        <v>416</v>
      </c>
      <c r="M592" s="43">
        <f>+U592</f>
        <v>2.40989324472</v>
      </c>
      <c r="N592" s="46" t="s">
        <v>57</v>
      </c>
      <c r="O592" s="44" t="s">
        <v>757</v>
      </c>
      <c r="P592" s="47" t="s">
        <v>758</v>
      </c>
      <c r="Q592" s="8">
        <f>VLOOKUP($F592,[1]装箱单!$A:$E,5,0)</f>
        <v>32.385</v>
      </c>
      <c r="R592" s="8">
        <f>VLOOKUP($F592,[1]装箱单!$A:$F,6,0)</f>
        <v>18.78</v>
      </c>
      <c r="S592" s="8">
        <f>VLOOKUP($F592,[1]装箱单!$A:$G,7,0)</f>
        <v>9.525</v>
      </c>
      <c r="T592" s="10">
        <f>VLOOKUP($F592,[1]装箱单!$A:$J,10,0)</f>
        <v>0.0057930126075</v>
      </c>
      <c r="U592" s="11">
        <f>+T592*L592</f>
        <v>2.40989324472</v>
      </c>
    </row>
    <row r="593" ht="29.1" customHeight="1" spans="1:21">
      <c r="A593" s="40">
        <v>46134</v>
      </c>
      <c r="B593" s="41" t="s">
        <v>77</v>
      </c>
      <c r="C593" s="42" t="s">
        <v>728</v>
      </c>
      <c r="D593" s="43" t="s">
        <v>729</v>
      </c>
      <c r="E593" s="44" t="s">
        <v>730</v>
      </c>
      <c r="F593" s="44" t="s">
        <v>45</v>
      </c>
      <c r="G593" s="44" t="str">
        <f>VLOOKUP(F593,[1]装箱单!$A:$C,3,0)</f>
        <v>鸭子</v>
      </c>
      <c r="H593" s="44">
        <v>416</v>
      </c>
      <c r="I593" s="45">
        <v>7488</v>
      </c>
      <c r="J593" s="45" t="s">
        <v>32</v>
      </c>
      <c r="K593" s="45" t="s">
        <v>33</v>
      </c>
      <c r="L593" s="46">
        <f>+I593/18</f>
        <v>416</v>
      </c>
      <c r="M593" s="43">
        <f>+U593</f>
        <v>2.40989324472</v>
      </c>
      <c r="N593" s="46" t="s">
        <v>57</v>
      </c>
      <c r="O593" s="44" t="s">
        <v>759</v>
      </c>
      <c r="P593" s="48"/>
      <c r="Q593" s="8">
        <f>VLOOKUP($F593,[1]装箱单!$A:$E,5,0)</f>
        <v>32.385</v>
      </c>
      <c r="R593" s="8">
        <f>VLOOKUP($F593,[1]装箱单!$A:$F,6,0)</f>
        <v>18.78</v>
      </c>
      <c r="S593" s="8">
        <f>VLOOKUP($F593,[1]装箱单!$A:$G,7,0)</f>
        <v>9.525</v>
      </c>
      <c r="T593" s="10">
        <f>VLOOKUP($F593,[1]装箱单!$A:$J,10,0)</f>
        <v>0.0057930126075</v>
      </c>
      <c r="U593" s="11">
        <f>+T593*L593</f>
        <v>2.40989324472</v>
      </c>
    </row>
    <row r="594" ht="29.1" customHeight="1" spans="1:21">
      <c r="A594" s="40">
        <v>46134</v>
      </c>
      <c r="B594" s="41" t="s">
        <v>77</v>
      </c>
      <c r="C594" s="42" t="s">
        <v>728</v>
      </c>
      <c r="D594" s="43" t="s">
        <v>729</v>
      </c>
      <c r="E594" s="44" t="s">
        <v>730</v>
      </c>
      <c r="F594" s="44" t="s">
        <v>45</v>
      </c>
      <c r="G594" s="44" t="str">
        <f>VLOOKUP(F594,[1]装箱单!$A:$C,3,0)</f>
        <v>鸭子</v>
      </c>
      <c r="H594" s="44">
        <v>416</v>
      </c>
      <c r="I594" s="45">
        <v>7488</v>
      </c>
      <c r="J594" s="45" t="s">
        <v>32</v>
      </c>
      <c r="K594" s="45" t="s">
        <v>33</v>
      </c>
      <c r="L594" s="46">
        <f>+I594/18</f>
        <v>416</v>
      </c>
      <c r="M594" s="43">
        <f>+U594</f>
        <v>2.40989324472</v>
      </c>
      <c r="N594" s="46" t="s">
        <v>57</v>
      </c>
      <c r="O594" s="44" t="s">
        <v>760</v>
      </c>
      <c r="P594" s="48"/>
      <c r="Q594" s="8">
        <f>VLOOKUP($F594,[1]装箱单!$A:$E,5,0)</f>
        <v>32.385</v>
      </c>
      <c r="R594" s="8">
        <f>VLOOKUP($F594,[1]装箱单!$A:$F,6,0)</f>
        <v>18.78</v>
      </c>
      <c r="S594" s="8">
        <f>VLOOKUP($F594,[1]装箱单!$A:$G,7,0)</f>
        <v>9.525</v>
      </c>
      <c r="T594" s="10">
        <f>VLOOKUP($F594,[1]装箱单!$A:$J,10,0)</f>
        <v>0.0057930126075</v>
      </c>
      <c r="U594" s="11">
        <f>+T594*L594</f>
        <v>2.40989324472</v>
      </c>
    </row>
    <row r="595" ht="29.1" customHeight="1" spans="1:21">
      <c r="A595" s="40">
        <v>46134</v>
      </c>
      <c r="B595" s="41" t="s">
        <v>77</v>
      </c>
      <c r="C595" s="42" t="s">
        <v>728</v>
      </c>
      <c r="D595" s="43" t="s">
        <v>729</v>
      </c>
      <c r="E595" s="44" t="s">
        <v>730</v>
      </c>
      <c r="F595" s="44" t="s">
        <v>45</v>
      </c>
      <c r="G595" s="44" t="str">
        <f>VLOOKUP(F595,[1]装箱单!$A:$C,3,0)</f>
        <v>鸭子</v>
      </c>
      <c r="H595" s="44">
        <v>553</v>
      </c>
      <c r="I595" s="45">
        <v>9954</v>
      </c>
      <c r="J595" s="45" t="s">
        <v>32</v>
      </c>
      <c r="K595" s="45" t="s">
        <v>33</v>
      </c>
      <c r="L595" s="46">
        <f>+I595/18</f>
        <v>553</v>
      </c>
      <c r="M595" s="43">
        <f>+U595</f>
        <v>3.2035359719475</v>
      </c>
      <c r="N595" s="46" t="s">
        <v>57</v>
      </c>
      <c r="O595" s="44" t="s">
        <v>761</v>
      </c>
      <c r="P595" s="48"/>
      <c r="Q595" s="8">
        <f>VLOOKUP($F595,[1]装箱单!$A:$E,5,0)</f>
        <v>32.385</v>
      </c>
      <c r="R595" s="8">
        <f>VLOOKUP($F595,[1]装箱单!$A:$F,6,0)</f>
        <v>18.78</v>
      </c>
      <c r="S595" s="8">
        <f>VLOOKUP($F595,[1]装箱单!$A:$G,7,0)</f>
        <v>9.525</v>
      </c>
      <c r="T595" s="10">
        <f>VLOOKUP($F595,[1]装箱单!$A:$J,10,0)</f>
        <v>0.0057930126075</v>
      </c>
      <c r="U595" s="11">
        <f>+T595*L595</f>
        <v>3.2035359719475</v>
      </c>
    </row>
    <row r="596" ht="29.1" customHeight="1" spans="1:21">
      <c r="A596" s="40"/>
      <c r="B596" s="41"/>
      <c r="C596" s="42"/>
      <c r="D596" s="43"/>
      <c r="E596" s="44"/>
      <c r="F596" s="44"/>
      <c r="G596" s="44"/>
      <c r="H596" s="44"/>
      <c r="I596" s="45"/>
      <c r="J596" s="45"/>
      <c r="K596" s="45"/>
      <c r="L596" s="46"/>
      <c r="M596" s="43">
        <f>SUM(M592:M595)</f>
        <v>10.4332157061075</v>
      </c>
      <c r="N596" s="46"/>
      <c r="O596" s="44"/>
      <c r="P596" s="51"/>
    </row>
    <row r="597" ht="29.1" customHeight="1" spans="1:21">
      <c r="A597" s="40">
        <v>46136</v>
      </c>
      <c r="B597" s="41" t="s">
        <v>762</v>
      </c>
      <c r="C597" s="42" t="s">
        <v>763</v>
      </c>
      <c r="D597" s="43" t="s">
        <v>764</v>
      </c>
      <c r="E597" s="44" t="s">
        <v>765</v>
      </c>
      <c r="F597" s="44" t="s">
        <v>51</v>
      </c>
      <c r="G597" s="44" t="str">
        <f>VLOOKUP(F597,[1]装箱单!$A:$C,3,0)</f>
        <v>鸭子</v>
      </c>
      <c r="H597" s="44">
        <v>145</v>
      </c>
      <c r="I597" s="45">
        <f>+L597*48</f>
        <v>6960</v>
      </c>
      <c r="J597" s="45" t="s">
        <v>32</v>
      </c>
      <c r="K597" s="45" t="s">
        <v>33</v>
      </c>
      <c r="L597" s="46">
        <v>145</v>
      </c>
      <c r="M597" s="43">
        <f t="shared" ref="M597:M619" si="58">+U597</f>
        <v>5.926610085</v>
      </c>
      <c r="N597" s="46" t="s">
        <v>57</v>
      </c>
      <c r="O597" s="44"/>
      <c r="P597" s="47" t="s">
        <v>766</v>
      </c>
      <c r="Q597" s="8">
        <f>VLOOKUP($F597,[1]装箱单!$A:$E,5,0)</f>
        <v>37.15</v>
      </c>
      <c r="R597" s="8">
        <f>VLOOKUP($F597,[1]装箱单!$A:$F,6,0)</f>
        <v>33</v>
      </c>
      <c r="S597" s="8">
        <f>VLOOKUP($F597,[1]装箱单!$A:$G,7,0)</f>
        <v>33.34</v>
      </c>
      <c r="T597" s="10">
        <f>VLOOKUP($F597,[1]装箱单!$A:$J,10,0)</f>
        <v>0.040873173</v>
      </c>
      <c r="U597" s="11">
        <f t="shared" ref="U597:U660" si="59">+T597*L597</f>
        <v>5.926610085</v>
      </c>
    </row>
    <row r="598" ht="29.1" customHeight="1" spans="1:21">
      <c r="A598" s="40">
        <v>46136</v>
      </c>
      <c r="B598" s="41" t="s">
        <v>762</v>
      </c>
      <c r="C598" s="42" t="s">
        <v>767</v>
      </c>
      <c r="D598" s="43" t="s">
        <v>768</v>
      </c>
      <c r="E598" s="44" t="s">
        <v>769</v>
      </c>
      <c r="F598" s="44" t="s">
        <v>51</v>
      </c>
      <c r="G598" s="44" t="str">
        <f>VLOOKUP(F598,[1]装箱单!$A:$C,3,0)</f>
        <v>鸭子</v>
      </c>
      <c r="H598" s="44">
        <v>145</v>
      </c>
      <c r="I598" s="45">
        <f>+L598*48</f>
        <v>6960</v>
      </c>
      <c r="J598" s="45" t="s">
        <v>32</v>
      </c>
      <c r="K598" s="45" t="s">
        <v>33</v>
      </c>
      <c r="L598" s="46">
        <v>145</v>
      </c>
      <c r="M598" s="43">
        <f t="shared" si="58"/>
        <v>5.926610085</v>
      </c>
      <c r="N598" s="46" t="s">
        <v>57</v>
      </c>
      <c r="O598" s="44"/>
      <c r="P598" s="48"/>
      <c r="Q598" s="8">
        <f>VLOOKUP($F598,[1]装箱单!$A:$E,5,0)</f>
        <v>37.15</v>
      </c>
      <c r="R598" s="8">
        <f>VLOOKUP($F598,[1]装箱单!$A:$F,6,0)</f>
        <v>33</v>
      </c>
      <c r="S598" s="8">
        <f>VLOOKUP($F598,[1]装箱单!$A:$G,7,0)</f>
        <v>33.34</v>
      </c>
      <c r="T598" s="10">
        <f>VLOOKUP($F598,[1]装箱单!$A:$J,10,0)</f>
        <v>0.040873173</v>
      </c>
      <c r="U598" s="11">
        <f t="shared" si="59"/>
        <v>5.926610085</v>
      </c>
    </row>
    <row r="599" ht="29.1" customHeight="1" spans="1:21">
      <c r="A599" s="40">
        <v>46136</v>
      </c>
      <c r="B599" s="41" t="s">
        <v>77</v>
      </c>
      <c r="C599" s="42" t="s">
        <v>770</v>
      </c>
      <c r="D599" s="43" t="s">
        <v>771</v>
      </c>
      <c r="E599" s="44" t="s">
        <v>772</v>
      </c>
      <c r="F599" s="44" t="s">
        <v>45</v>
      </c>
      <c r="G599" s="44" t="str">
        <f>VLOOKUP(F599,[1]装箱单!$A:$C,3,0)</f>
        <v>鸭子</v>
      </c>
      <c r="H599" s="44">
        <v>786</v>
      </c>
      <c r="I599" s="45">
        <f t="shared" ref="I599:I607" si="60">+L599*18</f>
        <v>14148</v>
      </c>
      <c r="J599" s="45" t="s">
        <v>32</v>
      </c>
      <c r="K599" s="45" t="s">
        <v>33</v>
      </c>
      <c r="L599" s="46">
        <v>786</v>
      </c>
      <c r="M599" s="43">
        <f t="shared" si="58"/>
        <v>4.553307909495</v>
      </c>
      <c r="N599" s="46" t="s">
        <v>57</v>
      </c>
      <c r="O599" s="44" t="s">
        <v>773</v>
      </c>
      <c r="P599" s="48"/>
      <c r="Q599" s="8">
        <f>VLOOKUP($F599,[1]装箱单!$A:$E,5,0)</f>
        <v>32.385</v>
      </c>
      <c r="R599" s="8">
        <f>VLOOKUP($F599,[1]装箱单!$A:$F,6,0)</f>
        <v>18.78</v>
      </c>
      <c r="S599" s="8">
        <f>VLOOKUP($F599,[1]装箱单!$A:$G,7,0)</f>
        <v>9.525</v>
      </c>
      <c r="T599" s="10">
        <f>VLOOKUP($F599,[1]装箱单!$A:$J,10,0)</f>
        <v>0.0057930126075</v>
      </c>
      <c r="U599" s="11">
        <f t="shared" si="59"/>
        <v>4.553307909495</v>
      </c>
    </row>
    <row r="600" ht="29.1" customHeight="1" spans="1:21">
      <c r="A600" s="40">
        <v>46136</v>
      </c>
      <c r="B600" s="41" t="s">
        <v>77</v>
      </c>
      <c r="C600" s="42" t="s">
        <v>770</v>
      </c>
      <c r="D600" s="43" t="s">
        <v>771</v>
      </c>
      <c r="E600" s="44" t="s">
        <v>772</v>
      </c>
      <c r="F600" s="44" t="s">
        <v>45</v>
      </c>
      <c r="G600" s="44" t="str">
        <f>VLOOKUP(F600,[1]装箱单!$A:$C,3,0)</f>
        <v>鸭子</v>
      </c>
      <c r="H600" s="44">
        <v>872</v>
      </c>
      <c r="I600" s="45">
        <f t="shared" si="60"/>
        <v>15696</v>
      </c>
      <c r="J600" s="45" t="s">
        <v>32</v>
      </c>
      <c r="K600" s="45" t="s">
        <v>33</v>
      </c>
      <c r="L600" s="46">
        <v>872</v>
      </c>
      <c r="M600" s="43">
        <f t="shared" si="58"/>
        <v>5.05150699374</v>
      </c>
      <c r="N600" s="46" t="s">
        <v>57</v>
      </c>
      <c r="O600" s="44" t="s">
        <v>774</v>
      </c>
      <c r="P600" s="48"/>
      <c r="Q600" s="8">
        <f>VLOOKUP($F600,[1]装箱单!$A:$E,5,0)</f>
        <v>32.385</v>
      </c>
      <c r="R600" s="8">
        <f>VLOOKUP($F600,[1]装箱单!$A:$F,6,0)</f>
        <v>18.78</v>
      </c>
      <c r="S600" s="8">
        <f>VLOOKUP($F600,[1]装箱单!$A:$G,7,0)</f>
        <v>9.525</v>
      </c>
      <c r="T600" s="10">
        <f>VLOOKUP($F600,[1]装箱单!$A:$J,10,0)</f>
        <v>0.0057930126075</v>
      </c>
      <c r="U600" s="11">
        <f t="shared" si="59"/>
        <v>5.05150699374</v>
      </c>
    </row>
    <row r="601" ht="29.1" customHeight="1" spans="1:21">
      <c r="A601" s="40">
        <v>46136</v>
      </c>
      <c r="B601" s="41" t="s">
        <v>77</v>
      </c>
      <c r="C601" s="42" t="s">
        <v>770</v>
      </c>
      <c r="D601" s="43" t="s">
        <v>771</v>
      </c>
      <c r="E601" s="44" t="s">
        <v>772</v>
      </c>
      <c r="F601" s="44" t="s">
        <v>45</v>
      </c>
      <c r="G601" s="44" t="str">
        <f>VLOOKUP(F601,[1]装箱单!$A:$C,3,0)</f>
        <v>鸭子</v>
      </c>
      <c r="H601" s="44">
        <v>538</v>
      </c>
      <c r="I601" s="45">
        <f t="shared" si="60"/>
        <v>9684</v>
      </c>
      <c r="J601" s="45" t="s">
        <v>32</v>
      </c>
      <c r="K601" s="45" t="s">
        <v>33</v>
      </c>
      <c r="L601" s="46">
        <v>538</v>
      </c>
      <c r="M601" s="43">
        <f t="shared" si="58"/>
        <v>3.116640782835</v>
      </c>
      <c r="N601" s="46" t="s">
        <v>57</v>
      </c>
      <c r="O601" s="44" t="s">
        <v>775</v>
      </c>
      <c r="P601" s="48"/>
      <c r="Q601" s="8">
        <f>VLOOKUP($F601,[1]装箱单!$A:$E,5,0)</f>
        <v>32.385</v>
      </c>
      <c r="R601" s="8">
        <f>VLOOKUP($F601,[1]装箱单!$A:$F,6,0)</f>
        <v>18.78</v>
      </c>
      <c r="S601" s="8">
        <f>VLOOKUP($F601,[1]装箱单!$A:$G,7,0)</f>
        <v>9.525</v>
      </c>
      <c r="T601" s="10">
        <f>VLOOKUP($F601,[1]装箱单!$A:$J,10,0)</f>
        <v>0.0057930126075</v>
      </c>
      <c r="U601" s="11">
        <f t="shared" si="59"/>
        <v>3.116640782835</v>
      </c>
    </row>
    <row r="602" ht="29.1" customHeight="1" spans="1:21">
      <c r="A602" s="40">
        <v>46136</v>
      </c>
      <c r="B602" s="41" t="s">
        <v>77</v>
      </c>
      <c r="C602" s="42" t="s">
        <v>770</v>
      </c>
      <c r="D602" s="43" t="s">
        <v>771</v>
      </c>
      <c r="E602" s="44" t="s">
        <v>772</v>
      </c>
      <c r="F602" s="44" t="s">
        <v>45</v>
      </c>
      <c r="G602" s="44" t="str">
        <f>VLOOKUP(F602,[1]装箱单!$A:$C,3,0)</f>
        <v>鸭子</v>
      </c>
      <c r="H602" s="44">
        <v>393</v>
      </c>
      <c r="I602" s="45">
        <f t="shared" si="60"/>
        <v>7074</v>
      </c>
      <c r="J602" s="45" t="s">
        <v>32</v>
      </c>
      <c r="K602" s="45" t="s">
        <v>33</v>
      </c>
      <c r="L602" s="46">
        <v>393</v>
      </c>
      <c r="M602" s="43">
        <f t="shared" si="58"/>
        <v>2.2766539547475</v>
      </c>
      <c r="N602" s="46" t="s">
        <v>57</v>
      </c>
      <c r="O602" s="44" t="s">
        <v>776</v>
      </c>
      <c r="P602" s="48"/>
      <c r="Q602" s="8">
        <f>VLOOKUP($F602,[1]装箱单!$A:$E,5,0)</f>
        <v>32.385</v>
      </c>
      <c r="R602" s="8">
        <f>VLOOKUP($F602,[1]装箱单!$A:$F,6,0)</f>
        <v>18.78</v>
      </c>
      <c r="S602" s="8">
        <f>VLOOKUP($F602,[1]装箱单!$A:$G,7,0)</f>
        <v>9.525</v>
      </c>
      <c r="T602" s="10">
        <f>VLOOKUP($F602,[1]装箱单!$A:$J,10,0)</f>
        <v>0.0057930126075</v>
      </c>
      <c r="U602" s="11">
        <f t="shared" si="59"/>
        <v>2.2766539547475</v>
      </c>
    </row>
    <row r="603" ht="29.1" customHeight="1" spans="1:21">
      <c r="A603" s="40">
        <v>46136</v>
      </c>
      <c r="B603" s="41" t="s">
        <v>77</v>
      </c>
      <c r="C603" s="42" t="s">
        <v>770</v>
      </c>
      <c r="D603" s="43" t="s">
        <v>771</v>
      </c>
      <c r="E603" s="44" t="s">
        <v>772</v>
      </c>
      <c r="F603" s="44" t="s">
        <v>45</v>
      </c>
      <c r="G603" s="44" t="str">
        <f>VLOOKUP(F603,[1]装箱单!$A:$C,3,0)</f>
        <v>鸭子</v>
      </c>
      <c r="H603" s="44">
        <v>422</v>
      </c>
      <c r="I603" s="45">
        <f t="shared" si="60"/>
        <v>7596</v>
      </c>
      <c r="J603" s="45" t="s">
        <v>32</v>
      </c>
      <c r="K603" s="45" t="s">
        <v>33</v>
      </c>
      <c r="L603" s="46">
        <v>422</v>
      </c>
      <c r="M603" s="43">
        <f t="shared" si="58"/>
        <v>2.444651320365</v>
      </c>
      <c r="N603" s="46" t="s">
        <v>57</v>
      </c>
      <c r="O603" s="44" t="s">
        <v>777</v>
      </c>
      <c r="P603" s="48"/>
      <c r="Q603" s="8">
        <f>VLOOKUP($F603,[1]装箱单!$A:$E,5,0)</f>
        <v>32.385</v>
      </c>
      <c r="R603" s="8">
        <f>VLOOKUP($F603,[1]装箱单!$A:$F,6,0)</f>
        <v>18.78</v>
      </c>
      <c r="S603" s="8">
        <f>VLOOKUP($F603,[1]装箱单!$A:$G,7,0)</f>
        <v>9.525</v>
      </c>
      <c r="T603" s="10">
        <f>VLOOKUP($F603,[1]装箱单!$A:$J,10,0)</f>
        <v>0.0057930126075</v>
      </c>
      <c r="U603" s="11">
        <f t="shared" si="59"/>
        <v>2.444651320365</v>
      </c>
    </row>
    <row r="604" ht="29.1" customHeight="1" spans="1:21">
      <c r="A604" s="40">
        <v>46136</v>
      </c>
      <c r="B604" s="41" t="s">
        <v>77</v>
      </c>
      <c r="C604" s="42" t="s">
        <v>770</v>
      </c>
      <c r="D604" s="43" t="s">
        <v>771</v>
      </c>
      <c r="E604" s="44" t="s">
        <v>772</v>
      </c>
      <c r="F604" s="44" t="s">
        <v>45</v>
      </c>
      <c r="G604" s="44" t="str">
        <f>VLOOKUP(F604,[1]装箱单!$A:$C,3,0)</f>
        <v>鸭子</v>
      </c>
      <c r="H604" s="44">
        <v>530</v>
      </c>
      <c r="I604" s="45">
        <f t="shared" si="60"/>
        <v>9540</v>
      </c>
      <c r="J604" s="45" t="s">
        <v>32</v>
      </c>
      <c r="K604" s="45" t="s">
        <v>33</v>
      </c>
      <c r="L604" s="46">
        <v>530</v>
      </c>
      <c r="M604" s="43">
        <f t="shared" si="58"/>
        <v>3.070296681975</v>
      </c>
      <c r="N604" s="46" t="s">
        <v>57</v>
      </c>
      <c r="O604" s="44" t="s">
        <v>778</v>
      </c>
      <c r="P604" s="48"/>
      <c r="Q604" s="8">
        <f>VLOOKUP($F604,[1]装箱单!$A:$E,5,0)</f>
        <v>32.385</v>
      </c>
      <c r="R604" s="8">
        <f>VLOOKUP($F604,[1]装箱单!$A:$F,6,0)</f>
        <v>18.78</v>
      </c>
      <c r="S604" s="8">
        <f>VLOOKUP($F604,[1]装箱单!$A:$G,7,0)</f>
        <v>9.525</v>
      </c>
      <c r="T604" s="10">
        <f>VLOOKUP($F604,[1]装箱单!$A:$J,10,0)</f>
        <v>0.0057930126075</v>
      </c>
      <c r="U604" s="11">
        <f t="shared" si="59"/>
        <v>3.070296681975</v>
      </c>
    </row>
    <row r="605" ht="29.1" customHeight="1" spans="1:21">
      <c r="A605" s="40">
        <v>46136</v>
      </c>
      <c r="B605" s="41" t="s">
        <v>77</v>
      </c>
      <c r="C605" s="42" t="s">
        <v>770</v>
      </c>
      <c r="D605" s="43" t="s">
        <v>771</v>
      </c>
      <c r="E605" s="44" t="s">
        <v>772</v>
      </c>
      <c r="F605" s="44" t="s">
        <v>45</v>
      </c>
      <c r="G605" s="44" t="str">
        <f>VLOOKUP(F605,[1]装箱单!$A:$C,3,0)</f>
        <v>鸭子</v>
      </c>
      <c r="H605" s="44">
        <v>518</v>
      </c>
      <c r="I605" s="45">
        <f t="shared" si="60"/>
        <v>9324</v>
      </c>
      <c r="J605" s="45" t="s">
        <v>32</v>
      </c>
      <c r="K605" s="45" t="s">
        <v>33</v>
      </c>
      <c r="L605" s="46">
        <v>518</v>
      </c>
      <c r="M605" s="43">
        <f t="shared" si="58"/>
        <v>3.000780530685</v>
      </c>
      <c r="N605" s="46" t="s">
        <v>57</v>
      </c>
      <c r="O605" s="44" t="s">
        <v>779</v>
      </c>
      <c r="P605" s="48"/>
      <c r="Q605" s="8">
        <f>VLOOKUP($F605,[1]装箱单!$A:$E,5,0)</f>
        <v>32.385</v>
      </c>
      <c r="R605" s="8">
        <f>VLOOKUP($F605,[1]装箱单!$A:$F,6,0)</f>
        <v>18.78</v>
      </c>
      <c r="S605" s="8">
        <f>VLOOKUP($F605,[1]装箱单!$A:$G,7,0)</f>
        <v>9.525</v>
      </c>
      <c r="T605" s="10">
        <f>VLOOKUP($F605,[1]装箱单!$A:$J,10,0)</f>
        <v>0.0057930126075</v>
      </c>
      <c r="U605" s="11">
        <f t="shared" si="59"/>
        <v>3.000780530685</v>
      </c>
    </row>
    <row r="606" ht="29.1" customHeight="1" spans="1:21">
      <c r="A606" s="40">
        <v>46136</v>
      </c>
      <c r="B606" s="41" t="s">
        <v>77</v>
      </c>
      <c r="C606" s="42" t="s">
        <v>770</v>
      </c>
      <c r="D606" s="43" t="s">
        <v>771</v>
      </c>
      <c r="E606" s="44" t="s">
        <v>772</v>
      </c>
      <c r="F606" s="44" t="s">
        <v>45</v>
      </c>
      <c r="G606" s="44" t="str">
        <f>VLOOKUP(F606,[1]装箱单!$A:$C,3,0)</f>
        <v>鸭子</v>
      </c>
      <c r="H606" s="44">
        <v>624</v>
      </c>
      <c r="I606" s="45">
        <f t="shared" si="60"/>
        <v>11232</v>
      </c>
      <c r="J606" s="45" t="s">
        <v>32</v>
      </c>
      <c r="K606" s="45" t="s">
        <v>33</v>
      </c>
      <c r="L606" s="46">
        <v>624</v>
      </c>
      <c r="M606" s="43">
        <f t="shared" si="58"/>
        <v>3.61483986708</v>
      </c>
      <c r="N606" s="46" t="s">
        <v>57</v>
      </c>
      <c r="O606" s="44" t="s">
        <v>780</v>
      </c>
      <c r="P606" s="48"/>
      <c r="Q606" s="8">
        <f>VLOOKUP($F606,[1]装箱单!$A:$E,5,0)</f>
        <v>32.385</v>
      </c>
      <c r="R606" s="8">
        <f>VLOOKUP($F606,[1]装箱单!$A:$F,6,0)</f>
        <v>18.78</v>
      </c>
      <c r="S606" s="8">
        <f>VLOOKUP($F606,[1]装箱单!$A:$G,7,0)</f>
        <v>9.525</v>
      </c>
      <c r="T606" s="10">
        <f>VLOOKUP($F606,[1]装箱单!$A:$J,10,0)</f>
        <v>0.0057930126075</v>
      </c>
      <c r="U606" s="11">
        <f t="shared" si="59"/>
        <v>3.61483986708</v>
      </c>
    </row>
    <row r="607" ht="29.1" customHeight="1" spans="1:21">
      <c r="A607" s="40">
        <v>46136</v>
      </c>
      <c r="B607" s="41" t="s">
        <v>77</v>
      </c>
      <c r="C607" s="42" t="s">
        <v>770</v>
      </c>
      <c r="D607" s="43" t="s">
        <v>771</v>
      </c>
      <c r="E607" s="44" t="s">
        <v>772</v>
      </c>
      <c r="F607" s="44" t="s">
        <v>45</v>
      </c>
      <c r="G607" s="44" t="str">
        <f>VLOOKUP(F607,[1]装箱单!$A:$C,3,0)</f>
        <v>鸭子</v>
      </c>
      <c r="H607" s="44">
        <v>902</v>
      </c>
      <c r="I607" s="45">
        <f t="shared" si="60"/>
        <v>16236</v>
      </c>
      <c r="J607" s="45" t="s">
        <v>32</v>
      </c>
      <c r="K607" s="45" t="s">
        <v>33</v>
      </c>
      <c r="L607" s="46">
        <v>902</v>
      </c>
      <c r="M607" s="43">
        <f t="shared" si="58"/>
        <v>5.225297371965</v>
      </c>
      <c r="N607" s="46" t="s">
        <v>57</v>
      </c>
      <c r="O607" s="44" t="s">
        <v>781</v>
      </c>
      <c r="P607" s="48"/>
      <c r="Q607" s="8">
        <f>VLOOKUP($F607,[1]装箱单!$A:$E,5,0)</f>
        <v>32.385</v>
      </c>
      <c r="R607" s="8">
        <f>VLOOKUP($F607,[1]装箱单!$A:$F,6,0)</f>
        <v>18.78</v>
      </c>
      <c r="S607" s="8">
        <f>VLOOKUP($F607,[1]装箱单!$A:$G,7,0)</f>
        <v>9.525</v>
      </c>
      <c r="T607" s="10">
        <f>VLOOKUP($F607,[1]装箱单!$A:$J,10,0)</f>
        <v>0.0057930126075</v>
      </c>
      <c r="U607" s="11">
        <f t="shared" si="59"/>
        <v>5.225297371965</v>
      </c>
    </row>
    <row r="608" ht="29.1" customHeight="1" spans="1:21">
      <c r="A608" s="40">
        <v>46136</v>
      </c>
      <c r="B608" s="41" t="s">
        <v>27</v>
      </c>
      <c r="C608" s="42" t="s">
        <v>782</v>
      </c>
      <c r="D608" s="43" t="s">
        <v>783</v>
      </c>
      <c r="E608" s="44" t="s">
        <v>784</v>
      </c>
      <c r="F608" s="44" t="s">
        <v>175</v>
      </c>
      <c r="G608" s="44" t="str">
        <f>VLOOKUP(F608,[1]装箱单!$A:$C,3,0)</f>
        <v>投影米奇</v>
      </c>
      <c r="H608" s="44">
        <v>85</v>
      </c>
      <c r="I608" s="45">
        <f>+L608*4</f>
        <v>340</v>
      </c>
      <c r="J608" s="45" t="s">
        <v>32</v>
      </c>
      <c r="K608" s="45" t="s">
        <v>33</v>
      </c>
      <c r="L608" s="46">
        <v>85</v>
      </c>
      <c r="M608" s="43">
        <f t="shared" si="58"/>
        <v>8.54209253271625</v>
      </c>
      <c r="N608" s="46" t="s">
        <v>57</v>
      </c>
      <c r="O608" s="44"/>
      <c r="P608" s="48"/>
      <c r="Q608" s="8">
        <f>VLOOKUP($F608,[1]装箱单!$A:$E,5,0)</f>
        <v>64.135</v>
      </c>
      <c r="R608" s="8">
        <f>VLOOKUP($F608,[1]装箱单!$A:$F,6,0)</f>
        <v>36.83</v>
      </c>
      <c r="S608" s="8">
        <f>VLOOKUP($F608,[1]装箱单!$A:$G,7,0)</f>
        <v>42.545</v>
      </c>
      <c r="T608" s="10">
        <f>VLOOKUP($F608,[1]装箱单!$A:$J,10,0)</f>
        <v>0.10049520626725</v>
      </c>
      <c r="U608" s="11">
        <f t="shared" si="59"/>
        <v>8.54209253271625</v>
      </c>
    </row>
    <row r="609" ht="29.1" customHeight="1" spans="1:21">
      <c r="A609" s="40">
        <v>46136</v>
      </c>
      <c r="B609" s="41" t="s">
        <v>27</v>
      </c>
      <c r="C609" s="42" t="s">
        <v>782</v>
      </c>
      <c r="D609" s="43" t="s">
        <v>783</v>
      </c>
      <c r="E609" s="44" t="s">
        <v>785</v>
      </c>
      <c r="F609" s="44" t="s">
        <v>175</v>
      </c>
      <c r="G609" s="44" t="str">
        <f>VLOOKUP(F609,[1]装箱单!$A:$C,3,0)</f>
        <v>投影米奇</v>
      </c>
      <c r="H609" s="44">
        <v>34</v>
      </c>
      <c r="I609" s="45">
        <f>+L609*4</f>
        <v>136</v>
      </c>
      <c r="J609" s="45" t="s">
        <v>32</v>
      </c>
      <c r="K609" s="45" t="s">
        <v>33</v>
      </c>
      <c r="L609" s="46">
        <v>34</v>
      </c>
      <c r="M609" s="43">
        <f t="shared" si="58"/>
        <v>3.4168370130865</v>
      </c>
      <c r="N609" s="46" t="s">
        <v>57</v>
      </c>
      <c r="O609" s="44"/>
      <c r="P609" s="48"/>
      <c r="Q609" s="8">
        <f>VLOOKUP($F609,[1]装箱单!$A:$E,5,0)</f>
        <v>64.135</v>
      </c>
      <c r="R609" s="8">
        <f>VLOOKUP($F609,[1]装箱单!$A:$F,6,0)</f>
        <v>36.83</v>
      </c>
      <c r="S609" s="8">
        <f>VLOOKUP($F609,[1]装箱单!$A:$G,7,0)</f>
        <v>42.545</v>
      </c>
      <c r="T609" s="10">
        <f>VLOOKUP($F609,[1]装箱单!$A:$J,10,0)</f>
        <v>0.10049520626725</v>
      </c>
      <c r="U609" s="11">
        <f t="shared" si="59"/>
        <v>3.4168370130865</v>
      </c>
    </row>
    <row r="610" ht="29.1" customHeight="1" spans="1:21">
      <c r="A610" s="40">
        <v>46136</v>
      </c>
      <c r="B610" s="41" t="s">
        <v>27</v>
      </c>
      <c r="C610" s="42" t="s">
        <v>782</v>
      </c>
      <c r="D610" s="43" t="s">
        <v>783</v>
      </c>
      <c r="E610" s="44" t="s">
        <v>786</v>
      </c>
      <c r="F610" s="44" t="s">
        <v>175</v>
      </c>
      <c r="G610" s="44" t="str">
        <f>VLOOKUP(F610,[1]装箱单!$A:$C,3,0)</f>
        <v>投影米奇</v>
      </c>
      <c r="H610" s="44">
        <v>143</v>
      </c>
      <c r="I610" s="45">
        <f>+L610*4</f>
        <v>572</v>
      </c>
      <c r="J610" s="45" t="s">
        <v>32</v>
      </c>
      <c r="K610" s="45" t="s">
        <v>33</v>
      </c>
      <c r="L610" s="46">
        <v>143</v>
      </c>
      <c r="M610" s="43">
        <f t="shared" si="58"/>
        <v>14.3708144962168</v>
      </c>
      <c r="N610" s="46" t="s">
        <v>57</v>
      </c>
      <c r="O610" s="44"/>
      <c r="P610" s="48"/>
      <c r="Q610" s="8">
        <f>VLOOKUP($F610,[1]装箱单!$A:$E,5,0)</f>
        <v>64.135</v>
      </c>
      <c r="R610" s="8">
        <f>VLOOKUP($F610,[1]装箱单!$A:$F,6,0)</f>
        <v>36.83</v>
      </c>
      <c r="S610" s="8">
        <f>VLOOKUP($F610,[1]装箱单!$A:$G,7,0)</f>
        <v>42.545</v>
      </c>
      <c r="T610" s="10">
        <f>VLOOKUP($F610,[1]装箱单!$A:$J,10,0)</f>
        <v>0.10049520626725</v>
      </c>
      <c r="U610" s="11">
        <f t="shared" si="59"/>
        <v>14.3708144962168</v>
      </c>
    </row>
    <row r="611" ht="29.1" customHeight="1" spans="1:21">
      <c r="A611" s="40">
        <v>46136</v>
      </c>
      <c r="B611" s="41" t="s">
        <v>27</v>
      </c>
      <c r="C611" s="42" t="s">
        <v>782</v>
      </c>
      <c r="D611" s="43" t="s">
        <v>783</v>
      </c>
      <c r="E611" s="44" t="s">
        <v>787</v>
      </c>
      <c r="F611" s="44" t="s">
        <v>175</v>
      </c>
      <c r="G611" s="44" t="str">
        <f>VLOOKUP(F611,[1]装箱单!$A:$C,3,0)</f>
        <v>投影米奇</v>
      </c>
      <c r="H611" s="44">
        <v>100</v>
      </c>
      <c r="I611" s="45">
        <f>+L611*4</f>
        <v>400</v>
      </c>
      <c r="J611" s="45" t="s">
        <v>32</v>
      </c>
      <c r="K611" s="45" t="s">
        <v>33</v>
      </c>
      <c r="L611" s="46">
        <v>100</v>
      </c>
      <c r="M611" s="43">
        <f t="shared" si="58"/>
        <v>10.049520626725</v>
      </c>
      <c r="N611" s="46" t="s">
        <v>57</v>
      </c>
      <c r="O611" s="44"/>
      <c r="P611" s="48"/>
      <c r="Q611" s="8">
        <f>VLOOKUP($F611,[1]装箱单!$A:$E,5,0)</f>
        <v>64.135</v>
      </c>
      <c r="R611" s="8">
        <f>VLOOKUP($F611,[1]装箱单!$A:$F,6,0)</f>
        <v>36.83</v>
      </c>
      <c r="S611" s="8">
        <f>VLOOKUP($F611,[1]装箱单!$A:$G,7,0)</f>
        <v>42.545</v>
      </c>
      <c r="T611" s="10">
        <f>VLOOKUP($F611,[1]装箱单!$A:$J,10,0)</f>
        <v>0.10049520626725</v>
      </c>
      <c r="U611" s="11">
        <f t="shared" si="59"/>
        <v>10.049520626725</v>
      </c>
    </row>
    <row r="612" ht="29.1" customHeight="1" spans="1:21">
      <c r="A612" s="40">
        <v>46136</v>
      </c>
      <c r="B612" s="41" t="s">
        <v>27</v>
      </c>
      <c r="C612" s="42" t="s">
        <v>782</v>
      </c>
      <c r="D612" s="43" t="s">
        <v>783</v>
      </c>
      <c r="E612" s="44" t="s">
        <v>788</v>
      </c>
      <c r="F612" s="44" t="s">
        <v>30</v>
      </c>
      <c r="G612" s="44" t="str">
        <f>VLOOKUP(F612,[1]装箱单!$A:$C,3,0)</f>
        <v>摇摆米奇</v>
      </c>
      <c r="H612" s="44">
        <v>34</v>
      </c>
      <c r="I612" s="45">
        <f>+L612*3</f>
        <v>102</v>
      </c>
      <c r="J612" s="45" t="s">
        <v>32</v>
      </c>
      <c r="K612" s="45" t="s">
        <v>33</v>
      </c>
      <c r="L612" s="46">
        <v>34</v>
      </c>
      <c r="M612" s="43">
        <f t="shared" si="58"/>
        <v>2.571085277174</v>
      </c>
      <c r="N612" s="46" t="s">
        <v>57</v>
      </c>
      <c r="O612" s="44"/>
      <c r="P612" s="48"/>
      <c r="Q612" s="8">
        <f>VLOOKUP($F612,[1]装箱单!$A:$E,5,0)</f>
        <v>48.26</v>
      </c>
      <c r="R612" s="8">
        <f>VLOOKUP($F612,[1]装箱单!$A:$F,6,0)</f>
        <v>36.83</v>
      </c>
      <c r="S612" s="8">
        <f>VLOOKUP($F612,[1]装箱单!$A:$G,7,0)</f>
        <v>42.545</v>
      </c>
      <c r="T612" s="10">
        <f>VLOOKUP($F612,[1]装箱单!$A:$J,10,0)</f>
        <v>0.075620155211</v>
      </c>
      <c r="U612" s="11">
        <f t="shared" si="59"/>
        <v>2.571085277174</v>
      </c>
    </row>
    <row r="613" ht="29.1" customHeight="1" spans="1:21">
      <c r="A613" s="40">
        <v>46136</v>
      </c>
      <c r="B613" s="41" t="s">
        <v>27</v>
      </c>
      <c r="C613" s="42" t="s">
        <v>782</v>
      </c>
      <c r="D613" s="43" t="s">
        <v>783</v>
      </c>
      <c r="E613" s="44" t="s">
        <v>789</v>
      </c>
      <c r="F613" s="44" t="s">
        <v>30</v>
      </c>
      <c r="G613" s="44" t="str">
        <f>VLOOKUP(F613,[1]装箱单!$A:$C,3,0)</f>
        <v>摇摆米奇</v>
      </c>
      <c r="H613" s="44">
        <v>34</v>
      </c>
      <c r="I613" s="45">
        <f>+L613*3</f>
        <v>102</v>
      </c>
      <c r="J613" s="45" t="s">
        <v>32</v>
      </c>
      <c r="K613" s="45" t="s">
        <v>33</v>
      </c>
      <c r="L613" s="46">
        <v>34</v>
      </c>
      <c r="M613" s="43">
        <f t="shared" si="58"/>
        <v>2.571085277174</v>
      </c>
      <c r="N613" s="46" t="s">
        <v>57</v>
      </c>
      <c r="O613" s="44"/>
      <c r="P613" s="48"/>
      <c r="Q613" s="8">
        <f>VLOOKUP($F613,[1]装箱单!$A:$E,5,0)</f>
        <v>48.26</v>
      </c>
      <c r="R613" s="8">
        <f>VLOOKUP($F613,[1]装箱单!$A:$F,6,0)</f>
        <v>36.83</v>
      </c>
      <c r="S613" s="8">
        <f>VLOOKUP($F613,[1]装箱单!$A:$G,7,0)</f>
        <v>42.545</v>
      </c>
      <c r="T613" s="10">
        <f>VLOOKUP($F613,[1]装箱单!$A:$J,10,0)</f>
        <v>0.075620155211</v>
      </c>
      <c r="U613" s="11">
        <f t="shared" si="59"/>
        <v>2.571085277174</v>
      </c>
    </row>
    <row r="614" ht="29.1" customHeight="1" spans="1:21">
      <c r="A614" s="40">
        <v>46136</v>
      </c>
      <c r="B614" s="41" t="s">
        <v>54</v>
      </c>
      <c r="C614" s="42" t="s">
        <v>790</v>
      </c>
      <c r="D614" s="43" t="s">
        <v>791</v>
      </c>
      <c r="E614" s="44" t="s">
        <v>792</v>
      </c>
      <c r="F614" s="44">
        <v>28472</v>
      </c>
      <c r="G614" s="44" t="str">
        <f>VLOOKUP(F614,[1]装箱单!$A:$C,3,0)</f>
        <v>狮子</v>
      </c>
      <c r="H614" s="44">
        <v>600</v>
      </c>
      <c r="I614" s="45">
        <f>+L614</f>
        <v>240</v>
      </c>
      <c r="J614" s="45" t="s">
        <v>32</v>
      </c>
      <c r="K614" s="45" t="s">
        <v>33</v>
      </c>
      <c r="L614" s="46">
        <v>240</v>
      </c>
      <c r="M614" s="43">
        <f t="shared" si="58"/>
        <v>4.4064</v>
      </c>
      <c r="N614" s="46" t="s">
        <v>57</v>
      </c>
      <c r="O614" s="44"/>
      <c r="P614" s="48"/>
      <c r="Q614" s="8">
        <f>VLOOKUP($F614,[1]装箱单!$A:$E,5,0)</f>
        <v>30</v>
      </c>
      <c r="R614" s="8">
        <f>VLOOKUP($F614,[1]装箱单!$A:$F,6,0)</f>
        <v>17</v>
      </c>
      <c r="S614" s="8">
        <f>VLOOKUP($F614,[1]装箱单!$A:$G,7,0)</f>
        <v>36</v>
      </c>
      <c r="T614" s="10">
        <f>VLOOKUP($F614,[1]装箱单!$A:$J,10,0)</f>
        <v>0.01836</v>
      </c>
      <c r="U614" s="11">
        <f t="shared" si="59"/>
        <v>4.4064</v>
      </c>
    </row>
    <row r="615" ht="29.1" customHeight="1" spans="1:21">
      <c r="A615" s="40">
        <v>46136</v>
      </c>
      <c r="B615" s="41" t="s">
        <v>54</v>
      </c>
      <c r="C615" s="42" t="s">
        <v>793</v>
      </c>
      <c r="D615" s="43" t="s">
        <v>794</v>
      </c>
      <c r="E615" s="44" t="s">
        <v>795</v>
      </c>
      <c r="F615" s="44">
        <v>28472</v>
      </c>
      <c r="G615" s="44" t="str">
        <f>VLOOKUP(F615,[1]装箱单!$A:$C,3,0)</f>
        <v>狮子</v>
      </c>
      <c r="H615" s="44">
        <v>600</v>
      </c>
      <c r="I615" s="45">
        <f>+L615</f>
        <v>600</v>
      </c>
      <c r="J615" s="45" t="s">
        <v>32</v>
      </c>
      <c r="K615" s="45" t="s">
        <v>33</v>
      </c>
      <c r="L615" s="46">
        <v>600</v>
      </c>
      <c r="M615" s="43">
        <f t="shared" si="58"/>
        <v>11.016</v>
      </c>
      <c r="N615" s="46" t="s">
        <v>57</v>
      </c>
      <c r="O615" s="44"/>
      <c r="P615" s="48"/>
      <c r="Q615" s="8">
        <f>VLOOKUP($F615,[1]装箱单!$A:$E,5,0)</f>
        <v>30</v>
      </c>
      <c r="R615" s="8">
        <f>VLOOKUP($F615,[1]装箱单!$A:$F,6,0)</f>
        <v>17</v>
      </c>
      <c r="S615" s="8">
        <f>VLOOKUP($F615,[1]装箱单!$A:$G,7,0)</f>
        <v>36</v>
      </c>
      <c r="T615" s="10">
        <f>VLOOKUP($F615,[1]装箱单!$A:$J,10,0)</f>
        <v>0.01836</v>
      </c>
      <c r="U615" s="11">
        <f t="shared" si="59"/>
        <v>11.016</v>
      </c>
    </row>
    <row r="616" ht="29.1" customHeight="1" spans="1:21">
      <c r="A616" s="40">
        <v>46136</v>
      </c>
      <c r="B616" s="41" t="s">
        <v>40</v>
      </c>
      <c r="C616" s="42" t="s">
        <v>796</v>
      </c>
      <c r="D616" s="43" t="s">
        <v>797</v>
      </c>
      <c r="E616" s="44" t="s">
        <v>798</v>
      </c>
      <c r="F616" s="44">
        <v>28458</v>
      </c>
      <c r="G616" s="44" t="str">
        <f>VLOOKUP(F616,[1]装箱单!$A:$C,3,0)</f>
        <v>五款硅胶手感球</v>
      </c>
      <c r="H616" s="44">
        <v>1434</v>
      </c>
      <c r="I616" s="45">
        <f>+L616*3</f>
        <v>1434</v>
      </c>
      <c r="J616" s="45" t="s">
        <v>32</v>
      </c>
      <c r="K616" s="45" t="s">
        <v>33</v>
      </c>
      <c r="L616" s="46">
        <v>478</v>
      </c>
      <c r="M616" s="43">
        <f t="shared" si="58"/>
        <v>9.956911312332</v>
      </c>
      <c r="N616" s="46" t="s">
        <v>57</v>
      </c>
      <c r="O616" s="44"/>
      <c r="P616" s="48"/>
      <c r="Q616" s="8">
        <f>VLOOKUP($F616,[1]装箱单!$A:$E,5,0)</f>
        <v>26.99</v>
      </c>
      <c r="R616" s="8">
        <f>VLOOKUP($F616,[1]装箱单!$A:$F,6,0)</f>
        <v>27.31</v>
      </c>
      <c r="S616" s="8">
        <f>VLOOKUP($F616,[1]装箱单!$A:$G,7,0)</f>
        <v>28.26</v>
      </c>
      <c r="T616" s="10">
        <f>VLOOKUP($F616,[1]装箱单!$A:$J,10,0)</f>
        <v>0.020830358394</v>
      </c>
      <c r="U616" s="11">
        <f t="shared" si="59"/>
        <v>9.956911312332</v>
      </c>
    </row>
    <row r="617" ht="29.1" customHeight="1" spans="1:21">
      <c r="A617" s="40">
        <v>46136</v>
      </c>
      <c r="B617" s="41" t="s">
        <v>40</v>
      </c>
      <c r="C617" s="42" t="s">
        <v>799</v>
      </c>
      <c r="D617" s="43" t="s">
        <v>800</v>
      </c>
      <c r="E617" s="44" t="s">
        <v>801</v>
      </c>
      <c r="F617" s="44" t="s">
        <v>179</v>
      </c>
      <c r="G617" s="44" t="str">
        <f>VLOOKUP(F617,[1]装箱单!$A:$C,3,0)</f>
        <v>搪胶小鸭</v>
      </c>
      <c r="H617" s="44">
        <v>180</v>
      </c>
      <c r="I617" s="45">
        <f>+L617*24</f>
        <v>4320</v>
      </c>
      <c r="J617" s="45" t="s">
        <v>32</v>
      </c>
      <c r="K617" s="45" t="s">
        <v>33</v>
      </c>
      <c r="L617" s="46">
        <v>180</v>
      </c>
      <c r="M617" s="43">
        <f t="shared" si="58"/>
        <v>2.39382</v>
      </c>
      <c r="N617" s="46" t="s">
        <v>57</v>
      </c>
      <c r="O617" s="44"/>
      <c r="P617" s="48"/>
      <c r="Q617" s="8">
        <f>VLOOKUP($F617,[1]装箱单!$A:$E,5,0)</f>
        <v>31</v>
      </c>
      <c r="R617" s="8">
        <f>VLOOKUP($F617,[1]装箱单!$A:$F,6,0)</f>
        <v>22</v>
      </c>
      <c r="S617" s="8">
        <f>VLOOKUP($F617,[1]装箱单!$A:$G,7,0)</f>
        <v>19.5</v>
      </c>
      <c r="T617" s="10">
        <f>VLOOKUP($F617,[1]装箱单!$A:$J,10,0)</f>
        <v>0.013299</v>
      </c>
      <c r="U617" s="11">
        <f t="shared" si="59"/>
        <v>2.39382</v>
      </c>
    </row>
    <row r="618" ht="29.1" customHeight="1" spans="1:21">
      <c r="A618" s="40">
        <v>46136</v>
      </c>
      <c r="B618" s="41" t="s">
        <v>316</v>
      </c>
      <c r="C618" s="42" t="s">
        <v>802</v>
      </c>
      <c r="D618" s="43" t="s">
        <v>803</v>
      </c>
      <c r="E618" s="44" t="s">
        <v>804</v>
      </c>
      <c r="F618" s="44" t="s">
        <v>115</v>
      </c>
      <c r="G618" s="44" t="str">
        <f>VLOOKUP(F618,[1]装箱单!$A:$C,3,0)</f>
        <v>搪胶小鸭</v>
      </c>
      <c r="H618" s="44">
        <v>400</v>
      </c>
      <c r="I618" s="45">
        <f>+L618*36</f>
        <v>14400</v>
      </c>
      <c r="J618" s="45" t="s">
        <v>32</v>
      </c>
      <c r="K618" s="45" t="s">
        <v>33</v>
      </c>
      <c r="L618" s="46">
        <v>400</v>
      </c>
      <c r="M618" s="43">
        <f t="shared" si="58"/>
        <v>4.147975575</v>
      </c>
      <c r="N618" s="46" t="s">
        <v>57</v>
      </c>
      <c r="O618" s="44"/>
      <c r="P618" s="48"/>
      <c r="Q618" s="8">
        <f>VLOOKUP($F618,[1]装箱单!$A:$E,5,0)</f>
        <v>31.75</v>
      </c>
      <c r="R618" s="8">
        <f>VLOOKUP($F618,[1]装箱单!$A:$F,6,0)</f>
        <v>17.145</v>
      </c>
      <c r="S618" s="8">
        <f>VLOOKUP($F618,[1]装箱单!$A:$G,7,0)</f>
        <v>19.05</v>
      </c>
      <c r="T618" s="10">
        <f>VLOOKUP($F618,[1]装箱单!$A:$J,10,0)</f>
        <v>0.0103699389375</v>
      </c>
      <c r="U618" s="11">
        <f t="shared" si="59"/>
        <v>4.147975575</v>
      </c>
    </row>
    <row r="619" ht="29.1" customHeight="1" spans="1:21">
      <c r="A619" s="40">
        <v>46136</v>
      </c>
      <c r="B619" s="41" t="s">
        <v>316</v>
      </c>
      <c r="C619" s="42" t="s">
        <v>802</v>
      </c>
      <c r="D619" s="43" t="s">
        <v>803</v>
      </c>
      <c r="E619" s="44" t="s">
        <v>804</v>
      </c>
      <c r="F619" s="44" t="s">
        <v>115</v>
      </c>
      <c r="G619" s="44" t="str">
        <f>VLOOKUP(F619,[1]装箱单!$A:$C,3,0)</f>
        <v>搪胶小鸭</v>
      </c>
      <c r="H619" s="44">
        <v>335</v>
      </c>
      <c r="I619" s="45">
        <f>+L619*36</f>
        <v>12060</v>
      </c>
      <c r="J619" s="45" t="s">
        <v>32</v>
      </c>
      <c r="K619" s="45" t="s">
        <v>33</v>
      </c>
      <c r="L619" s="46">
        <v>335</v>
      </c>
      <c r="M619" s="43">
        <f t="shared" si="58"/>
        <v>3.4739295440625</v>
      </c>
      <c r="N619" s="46" t="s">
        <v>57</v>
      </c>
      <c r="O619" s="44"/>
      <c r="P619" s="48"/>
      <c r="Q619" s="8">
        <f>VLOOKUP($F619,[1]装箱单!$A:$E,5,0)</f>
        <v>31.75</v>
      </c>
      <c r="R619" s="8">
        <f>VLOOKUP($F619,[1]装箱单!$A:$F,6,0)</f>
        <v>17.145</v>
      </c>
      <c r="S619" s="8">
        <f>VLOOKUP($F619,[1]装箱单!$A:$G,7,0)</f>
        <v>19.05</v>
      </c>
      <c r="T619" s="10">
        <f>VLOOKUP($F619,[1]装箱单!$A:$J,10,0)</f>
        <v>0.0103699389375</v>
      </c>
      <c r="U619" s="11">
        <f t="shared" si="59"/>
        <v>3.4739295440625</v>
      </c>
    </row>
    <row r="620" ht="29.1" customHeight="1" spans="1:21">
      <c r="A620" s="40">
        <v>46136</v>
      </c>
      <c r="B620" s="41" t="s">
        <v>805</v>
      </c>
      <c r="C620" s="42" t="s">
        <v>806</v>
      </c>
      <c r="D620" s="43" t="s">
        <v>807</v>
      </c>
      <c r="E620" s="44" t="s">
        <v>808</v>
      </c>
      <c r="F620" s="44">
        <v>33477</v>
      </c>
      <c r="G620" s="44" t="str">
        <f>VLOOKUP(F620,[1]装箱单!$A:$C,3,0)</f>
        <v>搪小鸭外星史迪仔</v>
      </c>
      <c r="H620" s="44">
        <v>1000</v>
      </c>
      <c r="I620" s="45">
        <v>1000</v>
      </c>
      <c r="J620" s="45" t="s">
        <v>32</v>
      </c>
      <c r="K620" s="45" t="s">
        <v>33</v>
      </c>
      <c r="L620" s="50">
        <v>50</v>
      </c>
      <c r="M620" s="119">
        <v>10</v>
      </c>
      <c r="N620" s="46" t="s">
        <v>57</v>
      </c>
      <c r="O620" s="49" t="s">
        <v>809</v>
      </c>
      <c r="P620" s="48"/>
      <c r="Q620" s="8">
        <f>VLOOKUP($F620,[1]装箱单!$A:$E,5,0)</f>
        <v>0</v>
      </c>
      <c r="R620" s="8">
        <f>VLOOKUP($F620,[1]装箱单!$A:$F,6,0)</f>
        <v>0</v>
      </c>
      <c r="S620" s="8">
        <f>VLOOKUP($F620,[1]装箱单!$A:$G,7,0)</f>
        <v>0</v>
      </c>
      <c r="T620" s="10">
        <f>VLOOKUP($F620,[1]装箱单!$A:$J,10,0)</f>
        <v>0</v>
      </c>
      <c r="U620" s="11">
        <f t="shared" si="59"/>
        <v>0</v>
      </c>
    </row>
    <row r="621" ht="29.1" customHeight="1" spans="1:21">
      <c r="A621" s="40">
        <v>46136</v>
      </c>
      <c r="B621" s="41" t="s">
        <v>450</v>
      </c>
      <c r="C621" s="42" t="s">
        <v>810</v>
      </c>
      <c r="D621" s="43" t="s">
        <v>811</v>
      </c>
      <c r="E621" s="139" t="s">
        <v>812</v>
      </c>
      <c r="F621" s="44">
        <v>33477</v>
      </c>
      <c r="G621" s="44" t="str">
        <f>VLOOKUP(F621,[1]装箱单!$A:$C,3,0)</f>
        <v>搪小鸭外星史迪仔</v>
      </c>
      <c r="H621" s="44">
        <v>770</v>
      </c>
      <c r="I621" s="45">
        <v>770</v>
      </c>
      <c r="J621" s="45" t="s">
        <v>32</v>
      </c>
      <c r="K621" s="45" t="s">
        <v>33</v>
      </c>
      <c r="L621" s="54"/>
      <c r="M621" s="124"/>
      <c r="N621" s="46" t="s">
        <v>57</v>
      </c>
      <c r="O621" s="53"/>
      <c r="P621" s="48"/>
      <c r="Q621" s="8">
        <f>VLOOKUP($F621,[1]装箱单!$A:$E,5,0)</f>
        <v>0</v>
      </c>
      <c r="R621" s="8">
        <f>VLOOKUP($F621,[1]装箱单!$A:$F,6,0)</f>
        <v>0</v>
      </c>
      <c r="S621" s="8">
        <f>VLOOKUP($F621,[1]装箱单!$A:$G,7,0)</f>
        <v>0</v>
      </c>
      <c r="T621" s="10">
        <f>VLOOKUP($F621,[1]装箱单!$A:$J,10,0)</f>
        <v>0</v>
      </c>
      <c r="U621" s="11">
        <f t="shared" si="59"/>
        <v>0</v>
      </c>
    </row>
    <row r="622" ht="29.1" customHeight="1" spans="1:21">
      <c r="A622" s="40">
        <v>46136</v>
      </c>
      <c r="B622" s="41" t="s">
        <v>450</v>
      </c>
      <c r="C622" s="42" t="s">
        <v>813</v>
      </c>
      <c r="D622" s="43" t="s">
        <v>814</v>
      </c>
      <c r="E622" s="139" t="s">
        <v>815</v>
      </c>
      <c r="F622" s="44">
        <v>33477</v>
      </c>
      <c r="G622" s="44" t="str">
        <f>VLOOKUP(F622,[1]装箱单!$A:$C,3,0)</f>
        <v>搪小鸭外星史迪仔</v>
      </c>
      <c r="H622" s="44">
        <v>660</v>
      </c>
      <c r="I622" s="45">
        <v>660</v>
      </c>
      <c r="J622" s="45" t="s">
        <v>32</v>
      </c>
      <c r="K622" s="45" t="s">
        <v>33</v>
      </c>
      <c r="L622" s="54"/>
      <c r="M622" s="124"/>
      <c r="N622" s="46" t="s">
        <v>57</v>
      </c>
      <c r="O622" s="53"/>
      <c r="P622" s="48"/>
      <c r="Q622" s="8">
        <f>VLOOKUP($F622,[1]装箱单!$A:$E,5,0)</f>
        <v>0</v>
      </c>
      <c r="R622" s="8">
        <f>VLOOKUP($F622,[1]装箱单!$A:$F,6,0)</f>
        <v>0</v>
      </c>
      <c r="S622" s="8">
        <f>VLOOKUP($F622,[1]装箱单!$A:$G,7,0)</f>
        <v>0</v>
      </c>
      <c r="T622" s="10">
        <f>VLOOKUP($F622,[1]装箱单!$A:$J,10,0)</f>
        <v>0</v>
      </c>
      <c r="U622" s="11">
        <f t="shared" si="59"/>
        <v>0</v>
      </c>
    </row>
    <row r="623" ht="29.1" customHeight="1" spans="1:21">
      <c r="A623" s="40">
        <v>46136</v>
      </c>
      <c r="B623" s="41" t="s">
        <v>450</v>
      </c>
      <c r="C623" s="42" t="s">
        <v>816</v>
      </c>
      <c r="D623" s="43" t="s">
        <v>817</v>
      </c>
      <c r="E623" s="139" t="s">
        <v>818</v>
      </c>
      <c r="F623" s="44">
        <v>33477</v>
      </c>
      <c r="G623" s="44" t="str">
        <f>VLOOKUP(F623,[1]装箱单!$A:$C,3,0)</f>
        <v>搪小鸭外星史迪仔</v>
      </c>
      <c r="H623" s="44">
        <v>330</v>
      </c>
      <c r="I623" s="45">
        <v>330</v>
      </c>
      <c r="J623" s="45" t="s">
        <v>32</v>
      </c>
      <c r="K623" s="45" t="s">
        <v>33</v>
      </c>
      <c r="L623" s="54"/>
      <c r="M623" s="124"/>
      <c r="N623" s="46" t="s">
        <v>57</v>
      </c>
      <c r="O623" s="53"/>
      <c r="P623" s="48"/>
      <c r="Q623" s="8">
        <f>VLOOKUP($F623,[1]装箱单!$A:$E,5,0)</f>
        <v>0</v>
      </c>
      <c r="R623" s="8">
        <f>VLOOKUP($F623,[1]装箱单!$A:$F,6,0)</f>
        <v>0</v>
      </c>
      <c r="S623" s="8">
        <f>VLOOKUP($F623,[1]装箱单!$A:$G,7,0)</f>
        <v>0</v>
      </c>
      <c r="T623" s="10">
        <f>VLOOKUP($F623,[1]装箱单!$A:$J,10,0)</f>
        <v>0</v>
      </c>
      <c r="U623" s="11">
        <f t="shared" si="59"/>
        <v>0</v>
      </c>
    </row>
    <row r="624" ht="29.1" customHeight="1" spans="1:21">
      <c r="A624" s="40">
        <v>46136</v>
      </c>
      <c r="B624" s="41" t="s">
        <v>450</v>
      </c>
      <c r="C624" s="42" t="s">
        <v>819</v>
      </c>
      <c r="D624" s="43" t="s">
        <v>820</v>
      </c>
      <c r="E624" s="139" t="s">
        <v>821</v>
      </c>
      <c r="F624" s="44">
        <v>33477</v>
      </c>
      <c r="G624" s="44" t="str">
        <f>VLOOKUP(F624,[1]装箱单!$A:$C,3,0)</f>
        <v>搪小鸭外星史迪仔</v>
      </c>
      <c r="H624" s="44">
        <v>330</v>
      </c>
      <c r="I624" s="45">
        <v>330</v>
      </c>
      <c r="J624" s="45" t="s">
        <v>32</v>
      </c>
      <c r="K624" s="45" t="s">
        <v>33</v>
      </c>
      <c r="L624" s="54"/>
      <c r="M624" s="124"/>
      <c r="N624" s="46" t="s">
        <v>57</v>
      </c>
      <c r="O624" s="53"/>
      <c r="P624" s="48"/>
      <c r="Q624" s="8">
        <f>VLOOKUP($F624,[1]装箱单!$A:$E,5,0)</f>
        <v>0</v>
      </c>
      <c r="R624" s="8">
        <f>VLOOKUP($F624,[1]装箱单!$A:$F,6,0)</f>
        <v>0</v>
      </c>
      <c r="S624" s="8">
        <f>VLOOKUP($F624,[1]装箱单!$A:$G,7,0)</f>
        <v>0</v>
      </c>
      <c r="T624" s="10">
        <f>VLOOKUP($F624,[1]装箱单!$A:$J,10,0)</f>
        <v>0</v>
      </c>
      <c r="U624" s="11">
        <f t="shared" si="59"/>
        <v>0</v>
      </c>
    </row>
    <row r="625" ht="29.1" customHeight="1" spans="1:21">
      <c r="A625" s="40">
        <v>46136</v>
      </c>
      <c r="B625" s="41" t="s">
        <v>450</v>
      </c>
      <c r="C625" s="42" t="s">
        <v>822</v>
      </c>
      <c r="D625" s="43" t="s">
        <v>823</v>
      </c>
      <c r="E625" s="139" t="s">
        <v>824</v>
      </c>
      <c r="F625" s="44">
        <v>33477</v>
      </c>
      <c r="G625" s="44" t="str">
        <f>VLOOKUP(F625,[1]装箱单!$A:$C,3,0)</f>
        <v>搪小鸭外星史迪仔</v>
      </c>
      <c r="H625" s="44">
        <v>550</v>
      </c>
      <c r="I625" s="45">
        <v>550</v>
      </c>
      <c r="J625" s="45" t="s">
        <v>32</v>
      </c>
      <c r="K625" s="45" t="s">
        <v>33</v>
      </c>
      <c r="L625" s="54"/>
      <c r="M625" s="124"/>
      <c r="N625" s="46" t="s">
        <v>57</v>
      </c>
      <c r="O625" s="53"/>
      <c r="P625" s="48"/>
      <c r="Q625" s="8">
        <f>VLOOKUP($F625,[1]装箱单!$A:$E,5,0)</f>
        <v>0</v>
      </c>
      <c r="R625" s="8">
        <f>VLOOKUP($F625,[1]装箱单!$A:$F,6,0)</f>
        <v>0</v>
      </c>
      <c r="S625" s="8">
        <f>VLOOKUP($F625,[1]装箱单!$A:$G,7,0)</f>
        <v>0</v>
      </c>
      <c r="T625" s="10">
        <f>VLOOKUP($F625,[1]装箱单!$A:$J,10,0)</f>
        <v>0</v>
      </c>
      <c r="U625" s="11">
        <f t="shared" si="59"/>
        <v>0</v>
      </c>
    </row>
    <row r="626" ht="29.1" customHeight="1" spans="1:21">
      <c r="A626" s="40">
        <v>46136</v>
      </c>
      <c r="B626" s="41" t="s">
        <v>450</v>
      </c>
      <c r="C626" s="42" t="s">
        <v>825</v>
      </c>
      <c r="D626" s="43" t="s">
        <v>826</v>
      </c>
      <c r="E626" s="139" t="s">
        <v>827</v>
      </c>
      <c r="F626" s="44">
        <v>33477</v>
      </c>
      <c r="G626" s="44" t="str">
        <f>VLOOKUP(F626,[1]装箱单!$A:$C,3,0)</f>
        <v>搪小鸭外星史迪仔</v>
      </c>
      <c r="H626" s="44">
        <v>550</v>
      </c>
      <c r="I626" s="45">
        <v>550</v>
      </c>
      <c r="J626" s="45" t="s">
        <v>32</v>
      </c>
      <c r="K626" s="45" t="s">
        <v>33</v>
      </c>
      <c r="L626" s="54"/>
      <c r="M626" s="124"/>
      <c r="N626" s="46" t="s">
        <v>57</v>
      </c>
      <c r="O626" s="53"/>
      <c r="P626" s="48"/>
      <c r="Q626" s="8">
        <f>VLOOKUP($F626,[1]装箱单!$A:$E,5,0)</f>
        <v>0</v>
      </c>
      <c r="R626" s="8">
        <f>VLOOKUP($F626,[1]装箱单!$A:$F,6,0)</f>
        <v>0</v>
      </c>
      <c r="S626" s="8">
        <f>VLOOKUP($F626,[1]装箱单!$A:$G,7,0)</f>
        <v>0</v>
      </c>
      <c r="T626" s="10">
        <f>VLOOKUP($F626,[1]装箱单!$A:$J,10,0)</f>
        <v>0</v>
      </c>
      <c r="U626" s="11">
        <f t="shared" si="59"/>
        <v>0</v>
      </c>
    </row>
    <row r="627" ht="29.1" customHeight="1" spans="1:21">
      <c r="A627" s="40">
        <v>46136</v>
      </c>
      <c r="B627" s="41" t="s">
        <v>450</v>
      </c>
      <c r="C627" s="42" t="s">
        <v>828</v>
      </c>
      <c r="D627" s="43" t="s">
        <v>829</v>
      </c>
      <c r="E627" s="139" t="s">
        <v>830</v>
      </c>
      <c r="F627" s="44">
        <v>33477</v>
      </c>
      <c r="G627" s="44" t="str">
        <f>VLOOKUP(F627,[1]装箱单!$A:$C,3,0)</f>
        <v>搪小鸭外星史迪仔</v>
      </c>
      <c r="H627" s="44">
        <v>440</v>
      </c>
      <c r="I627" s="45">
        <v>440</v>
      </c>
      <c r="J627" s="45" t="s">
        <v>32</v>
      </c>
      <c r="K627" s="45" t="s">
        <v>33</v>
      </c>
      <c r="L627" s="54"/>
      <c r="M627" s="124"/>
      <c r="N627" s="46" t="s">
        <v>57</v>
      </c>
      <c r="O627" s="53"/>
      <c r="P627" s="48"/>
      <c r="Q627" s="8">
        <f>VLOOKUP($F627,[1]装箱单!$A:$E,5,0)</f>
        <v>0</v>
      </c>
      <c r="R627" s="8">
        <f>VLOOKUP($F627,[1]装箱单!$A:$F,6,0)</f>
        <v>0</v>
      </c>
      <c r="S627" s="8">
        <f>VLOOKUP($F627,[1]装箱单!$A:$G,7,0)</f>
        <v>0</v>
      </c>
      <c r="T627" s="10">
        <f>VLOOKUP($F627,[1]装箱单!$A:$J,10,0)</f>
        <v>0</v>
      </c>
      <c r="U627" s="11">
        <f t="shared" si="59"/>
        <v>0</v>
      </c>
    </row>
    <row r="628" ht="29.1" customHeight="1" spans="1:21">
      <c r="A628" s="40">
        <v>46136</v>
      </c>
      <c r="B628" s="41" t="s">
        <v>450</v>
      </c>
      <c r="C628" s="42" t="s">
        <v>831</v>
      </c>
      <c r="D628" s="43" t="s">
        <v>832</v>
      </c>
      <c r="E628" s="139" t="s">
        <v>833</v>
      </c>
      <c r="F628" s="44">
        <v>33477</v>
      </c>
      <c r="G628" s="44" t="str">
        <f>VLOOKUP(F628,[1]装箱单!$A:$C,3,0)</f>
        <v>搪小鸭外星史迪仔</v>
      </c>
      <c r="H628" s="44">
        <v>330</v>
      </c>
      <c r="I628" s="45">
        <v>330</v>
      </c>
      <c r="J628" s="45" t="s">
        <v>32</v>
      </c>
      <c r="K628" s="45" t="s">
        <v>33</v>
      </c>
      <c r="L628" s="54"/>
      <c r="M628" s="124"/>
      <c r="N628" s="46" t="s">
        <v>57</v>
      </c>
      <c r="O628" s="53"/>
      <c r="P628" s="48"/>
      <c r="Q628" s="8">
        <f>VLOOKUP($F628,[1]装箱单!$A:$E,5,0)</f>
        <v>0</v>
      </c>
      <c r="R628" s="8">
        <f>VLOOKUP($F628,[1]装箱单!$A:$F,6,0)</f>
        <v>0</v>
      </c>
      <c r="S628" s="8">
        <f>VLOOKUP($F628,[1]装箱单!$A:$G,7,0)</f>
        <v>0</v>
      </c>
      <c r="T628" s="10">
        <f>VLOOKUP($F628,[1]装箱单!$A:$J,10,0)</f>
        <v>0</v>
      </c>
      <c r="U628" s="11">
        <f t="shared" si="59"/>
        <v>0</v>
      </c>
    </row>
    <row r="629" ht="29.1" customHeight="1" spans="1:21">
      <c r="A629" s="40">
        <v>46136</v>
      </c>
      <c r="B629" s="41" t="s">
        <v>450</v>
      </c>
      <c r="C629" s="42" t="s">
        <v>834</v>
      </c>
      <c r="D629" s="43" t="s">
        <v>835</v>
      </c>
      <c r="E629" s="139" t="s">
        <v>836</v>
      </c>
      <c r="F629" s="44">
        <v>33477</v>
      </c>
      <c r="G629" s="44" t="str">
        <f>VLOOKUP(F629,[1]装箱单!$A:$C,3,0)</f>
        <v>搪小鸭外星史迪仔</v>
      </c>
      <c r="H629" s="44">
        <v>440</v>
      </c>
      <c r="I629" s="45">
        <v>440</v>
      </c>
      <c r="J629" s="45" t="s">
        <v>32</v>
      </c>
      <c r="K629" s="45" t="s">
        <v>33</v>
      </c>
      <c r="L629" s="54"/>
      <c r="M629" s="124"/>
      <c r="N629" s="46" t="s">
        <v>57</v>
      </c>
      <c r="O629" s="53"/>
      <c r="P629" s="48"/>
      <c r="Q629" s="8">
        <f>VLOOKUP($F629,[1]装箱单!$A:$E,5,0)</f>
        <v>0</v>
      </c>
      <c r="R629" s="8">
        <f>VLOOKUP($F629,[1]装箱单!$A:$F,6,0)</f>
        <v>0</v>
      </c>
      <c r="S629" s="8">
        <f>VLOOKUP($F629,[1]装箱单!$A:$G,7,0)</f>
        <v>0</v>
      </c>
      <c r="T629" s="10">
        <f>VLOOKUP($F629,[1]装箱单!$A:$J,10,0)</f>
        <v>0</v>
      </c>
      <c r="U629" s="11">
        <f t="shared" si="59"/>
        <v>0</v>
      </c>
    </row>
    <row r="630" ht="29.1" customHeight="1" spans="1:21">
      <c r="A630" s="40">
        <v>46136</v>
      </c>
      <c r="B630" s="41" t="s">
        <v>450</v>
      </c>
      <c r="C630" s="42" t="s">
        <v>837</v>
      </c>
      <c r="D630" s="43" t="s">
        <v>838</v>
      </c>
      <c r="E630" s="139" t="s">
        <v>839</v>
      </c>
      <c r="F630" s="44">
        <v>33477</v>
      </c>
      <c r="G630" s="44" t="str">
        <f>VLOOKUP(F630,[1]装箱单!$A:$C,3,0)</f>
        <v>搪小鸭外星史迪仔</v>
      </c>
      <c r="H630" s="44">
        <v>550</v>
      </c>
      <c r="I630" s="45">
        <v>550</v>
      </c>
      <c r="J630" s="45" t="s">
        <v>32</v>
      </c>
      <c r="K630" s="45" t="s">
        <v>33</v>
      </c>
      <c r="L630" s="54"/>
      <c r="M630" s="124"/>
      <c r="N630" s="46" t="s">
        <v>57</v>
      </c>
      <c r="O630" s="53"/>
      <c r="P630" s="48"/>
      <c r="Q630" s="8">
        <f>VLOOKUP($F630,[1]装箱单!$A:$E,5,0)</f>
        <v>0</v>
      </c>
      <c r="R630" s="8">
        <f>VLOOKUP($F630,[1]装箱单!$A:$F,6,0)</f>
        <v>0</v>
      </c>
      <c r="S630" s="8">
        <f>VLOOKUP($F630,[1]装箱单!$A:$G,7,0)</f>
        <v>0</v>
      </c>
      <c r="T630" s="10">
        <f>VLOOKUP($F630,[1]装箱单!$A:$J,10,0)</f>
        <v>0</v>
      </c>
      <c r="U630" s="11">
        <f t="shared" si="59"/>
        <v>0</v>
      </c>
    </row>
    <row r="631" ht="29.1" customHeight="1" spans="1:21">
      <c r="A631" s="40">
        <v>46136</v>
      </c>
      <c r="B631" s="41" t="s">
        <v>450</v>
      </c>
      <c r="C631" s="42" t="s">
        <v>840</v>
      </c>
      <c r="D631" s="43" t="s">
        <v>841</v>
      </c>
      <c r="E631" s="139" t="s">
        <v>842</v>
      </c>
      <c r="F631" s="44">
        <v>33477</v>
      </c>
      <c r="G631" s="44" t="str">
        <f>VLOOKUP(F631,[1]装箱单!$A:$C,3,0)</f>
        <v>搪小鸭外星史迪仔</v>
      </c>
      <c r="H631" s="44">
        <v>770</v>
      </c>
      <c r="I631" s="45">
        <v>770</v>
      </c>
      <c r="J631" s="45" t="s">
        <v>32</v>
      </c>
      <c r="K631" s="45" t="s">
        <v>33</v>
      </c>
      <c r="L631" s="54"/>
      <c r="M631" s="124"/>
      <c r="N631" s="46" t="s">
        <v>57</v>
      </c>
      <c r="O631" s="53"/>
      <c r="P631" s="48"/>
      <c r="Q631" s="8">
        <f>VLOOKUP($F631,[1]装箱单!$A:$E,5,0)</f>
        <v>0</v>
      </c>
      <c r="R631" s="8">
        <f>VLOOKUP($F631,[1]装箱单!$A:$F,6,0)</f>
        <v>0</v>
      </c>
      <c r="S631" s="8">
        <f>VLOOKUP($F631,[1]装箱单!$A:$G,7,0)</f>
        <v>0</v>
      </c>
      <c r="T631" s="10">
        <f>VLOOKUP($F631,[1]装箱单!$A:$J,10,0)</f>
        <v>0</v>
      </c>
      <c r="U631" s="11">
        <f t="shared" si="59"/>
        <v>0</v>
      </c>
    </row>
    <row r="632" ht="29.1" customHeight="1" spans="1:21">
      <c r="A632" s="40">
        <v>46136</v>
      </c>
      <c r="B632" s="41" t="s">
        <v>450</v>
      </c>
      <c r="C632" s="42" t="s">
        <v>843</v>
      </c>
      <c r="D632" s="43" t="s">
        <v>844</v>
      </c>
      <c r="E632" s="139" t="s">
        <v>845</v>
      </c>
      <c r="F632" s="44">
        <v>33477</v>
      </c>
      <c r="G632" s="44" t="str">
        <f>VLOOKUP(F632,[1]装箱单!$A:$C,3,0)</f>
        <v>搪小鸭外星史迪仔</v>
      </c>
      <c r="H632" s="44">
        <v>550</v>
      </c>
      <c r="I632" s="45">
        <v>550</v>
      </c>
      <c r="J632" s="45" t="s">
        <v>32</v>
      </c>
      <c r="K632" s="45" t="s">
        <v>33</v>
      </c>
      <c r="L632" s="54"/>
      <c r="M632" s="124"/>
      <c r="N632" s="46" t="s">
        <v>57</v>
      </c>
      <c r="O632" s="53"/>
      <c r="P632" s="48"/>
      <c r="Q632" s="8">
        <f>VLOOKUP($F632,[1]装箱单!$A:$E,5,0)</f>
        <v>0</v>
      </c>
      <c r="R632" s="8">
        <f>VLOOKUP($F632,[1]装箱单!$A:$F,6,0)</f>
        <v>0</v>
      </c>
      <c r="S632" s="8">
        <f>VLOOKUP($F632,[1]装箱单!$A:$G,7,0)</f>
        <v>0</v>
      </c>
      <c r="T632" s="10">
        <f>VLOOKUP($F632,[1]装箱单!$A:$J,10,0)</f>
        <v>0</v>
      </c>
      <c r="U632" s="11">
        <f t="shared" si="59"/>
        <v>0</v>
      </c>
    </row>
    <row r="633" ht="29.1" customHeight="1" spans="1:21">
      <c r="A633" s="40">
        <v>46136</v>
      </c>
      <c r="B633" s="41" t="s">
        <v>450</v>
      </c>
      <c r="C633" s="42" t="s">
        <v>846</v>
      </c>
      <c r="D633" s="43" t="s">
        <v>847</v>
      </c>
      <c r="E633" s="139" t="s">
        <v>848</v>
      </c>
      <c r="F633" s="44">
        <v>33477</v>
      </c>
      <c r="G633" s="44" t="str">
        <f>VLOOKUP(F633,[1]装箱单!$A:$C,3,0)</f>
        <v>搪小鸭外星史迪仔</v>
      </c>
      <c r="H633" s="44">
        <v>550</v>
      </c>
      <c r="I633" s="45">
        <v>550</v>
      </c>
      <c r="J633" s="45" t="s">
        <v>32</v>
      </c>
      <c r="K633" s="45" t="s">
        <v>33</v>
      </c>
      <c r="L633" s="54"/>
      <c r="M633" s="124"/>
      <c r="N633" s="46" t="s">
        <v>57</v>
      </c>
      <c r="O633" s="53"/>
      <c r="P633" s="48"/>
      <c r="Q633" s="8">
        <f>VLOOKUP($F633,[1]装箱单!$A:$E,5,0)</f>
        <v>0</v>
      </c>
      <c r="R633" s="8">
        <f>VLOOKUP($F633,[1]装箱单!$A:$F,6,0)</f>
        <v>0</v>
      </c>
      <c r="S633" s="8">
        <f>VLOOKUP($F633,[1]装箱单!$A:$G,7,0)</f>
        <v>0</v>
      </c>
      <c r="T633" s="10">
        <f>VLOOKUP($F633,[1]装箱单!$A:$J,10,0)</f>
        <v>0</v>
      </c>
      <c r="U633" s="11">
        <f t="shared" si="59"/>
        <v>0</v>
      </c>
    </row>
    <row r="634" ht="29.1" customHeight="1" spans="1:21">
      <c r="A634" s="40">
        <v>46136</v>
      </c>
      <c r="B634" s="41" t="s">
        <v>450</v>
      </c>
      <c r="C634" s="42" t="s">
        <v>849</v>
      </c>
      <c r="D634" s="43" t="s">
        <v>850</v>
      </c>
      <c r="E634" s="139" t="s">
        <v>851</v>
      </c>
      <c r="F634" s="44">
        <v>33477</v>
      </c>
      <c r="G634" s="44" t="str">
        <f>VLOOKUP(F634,[1]装箱单!$A:$C,3,0)</f>
        <v>搪小鸭外星史迪仔</v>
      </c>
      <c r="H634" s="44">
        <v>550</v>
      </c>
      <c r="I634" s="45">
        <v>550</v>
      </c>
      <c r="J634" s="45" t="s">
        <v>32</v>
      </c>
      <c r="K634" s="45" t="s">
        <v>33</v>
      </c>
      <c r="L634" s="54"/>
      <c r="M634" s="124"/>
      <c r="N634" s="46" t="s">
        <v>57</v>
      </c>
      <c r="O634" s="53"/>
      <c r="P634" s="48"/>
      <c r="Q634" s="8">
        <f>VLOOKUP($F634,[1]装箱单!$A:$E,5,0)</f>
        <v>0</v>
      </c>
      <c r="R634" s="8">
        <f>VLOOKUP($F634,[1]装箱单!$A:$F,6,0)</f>
        <v>0</v>
      </c>
      <c r="S634" s="8">
        <f>VLOOKUP($F634,[1]装箱单!$A:$G,7,0)</f>
        <v>0</v>
      </c>
      <c r="T634" s="10">
        <f>VLOOKUP($F634,[1]装箱单!$A:$J,10,0)</f>
        <v>0</v>
      </c>
      <c r="U634" s="11">
        <f t="shared" si="59"/>
        <v>0</v>
      </c>
    </row>
    <row r="635" ht="29.1" customHeight="1" spans="1:21">
      <c r="A635" s="40">
        <v>46136</v>
      </c>
      <c r="B635" s="41" t="s">
        <v>450</v>
      </c>
      <c r="C635" s="42" t="s">
        <v>852</v>
      </c>
      <c r="D635" s="43" t="s">
        <v>853</v>
      </c>
      <c r="E635" s="139" t="s">
        <v>854</v>
      </c>
      <c r="F635" s="44">
        <v>33477</v>
      </c>
      <c r="G635" s="44" t="str">
        <f>VLOOKUP(F635,[1]装箱单!$A:$C,3,0)</f>
        <v>搪小鸭外星史迪仔</v>
      </c>
      <c r="H635" s="44">
        <v>880</v>
      </c>
      <c r="I635" s="45">
        <v>880</v>
      </c>
      <c r="J635" s="45" t="s">
        <v>32</v>
      </c>
      <c r="K635" s="45" t="s">
        <v>33</v>
      </c>
      <c r="L635" s="54"/>
      <c r="M635" s="124"/>
      <c r="N635" s="46" t="s">
        <v>57</v>
      </c>
      <c r="O635" s="53"/>
      <c r="P635" s="48"/>
      <c r="Q635" s="8">
        <f>VLOOKUP($F635,[1]装箱单!$A:$E,5,0)</f>
        <v>0</v>
      </c>
      <c r="R635" s="8">
        <f>VLOOKUP($F635,[1]装箱单!$A:$F,6,0)</f>
        <v>0</v>
      </c>
      <c r="S635" s="8">
        <f>VLOOKUP($F635,[1]装箱单!$A:$G,7,0)</f>
        <v>0</v>
      </c>
      <c r="T635" s="10">
        <f>VLOOKUP($F635,[1]装箱单!$A:$J,10,0)</f>
        <v>0</v>
      </c>
      <c r="U635" s="11">
        <f t="shared" si="59"/>
        <v>0</v>
      </c>
    </row>
    <row r="636" ht="29.1" customHeight="1" spans="1:21">
      <c r="A636" s="40">
        <v>46136</v>
      </c>
      <c r="B636" s="41" t="s">
        <v>855</v>
      </c>
      <c r="C636" s="42" t="s">
        <v>856</v>
      </c>
      <c r="D636" s="43" t="s">
        <v>857</v>
      </c>
      <c r="E636" s="44" t="s">
        <v>858</v>
      </c>
      <c r="F636" s="44">
        <v>33477</v>
      </c>
      <c r="G636" s="44" t="str">
        <f>VLOOKUP(F636,[1]装箱单!$A:$C,3,0)</f>
        <v>搪小鸭外星史迪仔</v>
      </c>
      <c r="H636" s="44">
        <v>88</v>
      </c>
      <c r="I636" s="45">
        <v>88</v>
      </c>
      <c r="J636" s="45" t="s">
        <v>32</v>
      </c>
      <c r="K636" s="45" t="s">
        <v>33</v>
      </c>
      <c r="L636" s="54"/>
      <c r="M636" s="124"/>
      <c r="N636" s="46" t="s">
        <v>57</v>
      </c>
      <c r="O636" s="53"/>
      <c r="P636" s="48"/>
      <c r="Q636" s="8">
        <f>VLOOKUP($F636,[1]装箱单!$A:$E,5,0)</f>
        <v>0</v>
      </c>
      <c r="R636" s="8">
        <f>VLOOKUP($F636,[1]装箱单!$A:$F,6,0)</f>
        <v>0</v>
      </c>
      <c r="S636" s="8">
        <f>VLOOKUP($F636,[1]装箱单!$A:$G,7,0)</f>
        <v>0</v>
      </c>
      <c r="T636" s="10">
        <f>VLOOKUP($F636,[1]装箱单!$A:$J,10,0)</f>
        <v>0</v>
      </c>
      <c r="U636" s="11">
        <f t="shared" si="59"/>
        <v>0</v>
      </c>
    </row>
    <row r="637" ht="29.1" customHeight="1" spans="1:21">
      <c r="A637" s="40">
        <v>46136</v>
      </c>
      <c r="B637" s="41" t="s">
        <v>855</v>
      </c>
      <c r="C637" s="42" t="s">
        <v>859</v>
      </c>
      <c r="D637" s="43" t="s">
        <v>860</v>
      </c>
      <c r="E637" s="44" t="s">
        <v>861</v>
      </c>
      <c r="F637" s="44">
        <v>33477</v>
      </c>
      <c r="G637" s="44" t="str">
        <f>VLOOKUP(F637,[1]装箱单!$A:$C,3,0)</f>
        <v>搪小鸭外星史迪仔</v>
      </c>
      <c r="H637" s="44">
        <v>124</v>
      </c>
      <c r="I637" s="45">
        <v>124</v>
      </c>
      <c r="J637" s="45" t="s">
        <v>32</v>
      </c>
      <c r="K637" s="45" t="s">
        <v>33</v>
      </c>
      <c r="L637" s="54"/>
      <c r="M637" s="124"/>
      <c r="N637" s="46" t="s">
        <v>57</v>
      </c>
      <c r="O637" s="53"/>
      <c r="P637" s="48"/>
      <c r="Q637" s="8">
        <f>VLOOKUP($F637,[1]装箱单!$A:$E,5,0)</f>
        <v>0</v>
      </c>
      <c r="R637" s="8">
        <f>VLOOKUP($F637,[1]装箱单!$A:$F,6,0)</f>
        <v>0</v>
      </c>
      <c r="S637" s="8">
        <f>VLOOKUP($F637,[1]装箱单!$A:$G,7,0)</f>
        <v>0</v>
      </c>
      <c r="T637" s="10">
        <f>VLOOKUP($F637,[1]装箱单!$A:$J,10,0)</f>
        <v>0</v>
      </c>
      <c r="U637" s="11">
        <f t="shared" si="59"/>
        <v>0</v>
      </c>
    </row>
    <row r="638" ht="29.1" customHeight="1" spans="1:21">
      <c r="A638" s="40">
        <v>46136</v>
      </c>
      <c r="B638" s="41" t="s">
        <v>855</v>
      </c>
      <c r="C638" s="42" t="s">
        <v>862</v>
      </c>
      <c r="D638" s="43" t="s">
        <v>863</v>
      </c>
      <c r="E638" s="44" t="s">
        <v>864</v>
      </c>
      <c r="F638" s="44">
        <v>33477</v>
      </c>
      <c r="G638" s="44" t="str">
        <f>VLOOKUP(F638,[1]装箱单!$A:$C,3,0)</f>
        <v>搪小鸭外星史迪仔</v>
      </c>
      <c r="H638" s="44">
        <v>144</v>
      </c>
      <c r="I638" s="45">
        <v>144</v>
      </c>
      <c r="J638" s="45" t="s">
        <v>32</v>
      </c>
      <c r="K638" s="45" t="s">
        <v>33</v>
      </c>
      <c r="L638" s="54"/>
      <c r="M638" s="124"/>
      <c r="N638" s="46" t="s">
        <v>57</v>
      </c>
      <c r="O638" s="53"/>
      <c r="P638" s="48"/>
      <c r="Q638" s="8">
        <f>VLOOKUP($F638,[1]装箱单!$A:$E,5,0)</f>
        <v>0</v>
      </c>
      <c r="R638" s="8">
        <f>VLOOKUP($F638,[1]装箱单!$A:$F,6,0)</f>
        <v>0</v>
      </c>
      <c r="S638" s="8">
        <f>VLOOKUP($F638,[1]装箱单!$A:$G,7,0)</f>
        <v>0</v>
      </c>
      <c r="T638" s="10">
        <f>VLOOKUP($F638,[1]装箱单!$A:$J,10,0)</f>
        <v>0</v>
      </c>
      <c r="U638" s="11">
        <f t="shared" si="59"/>
        <v>0</v>
      </c>
    </row>
    <row r="639" ht="29.1" customHeight="1" spans="1:21">
      <c r="A639" s="40">
        <v>46136</v>
      </c>
      <c r="B639" s="41" t="s">
        <v>855</v>
      </c>
      <c r="C639" s="42" t="s">
        <v>865</v>
      </c>
      <c r="D639" s="43" t="s">
        <v>866</v>
      </c>
      <c r="E639" s="44" t="s">
        <v>867</v>
      </c>
      <c r="F639" s="44">
        <v>33477</v>
      </c>
      <c r="G639" s="44" t="str">
        <f>VLOOKUP(F639,[1]装箱单!$A:$C,3,0)</f>
        <v>搪小鸭外星史迪仔</v>
      </c>
      <c r="H639" s="44">
        <v>124</v>
      </c>
      <c r="I639" s="45">
        <v>124</v>
      </c>
      <c r="J639" s="45" t="s">
        <v>32</v>
      </c>
      <c r="K639" s="45" t="s">
        <v>33</v>
      </c>
      <c r="L639" s="54"/>
      <c r="M639" s="124"/>
      <c r="N639" s="46" t="s">
        <v>57</v>
      </c>
      <c r="O639" s="53"/>
      <c r="P639" s="48"/>
      <c r="Q639" s="8">
        <f>VLOOKUP($F639,[1]装箱单!$A:$E,5,0)</f>
        <v>0</v>
      </c>
      <c r="R639" s="8">
        <f>VLOOKUP($F639,[1]装箱单!$A:$F,6,0)</f>
        <v>0</v>
      </c>
      <c r="S639" s="8">
        <f>VLOOKUP($F639,[1]装箱单!$A:$G,7,0)</f>
        <v>0</v>
      </c>
      <c r="T639" s="10">
        <f>VLOOKUP($F639,[1]装箱单!$A:$J,10,0)</f>
        <v>0</v>
      </c>
      <c r="U639" s="11">
        <f t="shared" si="59"/>
        <v>0</v>
      </c>
    </row>
    <row r="640" ht="29.1" customHeight="1" spans="1:21">
      <c r="A640" s="40">
        <v>46136</v>
      </c>
      <c r="B640" s="41" t="s">
        <v>855</v>
      </c>
      <c r="C640" s="42" t="s">
        <v>868</v>
      </c>
      <c r="D640" s="43" t="s">
        <v>869</v>
      </c>
      <c r="E640" s="44" t="s">
        <v>870</v>
      </c>
      <c r="F640" s="44">
        <v>33477</v>
      </c>
      <c r="G640" s="44" t="str">
        <f>VLOOKUP(F640,[1]装箱单!$A:$C,3,0)</f>
        <v>搪小鸭外星史迪仔</v>
      </c>
      <c r="H640" s="44">
        <v>120</v>
      </c>
      <c r="I640" s="45">
        <v>120</v>
      </c>
      <c r="J640" s="45" t="s">
        <v>32</v>
      </c>
      <c r="K640" s="45" t="s">
        <v>33</v>
      </c>
      <c r="L640" s="56"/>
      <c r="M640" s="124"/>
      <c r="N640" s="46" t="s">
        <v>57</v>
      </c>
      <c r="O640" s="55"/>
      <c r="P640" s="48"/>
      <c r="Q640" s="8">
        <f>VLOOKUP($F640,[1]装箱单!$A:$E,5,0)</f>
        <v>0</v>
      </c>
      <c r="R640" s="8">
        <f>VLOOKUP($F640,[1]装箱单!$A:$F,6,0)</f>
        <v>0</v>
      </c>
      <c r="S640" s="8">
        <f>VLOOKUP($F640,[1]装箱单!$A:$G,7,0)</f>
        <v>0</v>
      </c>
      <c r="T640" s="10">
        <f>VLOOKUP($F640,[1]装箱单!$A:$J,10,0)</f>
        <v>0</v>
      </c>
      <c r="U640" s="11">
        <f t="shared" si="59"/>
        <v>0</v>
      </c>
    </row>
    <row r="641" ht="29.1" customHeight="1" spans="1:21">
      <c r="A641" s="40">
        <v>46136</v>
      </c>
      <c r="B641" s="41" t="s">
        <v>805</v>
      </c>
      <c r="C641" s="42" t="s">
        <v>806</v>
      </c>
      <c r="D641" s="43" t="s">
        <v>807</v>
      </c>
      <c r="E641" s="44" t="s">
        <v>808</v>
      </c>
      <c r="F641" s="44">
        <v>33476</v>
      </c>
      <c r="G641" s="44" t="str">
        <f>VLOOKUP(F641,[1]装箱单!$A:$C,3,0)</f>
        <v>搪小鸭天使</v>
      </c>
      <c r="H641" s="44">
        <v>1000</v>
      </c>
      <c r="I641" s="45">
        <v>1000</v>
      </c>
      <c r="J641" s="45" t="s">
        <v>32</v>
      </c>
      <c r="K641" s="45" t="s">
        <v>33</v>
      </c>
      <c r="L641" s="50">
        <v>31</v>
      </c>
      <c r="M641" s="124"/>
      <c r="N641" s="46" t="s">
        <v>57</v>
      </c>
      <c r="O641" s="49" t="s">
        <v>871</v>
      </c>
      <c r="P641" s="48"/>
      <c r="Q641" s="8">
        <f>VLOOKUP($F641,[1]装箱单!$A:$E,5,0)</f>
        <v>0</v>
      </c>
      <c r="R641" s="8">
        <f>VLOOKUP($F641,[1]装箱单!$A:$F,6,0)</f>
        <v>0</v>
      </c>
      <c r="S641" s="8">
        <f>VLOOKUP($F641,[1]装箱单!$A:$G,7,0)</f>
        <v>0</v>
      </c>
      <c r="T641" s="10">
        <f>VLOOKUP($F641,[1]装箱单!$A:$J,10,0)</f>
        <v>0</v>
      </c>
      <c r="U641" s="11">
        <f t="shared" si="59"/>
        <v>0</v>
      </c>
    </row>
    <row r="642" ht="29.1" customHeight="1" spans="1:21">
      <c r="A642" s="40">
        <v>46136</v>
      </c>
      <c r="B642" s="41" t="s">
        <v>450</v>
      </c>
      <c r="C642" s="42" t="s">
        <v>872</v>
      </c>
      <c r="D642" s="43" t="s">
        <v>873</v>
      </c>
      <c r="E642" s="139" t="s">
        <v>874</v>
      </c>
      <c r="F642" s="44">
        <v>33476</v>
      </c>
      <c r="G642" s="44" t="str">
        <f>VLOOKUP(F642,[1]装箱单!$A:$C,3,0)</f>
        <v>搪小鸭天使</v>
      </c>
      <c r="H642" s="44">
        <v>400</v>
      </c>
      <c r="I642" s="45">
        <v>400</v>
      </c>
      <c r="J642" s="45" t="s">
        <v>32</v>
      </c>
      <c r="K642" s="45" t="s">
        <v>33</v>
      </c>
      <c r="L642" s="54"/>
      <c r="M642" s="124"/>
      <c r="N642" s="46" t="s">
        <v>57</v>
      </c>
      <c r="O642" s="53"/>
      <c r="P642" s="48"/>
      <c r="Q642" s="8">
        <f>VLOOKUP($F642,[1]装箱单!$A:$E,5,0)</f>
        <v>0</v>
      </c>
      <c r="R642" s="8">
        <f>VLOOKUP($F642,[1]装箱单!$A:$F,6,0)</f>
        <v>0</v>
      </c>
      <c r="S642" s="8">
        <f>VLOOKUP($F642,[1]装箱单!$A:$G,7,0)</f>
        <v>0</v>
      </c>
      <c r="T642" s="10">
        <f>VLOOKUP($F642,[1]装箱单!$A:$J,10,0)</f>
        <v>0</v>
      </c>
      <c r="U642" s="11">
        <f t="shared" si="59"/>
        <v>0</v>
      </c>
    </row>
    <row r="643" ht="29.1" customHeight="1" spans="1:21">
      <c r="A643" s="40">
        <v>46136</v>
      </c>
      <c r="B643" s="41" t="s">
        <v>450</v>
      </c>
      <c r="C643" s="42" t="s">
        <v>813</v>
      </c>
      <c r="D643" s="43" t="s">
        <v>814</v>
      </c>
      <c r="E643" s="139" t="s">
        <v>815</v>
      </c>
      <c r="F643" s="44">
        <v>33476</v>
      </c>
      <c r="G643" s="44" t="str">
        <f>VLOOKUP(F643,[1]装箱单!$A:$C,3,0)</f>
        <v>搪小鸭天使</v>
      </c>
      <c r="H643" s="44">
        <v>300</v>
      </c>
      <c r="I643" s="45">
        <v>300</v>
      </c>
      <c r="J643" s="45" t="s">
        <v>32</v>
      </c>
      <c r="K643" s="45" t="s">
        <v>33</v>
      </c>
      <c r="L643" s="54"/>
      <c r="M643" s="124"/>
      <c r="N643" s="46" t="s">
        <v>57</v>
      </c>
      <c r="O643" s="53"/>
      <c r="P643" s="48"/>
      <c r="Q643" s="8">
        <f>VLOOKUP($F643,[1]装箱单!$A:$E,5,0)</f>
        <v>0</v>
      </c>
      <c r="R643" s="8">
        <f>VLOOKUP($F643,[1]装箱单!$A:$F,6,0)</f>
        <v>0</v>
      </c>
      <c r="S643" s="8">
        <f>VLOOKUP($F643,[1]装箱单!$A:$G,7,0)</f>
        <v>0</v>
      </c>
      <c r="T643" s="10">
        <f>VLOOKUP($F643,[1]装箱单!$A:$J,10,0)</f>
        <v>0</v>
      </c>
      <c r="U643" s="11">
        <f t="shared" si="59"/>
        <v>0</v>
      </c>
    </row>
    <row r="644" ht="29.1" customHeight="1" spans="1:21">
      <c r="A644" s="40">
        <v>46136</v>
      </c>
      <c r="B644" s="41" t="s">
        <v>450</v>
      </c>
      <c r="C644" s="42" t="s">
        <v>816</v>
      </c>
      <c r="D644" s="43" t="s">
        <v>817</v>
      </c>
      <c r="E644" s="139" t="s">
        <v>818</v>
      </c>
      <c r="F644" s="44">
        <v>33476</v>
      </c>
      <c r="G644" s="44" t="str">
        <f>VLOOKUP(F644,[1]装箱单!$A:$C,3,0)</f>
        <v>搪小鸭天使</v>
      </c>
      <c r="H644" s="44">
        <v>200</v>
      </c>
      <c r="I644" s="45">
        <v>200</v>
      </c>
      <c r="J644" s="45" t="s">
        <v>32</v>
      </c>
      <c r="K644" s="45" t="s">
        <v>33</v>
      </c>
      <c r="L644" s="54"/>
      <c r="M644" s="124"/>
      <c r="N644" s="46" t="s">
        <v>57</v>
      </c>
      <c r="O644" s="53"/>
      <c r="P644" s="48"/>
      <c r="Q644" s="8">
        <f>VLOOKUP($F644,[1]装箱单!$A:$E,5,0)</f>
        <v>0</v>
      </c>
      <c r="R644" s="8">
        <f>VLOOKUP($F644,[1]装箱单!$A:$F,6,0)</f>
        <v>0</v>
      </c>
      <c r="S644" s="8">
        <f>VLOOKUP($F644,[1]装箱单!$A:$G,7,0)</f>
        <v>0</v>
      </c>
      <c r="T644" s="10">
        <f>VLOOKUP($F644,[1]装箱单!$A:$J,10,0)</f>
        <v>0</v>
      </c>
      <c r="U644" s="11">
        <f t="shared" si="59"/>
        <v>0</v>
      </c>
    </row>
    <row r="645" ht="29.1" customHeight="1" spans="1:21">
      <c r="A645" s="40">
        <v>46136</v>
      </c>
      <c r="B645" s="41" t="s">
        <v>450</v>
      </c>
      <c r="C645" s="42" t="s">
        <v>819</v>
      </c>
      <c r="D645" s="43" t="s">
        <v>820</v>
      </c>
      <c r="E645" s="139" t="s">
        <v>821</v>
      </c>
      <c r="F645" s="44">
        <v>33476</v>
      </c>
      <c r="G645" s="44" t="str">
        <f>VLOOKUP(F645,[1]装箱单!$A:$C,3,0)</f>
        <v>搪小鸭天使</v>
      </c>
      <c r="H645" s="44">
        <v>200</v>
      </c>
      <c r="I645" s="45">
        <v>200</v>
      </c>
      <c r="J645" s="45" t="s">
        <v>32</v>
      </c>
      <c r="K645" s="45" t="s">
        <v>33</v>
      </c>
      <c r="L645" s="54"/>
      <c r="M645" s="124"/>
      <c r="N645" s="46" t="s">
        <v>57</v>
      </c>
      <c r="O645" s="53"/>
      <c r="P645" s="48"/>
      <c r="Q645" s="8">
        <f>VLOOKUP($F645,[1]装箱单!$A:$E,5,0)</f>
        <v>0</v>
      </c>
      <c r="R645" s="8">
        <f>VLOOKUP($F645,[1]装箱单!$A:$F,6,0)</f>
        <v>0</v>
      </c>
      <c r="S645" s="8">
        <f>VLOOKUP($F645,[1]装箱单!$A:$G,7,0)</f>
        <v>0</v>
      </c>
      <c r="T645" s="10">
        <f>VLOOKUP($F645,[1]装箱单!$A:$J,10,0)</f>
        <v>0</v>
      </c>
      <c r="U645" s="11">
        <f t="shared" si="59"/>
        <v>0</v>
      </c>
    </row>
    <row r="646" ht="29.1" customHeight="1" spans="1:21">
      <c r="A646" s="40">
        <v>46136</v>
      </c>
      <c r="B646" s="41" t="s">
        <v>450</v>
      </c>
      <c r="C646" s="42" t="s">
        <v>822</v>
      </c>
      <c r="D646" s="43" t="s">
        <v>823</v>
      </c>
      <c r="E646" s="139" t="s">
        <v>824</v>
      </c>
      <c r="F646" s="44">
        <v>33476</v>
      </c>
      <c r="G646" s="44" t="str">
        <f>VLOOKUP(F646,[1]装箱单!$A:$C,3,0)</f>
        <v>搪小鸭天使</v>
      </c>
      <c r="H646" s="44">
        <v>300</v>
      </c>
      <c r="I646" s="45">
        <v>300</v>
      </c>
      <c r="J646" s="45" t="s">
        <v>32</v>
      </c>
      <c r="K646" s="45" t="s">
        <v>33</v>
      </c>
      <c r="L646" s="54"/>
      <c r="M646" s="124"/>
      <c r="N646" s="46" t="s">
        <v>57</v>
      </c>
      <c r="O646" s="53"/>
      <c r="P646" s="48"/>
      <c r="Q646" s="8">
        <f>VLOOKUP($F646,[1]装箱单!$A:$E,5,0)</f>
        <v>0</v>
      </c>
      <c r="R646" s="8">
        <f>VLOOKUP($F646,[1]装箱单!$A:$F,6,0)</f>
        <v>0</v>
      </c>
      <c r="S646" s="8">
        <f>VLOOKUP($F646,[1]装箱单!$A:$G,7,0)</f>
        <v>0</v>
      </c>
      <c r="T646" s="10">
        <f>VLOOKUP($F646,[1]装箱单!$A:$J,10,0)</f>
        <v>0</v>
      </c>
      <c r="U646" s="11">
        <f t="shared" si="59"/>
        <v>0</v>
      </c>
    </row>
    <row r="647" ht="29.1" customHeight="1" spans="1:21">
      <c r="A647" s="40">
        <v>46136</v>
      </c>
      <c r="B647" s="41" t="s">
        <v>450</v>
      </c>
      <c r="C647" s="42" t="s">
        <v>825</v>
      </c>
      <c r="D647" s="43" t="s">
        <v>826</v>
      </c>
      <c r="E647" s="139" t="s">
        <v>827</v>
      </c>
      <c r="F647" s="44">
        <v>33476</v>
      </c>
      <c r="G647" s="44" t="str">
        <f>VLOOKUP(F647,[1]装箱单!$A:$C,3,0)</f>
        <v>搪小鸭天使</v>
      </c>
      <c r="H647" s="44">
        <v>300</v>
      </c>
      <c r="I647" s="45">
        <v>300</v>
      </c>
      <c r="J647" s="45" t="s">
        <v>32</v>
      </c>
      <c r="K647" s="45" t="s">
        <v>33</v>
      </c>
      <c r="L647" s="54"/>
      <c r="M647" s="124"/>
      <c r="N647" s="46" t="s">
        <v>57</v>
      </c>
      <c r="O647" s="53"/>
      <c r="P647" s="48"/>
      <c r="Q647" s="8">
        <f>VLOOKUP($F647,[1]装箱单!$A:$E,5,0)</f>
        <v>0</v>
      </c>
      <c r="R647" s="8">
        <f>VLOOKUP($F647,[1]装箱单!$A:$F,6,0)</f>
        <v>0</v>
      </c>
      <c r="S647" s="8">
        <f>VLOOKUP($F647,[1]装箱单!$A:$G,7,0)</f>
        <v>0</v>
      </c>
      <c r="T647" s="10">
        <f>VLOOKUP($F647,[1]装箱单!$A:$J,10,0)</f>
        <v>0</v>
      </c>
      <c r="U647" s="11">
        <f t="shared" si="59"/>
        <v>0</v>
      </c>
    </row>
    <row r="648" ht="29.1" customHeight="1" spans="1:21">
      <c r="A648" s="40">
        <v>46136</v>
      </c>
      <c r="B648" s="41" t="s">
        <v>450</v>
      </c>
      <c r="C648" s="42" t="s">
        <v>828</v>
      </c>
      <c r="D648" s="43" t="s">
        <v>829</v>
      </c>
      <c r="E648" s="139" t="s">
        <v>830</v>
      </c>
      <c r="F648" s="44">
        <v>33476</v>
      </c>
      <c r="G648" s="44" t="str">
        <f>VLOOKUP(F648,[1]装箱单!$A:$C,3,0)</f>
        <v>搪小鸭天使</v>
      </c>
      <c r="H648" s="44">
        <v>200</v>
      </c>
      <c r="I648" s="45">
        <v>200</v>
      </c>
      <c r="J648" s="45" t="s">
        <v>32</v>
      </c>
      <c r="K648" s="45" t="s">
        <v>33</v>
      </c>
      <c r="L648" s="54"/>
      <c r="M648" s="124"/>
      <c r="N648" s="46" t="s">
        <v>57</v>
      </c>
      <c r="O648" s="53"/>
      <c r="P648" s="48"/>
      <c r="Q648" s="8">
        <f>VLOOKUP($F648,[1]装箱单!$A:$E,5,0)</f>
        <v>0</v>
      </c>
      <c r="R648" s="8">
        <f>VLOOKUP($F648,[1]装箱单!$A:$F,6,0)</f>
        <v>0</v>
      </c>
      <c r="S648" s="8">
        <f>VLOOKUP($F648,[1]装箱单!$A:$G,7,0)</f>
        <v>0</v>
      </c>
      <c r="T648" s="10">
        <f>VLOOKUP($F648,[1]装箱单!$A:$J,10,0)</f>
        <v>0</v>
      </c>
      <c r="U648" s="11">
        <f t="shared" si="59"/>
        <v>0</v>
      </c>
    </row>
    <row r="649" ht="29.1" customHeight="1" spans="1:21">
      <c r="A649" s="40">
        <v>46136</v>
      </c>
      <c r="B649" s="41" t="s">
        <v>450</v>
      </c>
      <c r="C649" s="42" t="s">
        <v>831</v>
      </c>
      <c r="D649" s="43" t="s">
        <v>832</v>
      </c>
      <c r="E649" s="139" t="s">
        <v>833</v>
      </c>
      <c r="F649" s="44">
        <v>33476</v>
      </c>
      <c r="G649" s="44" t="str">
        <f>VLOOKUP(F649,[1]装箱单!$A:$C,3,0)</f>
        <v>搪小鸭天使</v>
      </c>
      <c r="H649" s="44">
        <v>200</v>
      </c>
      <c r="I649" s="45">
        <v>200</v>
      </c>
      <c r="J649" s="45" t="s">
        <v>32</v>
      </c>
      <c r="K649" s="45" t="s">
        <v>33</v>
      </c>
      <c r="L649" s="54"/>
      <c r="M649" s="124"/>
      <c r="N649" s="46" t="s">
        <v>57</v>
      </c>
      <c r="O649" s="53"/>
      <c r="P649" s="48"/>
      <c r="Q649" s="8">
        <f>VLOOKUP($F649,[1]装箱单!$A:$E,5,0)</f>
        <v>0</v>
      </c>
      <c r="R649" s="8">
        <f>VLOOKUP($F649,[1]装箱单!$A:$F,6,0)</f>
        <v>0</v>
      </c>
      <c r="S649" s="8">
        <f>VLOOKUP($F649,[1]装箱单!$A:$G,7,0)</f>
        <v>0</v>
      </c>
      <c r="T649" s="10">
        <f>VLOOKUP($F649,[1]装箱单!$A:$J,10,0)</f>
        <v>0</v>
      </c>
      <c r="U649" s="11">
        <f t="shared" si="59"/>
        <v>0</v>
      </c>
    </row>
    <row r="650" ht="29.1" customHeight="1" spans="1:21">
      <c r="A650" s="40">
        <v>46136</v>
      </c>
      <c r="B650" s="41" t="s">
        <v>450</v>
      </c>
      <c r="C650" s="42" t="s">
        <v>834</v>
      </c>
      <c r="D650" s="43" t="s">
        <v>835</v>
      </c>
      <c r="E650" s="139" t="s">
        <v>836</v>
      </c>
      <c r="F650" s="44">
        <v>33476</v>
      </c>
      <c r="G650" s="44" t="str">
        <f>VLOOKUP(F650,[1]装箱单!$A:$C,3,0)</f>
        <v>搪小鸭天使</v>
      </c>
      <c r="H650" s="44">
        <v>200</v>
      </c>
      <c r="I650" s="45">
        <v>200</v>
      </c>
      <c r="J650" s="45" t="s">
        <v>32</v>
      </c>
      <c r="K650" s="45" t="s">
        <v>33</v>
      </c>
      <c r="L650" s="54"/>
      <c r="M650" s="124"/>
      <c r="N650" s="46" t="s">
        <v>57</v>
      </c>
      <c r="O650" s="53"/>
      <c r="P650" s="48"/>
      <c r="Q650" s="8">
        <f>VLOOKUP($F650,[1]装箱单!$A:$E,5,0)</f>
        <v>0</v>
      </c>
      <c r="R650" s="8">
        <f>VLOOKUP($F650,[1]装箱单!$A:$F,6,0)</f>
        <v>0</v>
      </c>
      <c r="S650" s="8">
        <f>VLOOKUP($F650,[1]装箱单!$A:$G,7,0)</f>
        <v>0</v>
      </c>
      <c r="T650" s="10">
        <f>VLOOKUP($F650,[1]装箱单!$A:$J,10,0)</f>
        <v>0</v>
      </c>
      <c r="U650" s="11">
        <f t="shared" si="59"/>
        <v>0</v>
      </c>
    </row>
    <row r="651" ht="29.1" customHeight="1" spans="1:21">
      <c r="A651" s="40">
        <v>46136</v>
      </c>
      <c r="B651" s="41" t="s">
        <v>450</v>
      </c>
      <c r="C651" s="42" t="s">
        <v>837</v>
      </c>
      <c r="D651" s="43" t="s">
        <v>838</v>
      </c>
      <c r="E651" s="139" t="s">
        <v>839</v>
      </c>
      <c r="F651" s="44">
        <v>33476</v>
      </c>
      <c r="G651" s="44" t="str">
        <f>VLOOKUP(F651,[1]装箱单!$A:$C,3,0)</f>
        <v>搪小鸭天使</v>
      </c>
      <c r="H651" s="44">
        <v>300</v>
      </c>
      <c r="I651" s="45">
        <v>300</v>
      </c>
      <c r="J651" s="45" t="s">
        <v>32</v>
      </c>
      <c r="K651" s="45" t="s">
        <v>33</v>
      </c>
      <c r="L651" s="54"/>
      <c r="M651" s="124"/>
      <c r="N651" s="46" t="s">
        <v>57</v>
      </c>
      <c r="O651" s="53"/>
      <c r="P651" s="48"/>
      <c r="Q651" s="8">
        <f>VLOOKUP($F651,[1]装箱单!$A:$E,5,0)</f>
        <v>0</v>
      </c>
      <c r="R651" s="8">
        <f>VLOOKUP($F651,[1]装箱单!$A:$F,6,0)</f>
        <v>0</v>
      </c>
      <c r="S651" s="8">
        <f>VLOOKUP($F651,[1]装箱单!$A:$G,7,0)</f>
        <v>0</v>
      </c>
      <c r="T651" s="10">
        <f>VLOOKUP($F651,[1]装箱单!$A:$J,10,0)</f>
        <v>0</v>
      </c>
      <c r="U651" s="11">
        <f t="shared" si="59"/>
        <v>0</v>
      </c>
    </row>
    <row r="652" ht="29.1" customHeight="1" spans="1:21">
      <c r="A652" s="40">
        <v>46136</v>
      </c>
      <c r="B652" s="41" t="s">
        <v>450</v>
      </c>
      <c r="C652" s="42" t="s">
        <v>840</v>
      </c>
      <c r="D652" s="43" t="s">
        <v>841</v>
      </c>
      <c r="E652" s="139" t="s">
        <v>842</v>
      </c>
      <c r="F652" s="44">
        <v>33476</v>
      </c>
      <c r="G652" s="44" t="str">
        <f>VLOOKUP(F652,[1]装箱单!$A:$C,3,0)</f>
        <v>搪小鸭天使</v>
      </c>
      <c r="H652" s="44">
        <v>400</v>
      </c>
      <c r="I652" s="45">
        <v>400</v>
      </c>
      <c r="J652" s="45" t="s">
        <v>32</v>
      </c>
      <c r="K652" s="45" t="s">
        <v>33</v>
      </c>
      <c r="L652" s="54"/>
      <c r="M652" s="124"/>
      <c r="N652" s="46" t="s">
        <v>57</v>
      </c>
      <c r="O652" s="53"/>
      <c r="P652" s="48"/>
      <c r="Q652" s="8">
        <f>VLOOKUP($F652,[1]装箱单!$A:$E,5,0)</f>
        <v>0</v>
      </c>
      <c r="R652" s="8">
        <f>VLOOKUP($F652,[1]装箱单!$A:$F,6,0)</f>
        <v>0</v>
      </c>
      <c r="S652" s="8">
        <f>VLOOKUP($F652,[1]装箱单!$A:$G,7,0)</f>
        <v>0</v>
      </c>
      <c r="T652" s="10">
        <f>VLOOKUP($F652,[1]装箱单!$A:$J,10,0)</f>
        <v>0</v>
      </c>
      <c r="U652" s="11">
        <f t="shared" si="59"/>
        <v>0</v>
      </c>
    </row>
    <row r="653" ht="29.1" customHeight="1" spans="1:21">
      <c r="A653" s="40">
        <v>46136</v>
      </c>
      <c r="B653" s="41" t="s">
        <v>450</v>
      </c>
      <c r="C653" s="42" t="s">
        <v>843</v>
      </c>
      <c r="D653" s="43" t="s">
        <v>844</v>
      </c>
      <c r="E653" s="139" t="s">
        <v>845</v>
      </c>
      <c r="F653" s="44">
        <v>33476</v>
      </c>
      <c r="G653" s="44" t="str">
        <f>VLOOKUP(F653,[1]装箱单!$A:$C,3,0)</f>
        <v>搪小鸭天使</v>
      </c>
      <c r="H653" s="44">
        <v>300</v>
      </c>
      <c r="I653" s="45">
        <v>300</v>
      </c>
      <c r="J653" s="45" t="s">
        <v>32</v>
      </c>
      <c r="K653" s="45" t="s">
        <v>33</v>
      </c>
      <c r="L653" s="54"/>
      <c r="M653" s="124"/>
      <c r="N653" s="46" t="s">
        <v>57</v>
      </c>
      <c r="O653" s="53"/>
      <c r="P653" s="48"/>
      <c r="Q653" s="8">
        <f>VLOOKUP($F653,[1]装箱单!$A:$E,5,0)</f>
        <v>0</v>
      </c>
      <c r="R653" s="8">
        <f>VLOOKUP($F653,[1]装箱单!$A:$F,6,0)</f>
        <v>0</v>
      </c>
      <c r="S653" s="8">
        <f>VLOOKUP($F653,[1]装箱单!$A:$G,7,0)</f>
        <v>0</v>
      </c>
      <c r="T653" s="10">
        <f>VLOOKUP($F653,[1]装箱单!$A:$J,10,0)</f>
        <v>0</v>
      </c>
      <c r="U653" s="11">
        <f t="shared" si="59"/>
        <v>0</v>
      </c>
    </row>
    <row r="654" ht="29.1" customHeight="1" spans="1:21">
      <c r="A654" s="40">
        <v>46136</v>
      </c>
      <c r="B654" s="41" t="s">
        <v>450</v>
      </c>
      <c r="C654" s="42" t="s">
        <v>846</v>
      </c>
      <c r="D654" s="43" t="s">
        <v>847</v>
      </c>
      <c r="E654" s="139" t="s">
        <v>848</v>
      </c>
      <c r="F654" s="44">
        <v>33476</v>
      </c>
      <c r="G654" s="44" t="str">
        <f>VLOOKUP(F654,[1]装箱单!$A:$C,3,0)</f>
        <v>搪小鸭天使</v>
      </c>
      <c r="H654" s="44">
        <v>300</v>
      </c>
      <c r="I654" s="45">
        <v>300</v>
      </c>
      <c r="J654" s="45" t="s">
        <v>32</v>
      </c>
      <c r="K654" s="45" t="s">
        <v>33</v>
      </c>
      <c r="L654" s="54"/>
      <c r="M654" s="124"/>
      <c r="N654" s="46" t="s">
        <v>57</v>
      </c>
      <c r="O654" s="53"/>
      <c r="P654" s="48"/>
      <c r="Q654" s="8">
        <f>VLOOKUP($F654,[1]装箱单!$A:$E,5,0)</f>
        <v>0</v>
      </c>
      <c r="R654" s="8">
        <f>VLOOKUP($F654,[1]装箱单!$A:$F,6,0)</f>
        <v>0</v>
      </c>
      <c r="S654" s="8">
        <f>VLOOKUP($F654,[1]装箱单!$A:$G,7,0)</f>
        <v>0</v>
      </c>
      <c r="T654" s="10">
        <f>VLOOKUP($F654,[1]装箱单!$A:$J,10,0)</f>
        <v>0</v>
      </c>
      <c r="U654" s="11">
        <f t="shared" si="59"/>
        <v>0</v>
      </c>
    </row>
    <row r="655" ht="29.1" customHeight="1" spans="1:21">
      <c r="A655" s="40">
        <v>46136</v>
      </c>
      <c r="B655" s="41" t="s">
        <v>450</v>
      </c>
      <c r="C655" s="42" t="s">
        <v>849</v>
      </c>
      <c r="D655" s="43" t="s">
        <v>850</v>
      </c>
      <c r="E655" s="139" t="s">
        <v>851</v>
      </c>
      <c r="F655" s="44">
        <v>33476</v>
      </c>
      <c r="G655" s="44" t="str">
        <f>VLOOKUP(F655,[1]装箱单!$A:$C,3,0)</f>
        <v>搪小鸭天使</v>
      </c>
      <c r="H655" s="44">
        <v>300</v>
      </c>
      <c r="I655" s="45">
        <v>300</v>
      </c>
      <c r="J655" s="45" t="s">
        <v>32</v>
      </c>
      <c r="K655" s="45" t="s">
        <v>33</v>
      </c>
      <c r="L655" s="54"/>
      <c r="M655" s="124"/>
      <c r="N655" s="46" t="s">
        <v>57</v>
      </c>
      <c r="O655" s="53"/>
      <c r="P655" s="48"/>
      <c r="Q655" s="8">
        <f>VLOOKUP($F655,[1]装箱单!$A:$E,5,0)</f>
        <v>0</v>
      </c>
      <c r="R655" s="8">
        <f>VLOOKUP($F655,[1]装箱单!$A:$F,6,0)</f>
        <v>0</v>
      </c>
      <c r="S655" s="8">
        <f>VLOOKUP($F655,[1]装箱单!$A:$G,7,0)</f>
        <v>0</v>
      </c>
      <c r="T655" s="10">
        <f>VLOOKUP($F655,[1]装箱单!$A:$J,10,0)</f>
        <v>0</v>
      </c>
      <c r="U655" s="11">
        <f t="shared" si="59"/>
        <v>0</v>
      </c>
    </row>
    <row r="656" ht="29.1" customHeight="1" spans="1:21">
      <c r="A656" s="40">
        <v>46136</v>
      </c>
      <c r="B656" s="41" t="s">
        <v>450</v>
      </c>
      <c r="C656" s="42" t="s">
        <v>852</v>
      </c>
      <c r="D656" s="43" t="s">
        <v>853</v>
      </c>
      <c r="E656" s="139" t="s">
        <v>854</v>
      </c>
      <c r="F656" s="44">
        <v>33476</v>
      </c>
      <c r="G656" s="44" t="str">
        <f>VLOOKUP(F656,[1]装箱单!$A:$C,3,0)</f>
        <v>搪小鸭天使</v>
      </c>
      <c r="H656" s="44">
        <v>500</v>
      </c>
      <c r="I656" s="45">
        <v>500</v>
      </c>
      <c r="J656" s="45" t="s">
        <v>32</v>
      </c>
      <c r="K656" s="45" t="s">
        <v>33</v>
      </c>
      <c r="L656" s="54"/>
      <c r="M656" s="124"/>
      <c r="N656" s="46" t="s">
        <v>57</v>
      </c>
      <c r="O656" s="53"/>
      <c r="P656" s="48"/>
      <c r="Q656" s="8">
        <f>VLOOKUP($F656,[1]装箱单!$A:$E,5,0)</f>
        <v>0</v>
      </c>
      <c r="R656" s="8">
        <f>VLOOKUP($F656,[1]装箱单!$A:$F,6,0)</f>
        <v>0</v>
      </c>
      <c r="S656" s="8">
        <f>VLOOKUP($F656,[1]装箱单!$A:$G,7,0)</f>
        <v>0</v>
      </c>
      <c r="T656" s="10">
        <f>VLOOKUP($F656,[1]装箱单!$A:$J,10,0)</f>
        <v>0</v>
      </c>
      <c r="U656" s="11">
        <f t="shared" si="59"/>
        <v>0</v>
      </c>
    </row>
    <row r="657" ht="29.1" customHeight="1" spans="1:21">
      <c r="A657" s="40">
        <v>46136</v>
      </c>
      <c r="B657" s="41" t="s">
        <v>855</v>
      </c>
      <c r="C657" s="42" t="s">
        <v>856</v>
      </c>
      <c r="D657" s="43" t="s">
        <v>857</v>
      </c>
      <c r="E657" s="44" t="s">
        <v>858</v>
      </c>
      <c r="F657" s="44">
        <v>33476</v>
      </c>
      <c r="G657" s="44" t="str">
        <f>VLOOKUP(F657,[1]装箱单!$A:$C,3,0)</f>
        <v>搪小鸭天使</v>
      </c>
      <c r="H657" s="44">
        <v>44</v>
      </c>
      <c r="I657" s="45">
        <v>44</v>
      </c>
      <c r="J657" s="45" t="s">
        <v>32</v>
      </c>
      <c r="K657" s="45" t="s">
        <v>33</v>
      </c>
      <c r="L657" s="54"/>
      <c r="M657" s="124"/>
      <c r="N657" s="46" t="s">
        <v>57</v>
      </c>
      <c r="O657" s="53"/>
      <c r="P657" s="48"/>
      <c r="Q657" s="8">
        <f>VLOOKUP($F657,[1]装箱单!$A:$E,5,0)</f>
        <v>0</v>
      </c>
      <c r="R657" s="8">
        <f>VLOOKUP($F657,[1]装箱单!$A:$F,6,0)</f>
        <v>0</v>
      </c>
      <c r="S657" s="8">
        <f>VLOOKUP($F657,[1]装箱单!$A:$G,7,0)</f>
        <v>0</v>
      </c>
      <c r="T657" s="10">
        <f>VLOOKUP($F657,[1]装箱单!$A:$J,10,0)</f>
        <v>0</v>
      </c>
      <c r="U657" s="11">
        <f t="shared" si="59"/>
        <v>0</v>
      </c>
    </row>
    <row r="658" ht="29.1" customHeight="1" spans="1:21">
      <c r="A658" s="40">
        <v>46136</v>
      </c>
      <c r="B658" s="41" t="s">
        <v>855</v>
      </c>
      <c r="C658" s="42" t="s">
        <v>859</v>
      </c>
      <c r="D658" s="43" t="s">
        <v>860</v>
      </c>
      <c r="E658" s="44" t="s">
        <v>861</v>
      </c>
      <c r="F658" s="44">
        <v>33476</v>
      </c>
      <c r="G658" s="44" t="str">
        <f>VLOOKUP(F658,[1]装箱单!$A:$C,3,0)</f>
        <v>搪小鸭天使</v>
      </c>
      <c r="H658" s="44">
        <v>52</v>
      </c>
      <c r="I658" s="45">
        <v>52</v>
      </c>
      <c r="J658" s="45" t="s">
        <v>32</v>
      </c>
      <c r="K658" s="45" t="s">
        <v>33</v>
      </c>
      <c r="L658" s="54"/>
      <c r="M658" s="124"/>
      <c r="N658" s="46" t="s">
        <v>57</v>
      </c>
      <c r="O658" s="53"/>
      <c r="P658" s="48"/>
      <c r="Q658" s="8">
        <f>VLOOKUP($F658,[1]装箱单!$A:$E,5,0)</f>
        <v>0</v>
      </c>
      <c r="R658" s="8">
        <f>VLOOKUP($F658,[1]装箱单!$A:$F,6,0)</f>
        <v>0</v>
      </c>
      <c r="S658" s="8">
        <f>VLOOKUP($F658,[1]装箱单!$A:$G,7,0)</f>
        <v>0</v>
      </c>
      <c r="T658" s="10">
        <f>VLOOKUP($F658,[1]装箱单!$A:$J,10,0)</f>
        <v>0</v>
      </c>
      <c r="U658" s="11">
        <f t="shared" si="59"/>
        <v>0</v>
      </c>
    </row>
    <row r="659" ht="29.1" customHeight="1" spans="1:21">
      <c r="A659" s="40">
        <v>46136</v>
      </c>
      <c r="B659" s="41" t="s">
        <v>855</v>
      </c>
      <c r="C659" s="42" t="s">
        <v>862</v>
      </c>
      <c r="D659" s="43" t="s">
        <v>863</v>
      </c>
      <c r="E659" s="44" t="s">
        <v>864</v>
      </c>
      <c r="F659" s="44">
        <v>33476</v>
      </c>
      <c r="G659" s="44" t="str">
        <f>VLOOKUP(F659,[1]装箱单!$A:$C,3,0)</f>
        <v>搪小鸭天使</v>
      </c>
      <c r="H659" s="44">
        <v>68</v>
      </c>
      <c r="I659" s="45">
        <v>68</v>
      </c>
      <c r="J659" s="45" t="s">
        <v>32</v>
      </c>
      <c r="K659" s="45" t="s">
        <v>33</v>
      </c>
      <c r="L659" s="54"/>
      <c r="M659" s="124"/>
      <c r="N659" s="46" t="s">
        <v>57</v>
      </c>
      <c r="O659" s="53"/>
      <c r="P659" s="48"/>
      <c r="Q659" s="8">
        <f>VLOOKUP($F659,[1]装箱单!$A:$E,5,0)</f>
        <v>0</v>
      </c>
      <c r="R659" s="8">
        <f>VLOOKUP($F659,[1]装箱单!$A:$F,6,0)</f>
        <v>0</v>
      </c>
      <c r="S659" s="8">
        <f>VLOOKUP($F659,[1]装箱单!$A:$G,7,0)</f>
        <v>0</v>
      </c>
      <c r="T659" s="10">
        <f>VLOOKUP($F659,[1]装箱单!$A:$J,10,0)</f>
        <v>0</v>
      </c>
      <c r="U659" s="11">
        <f t="shared" si="59"/>
        <v>0</v>
      </c>
    </row>
    <row r="660" ht="29.1" customHeight="1" spans="1:21">
      <c r="A660" s="40">
        <v>46136</v>
      </c>
      <c r="B660" s="41" t="s">
        <v>855</v>
      </c>
      <c r="C660" s="42" t="s">
        <v>865</v>
      </c>
      <c r="D660" s="43" t="s">
        <v>866</v>
      </c>
      <c r="E660" s="44" t="s">
        <v>867</v>
      </c>
      <c r="F660" s="44">
        <v>33476</v>
      </c>
      <c r="G660" s="44" t="str">
        <f>VLOOKUP(F660,[1]装箱单!$A:$C,3,0)</f>
        <v>搪小鸭天使</v>
      </c>
      <c r="H660" s="44">
        <v>72</v>
      </c>
      <c r="I660" s="45">
        <v>72</v>
      </c>
      <c r="J660" s="45" t="s">
        <v>32</v>
      </c>
      <c r="K660" s="45" t="s">
        <v>33</v>
      </c>
      <c r="L660" s="54"/>
      <c r="M660" s="124"/>
      <c r="N660" s="46" t="s">
        <v>57</v>
      </c>
      <c r="O660" s="53"/>
      <c r="P660" s="48"/>
      <c r="Q660" s="8">
        <f>VLOOKUP($F660,[1]装箱单!$A:$E,5,0)</f>
        <v>0</v>
      </c>
      <c r="R660" s="8">
        <f>VLOOKUP($F660,[1]装箱单!$A:$F,6,0)</f>
        <v>0</v>
      </c>
      <c r="S660" s="8">
        <f>VLOOKUP($F660,[1]装箱单!$A:$G,7,0)</f>
        <v>0</v>
      </c>
      <c r="T660" s="10">
        <f>VLOOKUP($F660,[1]装箱单!$A:$J,10,0)</f>
        <v>0</v>
      </c>
      <c r="U660" s="11">
        <f t="shared" si="59"/>
        <v>0</v>
      </c>
    </row>
    <row r="661" ht="29.1" customHeight="1" spans="1:21">
      <c r="A661" s="40">
        <v>46136</v>
      </c>
      <c r="B661" s="41" t="s">
        <v>855</v>
      </c>
      <c r="C661" s="42" t="s">
        <v>868</v>
      </c>
      <c r="D661" s="43" t="s">
        <v>869</v>
      </c>
      <c r="E661" s="44" t="s">
        <v>870</v>
      </c>
      <c r="F661" s="44">
        <v>33476</v>
      </c>
      <c r="G661" s="44" t="str">
        <f>VLOOKUP(F661,[1]装箱单!$A:$C,3,0)</f>
        <v>搪小鸭天使</v>
      </c>
      <c r="H661" s="44">
        <v>64</v>
      </c>
      <c r="I661" s="45">
        <v>64</v>
      </c>
      <c r="J661" s="45" t="s">
        <v>32</v>
      </c>
      <c r="K661" s="45" t="s">
        <v>33</v>
      </c>
      <c r="L661" s="54"/>
      <c r="M661" s="124"/>
      <c r="N661" s="46" t="s">
        <v>57</v>
      </c>
      <c r="O661" s="53"/>
      <c r="P661" s="48"/>
      <c r="Q661" s="8">
        <f>VLOOKUP($F661,[1]装箱单!$A:$E,5,0)</f>
        <v>0</v>
      </c>
      <c r="R661" s="8">
        <f>VLOOKUP($F661,[1]装箱单!$A:$F,6,0)</f>
        <v>0</v>
      </c>
      <c r="S661" s="8">
        <f>VLOOKUP($F661,[1]装箱单!$A:$G,7,0)</f>
        <v>0</v>
      </c>
      <c r="T661" s="10">
        <f>VLOOKUP($F661,[1]装箱单!$A:$J,10,0)</f>
        <v>0</v>
      </c>
      <c r="U661" s="11">
        <f>+T661*L661</f>
        <v>0</v>
      </c>
    </row>
    <row r="662" ht="29.1" customHeight="1" spans="1:21">
      <c r="A662" s="40">
        <v>46136</v>
      </c>
      <c r="B662" s="41" t="s">
        <v>412</v>
      </c>
      <c r="C662" s="42" t="s">
        <v>875</v>
      </c>
      <c r="D662" s="43" t="s">
        <v>876</v>
      </c>
      <c r="E662" s="44" t="s">
        <v>877</v>
      </c>
      <c r="F662" s="44">
        <v>33476</v>
      </c>
      <c r="G662" s="44" t="str">
        <f>VLOOKUP(F662,[1]装箱单!$A:$C,3,0)</f>
        <v>搪小鸭天使</v>
      </c>
      <c r="H662" s="44">
        <v>500</v>
      </c>
      <c r="I662" s="45">
        <v>500</v>
      </c>
      <c r="J662" s="45" t="s">
        <v>32</v>
      </c>
      <c r="K662" s="45" t="s">
        <v>33</v>
      </c>
      <c r="L662" s="56"/>
      <c r="M662" s="121"/>
      <c r="N662" s="46" t="s">
        <v>57</v>
      </c>
      <c r="O662" s="55"/>
      <c r="P662" s="48"/>
      <c r="Q662" s="8">
        <f>VLOOKUP($F662,[1]装箱单!$A:$E,5,0)</f>
        <v>0</v>
      </c>
      <c r="R662" s="8">
        <f>VLOOKUP($F662,[1]装箱单!$A:$F,6,0)</f>
        <v>0</v>
      </c>
      <c r="S662" s="8">
        <f>VLOOKUP($F662,[1]装箱单!$A:$G,7,0)</f>
        <v>0</v>
      </c>
      <c r="T662" s="10">
        <f>VLOOKUP($F662,[1]装箱单!$A:$J,10,0)</f>
        <v>0</v>
      </c>
      <c r="U662" s="11">
        <f>+T662*L662</f>
        <v>0</v>
      </c>
    </row>
    <row r="663" ht="29.1" customHeight="1" spans="1:21">
      <c r="A663" s="40">
        <v>46136</v>
      </c>
      <c r="B663" s="41" t="s">
        <v>427</v>
      </c>
      <c r="C663" s="42" t="s">
        <v>878</v>
      </c>
      <c r="D663" s="43"/>
      <c r="E663" s="42" t="s">
        <v>879</v>
      </c>
      <c r="F663" s="44">
        <v>14245</v>
      </c>
      <c r="G663" s="44" t="str">
        <f>VLOOKUP(F663,[1]装箱单!$A:$C,3,0)</f>
        <v>磁铁肩膀史迪仔</v>
      </c>
      <c r="H663" s="44">
        <f>+I663/4</f>
        <v>1320</v>
      </c>
      <c r="I663" s="45">
        <v>5280</v>
      </c>
      <c r="J663" s="45" t="s">
        <v>32</v>
      </c>
      <c r="K663" s="45" t="s">
        <v>33</v>
      </c>
      <c r="L663" s="46">
        <v>1320</v>
      </c>
      <c r="M663" s="43">
        <f>+U663</f>
        <v>11.6368207956</v>
      </c>
      <c r="N663" s="46" t="s">
        <v>57</v>
      </c>
      <c r="O663" s="44"/>
      <c r="P663" s="48"/>
      <c r="Q663" s="8">
        <f>VLOOKUP($F663,[1]装箱单!$A:$E,5,0)</f>
        <v>21.91</v>
      </c>
      <c r="R663" s="8">
        <f>VLOOKUP($F663,[1]装箱单!$A:$F,6,0)</f>
        <v>22.23</v>
      </c>
      <c r="S663" s="8">
        <f>VLOOKUP($F663,[1]装箱单!$A:$G,7,0)</f>
        <v>18.1</v>
      </c>
      <c r="T663" s="10">
        <f>VLOOKUP($F663,[1]装箱单!$A:$J,10,0)</f>
        <v>0.00881577333</v>
      </c>
      <c r="U663" s="11">
        <f>+T663*L663</f>
        <v>11.6368207956</v>
      </c>
    </row>
    <row r="664" ht="29.1" customHeight="1" spans="1:21">
      <c r="A664" s="40"/>
      <c r="B664" s="41"/>
      <c r="C664" s="42"/>
      <c r="D664" s="43"/>
      <c r="E664" s="44"/>
      <c r="F664" s="44"/>
      <c r="G664" s="44"/>
      <c r="H664" s="44"/>
      <c r="I664" s="45"/>
      <c r="J664" s="45"/>
      <c r="K664" s="45"/>
      <c r="L664" s="56"/>
      <c r="M664" s="121">
        <f>SUM(M597:M663)</f>
        <v>142.760488032975</v>
      </c>
      <c r="N664" s="46"/>
      <c r="O664" s="55"/>
      <c r="P664" s="51"/>
    </row>
    <row r="665" ht="29.1" customHeight="1" spans="1:21">
      <c r="A665" s="40">
        <v>46139</v>
      </c>
      <c r="B665" s="41" t="s">
        <v>141</v>
      </c>
      <c r="C665" s="42" t="s">
        <v>880</v>
      </c>
      <c r="D665" s="43" t="s">
        <v>881</v>
      </c>
      <c r="E665" s="44" t="s">
        <v>882</v>
      </c>
      <c r="F665" s="44" t="s">
        <v>750</v>
      </c>
      <c r="G665" s="44" t="s">
        <v>883</v>
      </c>
      <c r="H665" s="44">
        <v>1250</v>
      </c>
      <c r="I665" s="45">
        <v>10000</v>
      </c>
      <c r="J665" s="45" t="s">
        <v>32</v>
      </c>
      <c r="K665" s="45" t="s">
        <v>33</v>
      </c>
      <c r="L665" s="46">
        <v>1250</v>
      </c>
      <c r="M665" s="43">
        <v>9.8509125</v>
      </c>
      <c r="N665" s="46" t="s">
        <v>34</v>
      </c>
      <c r="O665" s="44"/>
      <c r="P665" s="47" t="s">
        <v>53</v>
      </c>
      <c r="Q665" s="8">
        <v>33</v>
      </c>
      <c r="R665" s="8">
        <v>16.7</v>
      </c>
      <c r="S665" s="8">
        <v>14.3</v>
      </c>
      <c r="T665" s="10">
        <v>0.00788073</v>
      </c>
      <c r="U665" s="11">
        <v>9.8509125</v>
      </c>
    </row>
    <row r="666" ht="29.1" customHeight="1" spans="1:21">
      <c r="A666" s="40">
        <v>46139</v>
      </c>
      <c r="B666" s="41" t="s">
        <v>141</v>
      </c>
      <c r="C666" s="42" t="s">
        <v>884</v>
      </c>
      <c r="D666" s="43" t="s">
        <v>885</v>
      </c>
      <c r="E666" s="44" t="s">
        <v>753</v>
      </c>
      <c r="F666" s="44" t="s">
        <v>754</v>
      </c>
      <c r="G666" s="44" t="s">
        <v>886</v>
      </c>
      <c r="H666" s="44">
        <v>725</v>
      </c>
      <c r="I666" s="45">
        <v>5800</v>
      </c>
      <c r="J666" s="45" t="s">
        <v>32</v>
      </c>
      <c r="K666" s="45" t="s">
        <v>33</v>
      </c>
      <c r="L666" s="46">
        <v>725</v>
      </c>
      <c r="M666" s="43">
        <v>5.71352925</v>
      </c>
      <c r="N666" s="46" t="s">
        <v>34</v>
      </c>
      <c r="O666" s="44"/>
      <c r="P666" s="48"/>
      <c r="Q666" s="8">
        <v>33</v>
      </c>
      <c r="R666" s="8">
        <v>16.7</v>
      </c>
      <c r="S666" s="8">
        <v>14.3</v>
      </c>
      <c r="T666" s="10">
        <v>0.00788073</v>
      </c>
      <c r="U666" s="11">
        <v>5.71352925</v>
      </c>
    </row>
    <row r="667" ht="29.1" customHeight="1" spans="1:21">
      <c r="A667" s="40">
        <v>46139</v>
      </c>
      <c r="B667" s="41" t="s">
        <v>141</v>
      </c>
      <c r="C667" s="42" t="s">
        <v>887</v>
      </c>
      <c r="D667" s="43" t="s">
        <v>888</v>
      </c>
      <c r="E667" s="44" t="s">
        <v>889</v>
      </c>
      <c r="F667" s="44" t="s">
        <v>754</v>
      </c>
      <c r="G667" s="44" t="s">
        <v>886</v>
      </c>
      <c r="H667" s="44">
        <v>1275</v>
      </c>
      <c r="I667" s="45">
        <v>10200</v>
      </c>
      <c r="J667" s="45" t="s">
        <v>32</v>
      </c>
      <c r="K667" s="45" t="s">
        <v>33</v>
      </c>
      <c r="L667" s="46">
        <v>1275</v>
      </c>
      <c r="M667" s="43">
        <v>10.04793075</v>
      </c>
      <c r="N667" s="46" t="s">
        <v>34</v>
      </c>
      <c r="O667" s="44"/>
      <c r="P667" s="48"/>
      <c r="Q667" s="8">
        <v>33</v>
      </c>
      <c r="R667" s="8">
        <v>16.7</v>
      </c>
      <c r="S667" s="8">
        <v>14.3</v>
      </c>
      <c r="T667" s="10">
        <v>0.00788073</v>
      </c>
      <c r="U667" s="11">
        <v>10.04793075</v>
      </c>
    </row>
    <row r="668" ht="29.1" customHeight="1" spans="1:21">
      <c r="A668" s="40">
        <v>46139</v>
      </c>
      <c r="B668" s="41" t="s">
        <v>890</v>
      </c>
      <c r="C668" s="42" t="s">
        <v>891</v>
      </c>
      <c r="D668" s="43" t="s">
        <v>892</v>
      </c>
      <c r="E668" s="44" t="s">
        <v>893</v>
      </c>
      <c r="F668" s="44" t="s">
        <v>894</v>
      </c>
      <c r="G668" s="44" t="s">
        <v>895</v>
      </c>
      <c r="H668" s="44">
        <v>275</v>
      </c>
      <c r="I668" s="45">
        <v>550</v>
      </c>
      <c r="J668" s="45" t="s">
        <v>32</v>
      </c>
      <c r="K668" s="45" t="s">
        <v>33</v>
      </c>
      <c r="L668" s="46">
        <v>275</v>
      </c>
      <c r="M668" s="43">
        <v>13.775631722875</v>
      </c>
      <c r="N668" s="46" t="s">
        <v>34</v>
      </c>
      <c r="O668" s="44"/>
      <c r="P668" s="48"/>
      <c r="Q668" s="8">
        <v>37.084</v>
      </c>
      <c r="R668" s="8">
        <v>31.75</v>
      </c>
      <c r="S668" s="8">
        <v>42.545</v>
      </c>
      <c r="T668" s="10">
        <v>0.050093206265</v>
      </c>
      <c r="U668" s="11">
        <v>13.775631722875</v>
      </c>
    </row>
    <row r="669" ht="29.1" customHeight="1" spans="1:21">
      <c r="A669" s="40">
        <v>46139</v>
      </c>
      <c r="B669" s="41" t="s">
        <v>52</v>
      </c>
      <c r="C669" s="44">
        <v>45494</v>
      </c>
      <c r="D669" s="43">
        <v>45494</v>
      </c>
      <c r="E669" s="44"/>
      <c r="F669" s="44">
        <v>570974</v>
      </c>
      <c r="G669" s="44" t="s">
        <v>896</v>
      </c>
      <c r="H669" s="44">
        <v>2000</v>
      </c>
      <c r="I669" s="45">
        <v>576</v>
      </c>
      <c r="J669" s="45" t="s">
        <v>32</v>
      </c>
      <c r="K669" s="45" t="s">
        <v>33</v>
      </c>
      <c r="L669" s="46">
        <v>576</v>
      </c>
      <c r="M669" s="43">
        <v>49.49254227456</v>
      </c>
      <c r="N669" s="46" t="s">
        <v>57</v>
      </c>
      <c r="O669" s="44" t="s">
        <v>62</v>
      </c>
      <c r="P669" s="48"/>
      <c r="Q669" s="8">
        <v>59.05</v>
      </c>
      <c r="R669" s="8">
        <v>26.04</v>
      </c>
      <c r="S669" s="8">
        <v>55.88</v>
      </c>
      <c r="T669" s="10">
        <v>0.08592455256</v>
      </c>
      <c r="U669" s="11">
        <v>49.49254227456</v>
      </c>
    </row>
    <row r="670" ht="29.1" customHeight="1" spans="1:21">
      <c r="A670" s="40">
        <v>46139</v>
      </c>
      <c r="B670" s="41" t="s">
        <v>52</v>
      </c>
      <c r="C670" s="44">
        <v>44323</v>
      </c>
      <c r="D670" s="43" t="s">
        <v>897</v>
      </c>
      <c r="E670" s="44"/>
      <c r="F670" s="44">
        <v>571412</v>
      </c>
      <c r="G670" s="44" t="s">
        <v>898</v>
      </c>
      <c r="H670" s="44">
        <v>1671</v>
      </c>
      <c r="I670" s="45">
        <v>1671</v>
      </c>
      <c r="J670" s="45" t="s">
        <v>32</v>
      </c>
      <c r="K670" s="45" t="s">
        <v>33</v>
      </c>
      <c r="L670" s="46">
        <v>1671</v>
      </c>
      <c r="M670" s="43">
        <v>44.776116</v>
      </c>
      <c r="N670" s="46" t="s">
        <v>57</v>
      </c>
      <c r="O670" s="44" t="s">
        <v>62</v>
      </c>
      <c r="P670" s="48"/>
      <c r="Q670" s="8">
        <v>42</v>
      </c>
      <c r="R670" s="8">
        <v>22</v>
      </c>
      <c r="S670" s="8">
        <v>29</v>
      </c>
      <c r="T670" s="10">
        <v>0.026796</v>
      </c>
      <c r="U670" s="11">
        <v>44.776116</v>
      </c>
    </row>
    <row r="671" ht="29.1" customHeight="1" spans="1:21">
      <c r="A671" s="40">
        <v>46139</v>
      </c>
      <c r="B671" s="41" t="s">
        <v>52</v>
      </c>
      <c r="C671" s="44">
        <v>45430</v>
      </c>
      <c r="D671" s="43" t="s">
        <v>899</v>
      </c>
      <c r="E671" s="44"/>
      <c r="F671" s="44">
        <v>571388</v>
      </c>
      <c r="G671" s="44" t="s">
        <v>900</v>
      </c>
      <c r="H671" s="44">
        <v>500</v>
      </c>
      <c r="I671" s="45">
        <v>2000</v>
      </c>
      <c r="J671" s="45" t="s">
        <v>32</v>
      </c>
      <c r="K671" s="45" t="s">
        <v>33</v>
      </c>
      <c r="L671" s="46">
        <v>500</v>
      </c>
      <c r="M671" s="43">
        <v>7.6112751</v>
      </c>
      <c r="N671" s="46" t="s">
        <v>57</v>
      </c>
      <c r="O671" s="44" t="s">
        <v>62</v>
      </c>
      <c r="P671" s="48"/>
      <c r="Q671" s="8">
        <v>27.94</v>
      </c>
      <c r="R671" s="8">
        <v>16.51</v>
      </c>
      <c r="S671" s="8">
        <v>33</v>
      </c>
      <c r="T671" s="10">
        <v>0.0152225502</v>
      </c>
      <c r="U671" s="11">
        <v>7.6112751</v>
      </c>
    </row>
    <row r="672" ht="29.1" customHeight="1" spans="1:21">
      <c r="A672" s="40"/>
      <c r="B672" s="41"/>
      <c r="C672" s="44"/>
      <c r="D672" s="43"/>
      <c r="E672" s="44"/>
      <c r="F672" s="44"/>
      <c r="G672" s="44"/>
      <c r="H672" s="44"/>
      <c r="I672" s="45"/>
      <c r="J672" s="45"/>
      <c r="K672" s="45"/>
      <c r="L672" s="46"/>
      <c r="M672" s="43">
        <v>141.267937597435</v>
      </c>
      <c r="N672" s="46"/>
      <c r="O672" s="44"/>
      <c r="P672" s="51"/>
    </row>
    <row r="673" ht="29.1" customHeight="1" spans="1:21">
      <c r="A673" s="40">
        <v>46140</v>
      </c>
      <c r="B673" s="41" t="s">
        <v>54</v>
      </c>
      <c r="C673" s="42" t="s">
        <v>790</v>
      </c>
      <c r="D673" s="43" t="s">
        <v>791</v>
      </c>
      <c r="E673" s="44" t="s">
        <v>792</v>
      </c>
      <c r="F673" s="44">
        <v>28472</v>
      </c>
      <c r="G673" s="44" t="str">
        <f>VLOOKUP(F673,[1]装箱单!$A:$C,3,0)</f>
        <v>狮子</v>
      </c>
      <c r="H673" s="44">
        <v>600</v>
      </c>
      <c r="I673" s="45">
        <f>+L673</f>
        <v>360</v>
      </c>
      <c r="J673" s="45" t="s">
        <v>32</v>
      </c>
      <c r="K673" s="45" t="s">
        <v>33</v>
      </c>
      <c r="L673" s="46">
        <f>600-240</f>
        <v>360</v>
      </c>
      <c r="M673" s="43">
        <f>+U673</f>
        <v>6.6096</v>
      </c>
      <c r="N673" s="46" t="s">
        <v>34</v>
      </c>
      <c r="O673" s="44"/>
      <c r="P673" s="47" t="s">
        <v>901</v>
      </c>
      <c r="Q673" s="8">
        <f>VLOOKUP($F673,[1]装箱单!$A:$E,5,0)</f>
        <v>30</v>
      </c>
      <c r="R673" s="8">
        <f>VLOOKUP($F673,[1]装箱单!$A:$F,6,0)</f>
        <v>17</v>
      </c>
      <c r="S673" s="8">
        <f>VLOOKUP($F673,[1]装箱单!$A:$G,7,0)</f>
        <v>36</v>
      </c>
      <c r="T673" s="10">
        <f>VLOOKUP($F673,[1]装箱单!$A:$J,10,0)</f>
        <v>0.01836</v>
      </c>
      <c r="U673" s="11">
        <f>+T673*L673</f>
        <v>6.6096</v>
      </c>
    </row>
    <row r="674" ht="29.1" customHeight="1" spans="1:21">
      <c r="A674" s="40">
        <v>46140</v>
      </c>
      <c r="B674" s="41" t="s">
        <v>890</v>
      </c>
      <c r="C674" s="42" t="s">
        <v>902</v>
      </c>
      <c r="D674" s="43" t="s">
        <v>903</v>
      </c>
      <c r="E674" s="44" t="s">
        <v>904</v>
      </c>
      <c r="F674" s="44" t="s">
        <v>894</v>
      </c>
      <c r="G674" s="44" t="str">
        <f>VLOOKUP(F674,[1]装箱单!$A:$C,3,0)</f>
        <v>摇摆米奇</v>
      </c>
      <c r="H674" s="44">
        <v>801</v>
      </c>
      <c r="I674" s="45">
        <f>+L674*2</f>
        <v>1602</v>
      </c>
      <c r="J674" s="45" t="s">
        <v>32</v>
      </c>
      <c r="K674" s="45" t="s">
        <v>33</v>
      </c>
      <c r="L674" s="46">
        <v>801</v>
      </c>
      <c r="M674" s="43">
        <f>+U674</f>
        <v>40.124658218265</v>
      </c>
      <c r="N674" s="46" t="s">
        <v>34</v>
      </c>
      <c r="O674" s="44"/>
      <c r="P674" s="48"/>
      <c r="Q674" s="8">
        <f>VLOOKUP($F674,[1]装箱单!$A:$E,5,0)</f>
        <v>37.084</v>
      </c>
      <c r="R674" s="8">
        <f>VLOOKUP($F674,[1]装箱单!$A:$F,6,0)</f>
        <v>31.75</v>
      </c>
      <c r="S674" s="8">
        <f>VLOOKUP($F674,[1]装箱单!$A:$G,7,0)</f>
        <v>42.545</v>
      </c>
      <c r="T674" s="10">
        <f>VLOOKUP($F674,[1]装箱单!$A:$J,10,0)</f>
        <v>0.050093206265</v>
      </c>
      <c r="U674" s="11">
        <f>+T674*L674</f>
        <v>40.124658218265</v>
      </c>
    </row>
    <row r="675" ht="29.1" customHeight="1" spans="1:21">
      <c r="A675" s="40">
        <v>46140</v>
      </c>
      <c r="B675" s="41" t="s">
        <v>905</v>
      </c>
      <c r="C675" s="44">
        <v>1002172</v>
      </c>
      <c r="D675" s="43" t="s">
        <v>906</v>
      </c>
      <c r="E675" s="44"/>
      <c r="F675" s="44">
        <v>470764</v>
      </c>
      <c r="G675" s="44" t="str">
        <f>VLOOKUP(F675,[1]装箱单!$A:$C,3,0)</f>
        <v>大型自卸车</v>
      </c>
      <c r="H675" s="44">
        <v>5340</v>
      </c>
      <c r="I675" s="45">
        <f>+L675</f>
        <v>3969</v>
      </c>
      <c r="J675" s="45" t="s">
        <v>32</v>
      </c>
      <c r="K675" s="45" t="s">
        <v>33</v>
      </c>
      <c r="L675" s="46">
        <v>3969</v>
      </c>
      <c r="M675" s="43">
        <f>+U675</f>
        <v>106.353324</v>
      </c>
      <c r="N675" s="46" t="s">
        <v>57</v>
      </c>
      <c r="O675" s="44"/>
      <c r="P675" s="48"/>
      <c r="Q675" s="8">
        <f>VLOOKUP($F675,[1]装箱单!$A:$E,5,0)</f>
        <v>42</v>
      </c>
      <c r="R675" s="8">
        <f>VLOOKUP($F675,[1]装箱单!$A:$F,6,0)</f>
        <v>22</v>
      </c>
      <c r="S675" s="8">
        <f>VLOOKUP($F675,[1]装箱单!$A:$G,7,0)</f>
        <v>29</v>
      </c>
      <c r="T675" s="10">
        <f>VLOOKUP($F675,[1]装箱单!$A:$J,10,0)</f>
        <v>0.026796</v>
      </c>
      <c r="U675" s="11">
        <f>+T675*L675</f>
        <v>106.353324</v>
      </c>
    </row>
    <row r="676" ht="29.1" customHeight="1" spans="1:21">
      <c r="A676" s="40">
        <v>46140</v>
      </c>
      <c r="B676" s="41"/>
      <c r="C676" s="44"/>
      <c r="D676" s="43"/>
      <c r="E676" s="44"/>
      <c r="F676" s="44"/>
      <c r="G676" s="44" t="s">
        <v>907</v>
      </c>
      <c r="H676" s="44">
        <v>3</v>
      </c>
      <c r="I676" s="45">
        <v>3</v>
      </c>
      <c r="J676" s="45" t="s">
        <v>47</v>
      </c>
      <c r="K676" s="45" t="s">
        <v>218</v>
      </c>
      <c r="L676" s="46"/>
      <c r="M676" s="43"/>
      <c r="N676" s="46"/>
      <c r="O676" s="44"/>
      <c r="P676" s="48"/>
    </row>
    <row r="677" ht="29.1" customHeight="1" spans="1:21">
      <c r="A677" s="40"/>
      <c r="B677" s="41"/>
      <c r="C677" s="44"/>
      <c r="D677" s="43"/>
      <c r="E677" s="44"/>
      <c r="F677" s="44"/>
      <c r="G677" s="44"/>
      <c r="H677" s="44"/>
      <c r="I677" s="45"/>
      <c r="J677" s="45"/>
      <c r="K677" s="45"/>
      <c r="L677" s="46"/>
      <c r="M677" s="43">
        <f>SUM(M673:M675)</f>
        <v>153.087582218265</v>
      </c>
      <c r="N677" s="46"/>
      <c r="O677" s="44"/>
      <c r="P677" s="51"/>
    </row>
    <row r="678" ht="29.1" customHeight="1" spans="1:21">
      <c r="A678" s="40">
        <v>46141</v>
      </c>
      <c r="B678" s="41" t="s">
        <v>146</v>
      </c>
      <c r="C678" s="42" t="s">
        <v>908</v>
      </c>
      <c r="D678" s="43" t="s">
        <v>909</v>
      </c>
      <c r="E678" s="44">
        <v>2586043</v>
      </c>
      <c r="F678" s="44">
        <v>46496</v>
      </c>
      <c r="G678" s="44" t="str">
        <f>VLOOKUP(F678,[1]装箱单!$A:$C,3,0)</f>
        <v>米妮系列</v>
      </c>
      <c r="H678" s="44">
        <v>2500</v>
      </c>
      <c r="I678" s="45">
        <f>+L678*2</f>
        <v>5000</v>
      </c>
      <c r="J678" s="45" t="s">
        <v>32</v>
      </c>
      <c r="K678" s="45" t="s">
        <v>33</v>
      </c>
      <c r="L678" s="46">
        <v>2500</v>
      </c>
      <c r="M678" s="43">
        <f>+U678</f>
        <v>55.91429508</v>
      </c>
      <c r="N678" s="46" t="s">
        <v>34</v>
      </c>
      <c r="O678" s="44"/>
      <c r="P678" s="47" t="s">
        <v>766</v>
      </c>
      <c r="Q678" s="8">
        <f>VLOOKUP($F678,[1]装箱单!$A:$E,5,0)</f>
        <v>40.01</v>
      </c>
      <c r="R678" s="8">
        <f>VLOOKUP($F678,[1]装箱单!$A:$F,6,0)</f>
        <v>26.67</v>
      </c>
      <c r="S678" s="8">
        <f>VLOOKUP($F678,[1]装箱单!$A:$G,7,0)</f>
        <v>20.96</v>
      </c>
      <c r="T678" s="10">
        <f>VLOOKUP($F678,[1]装箱单!$A:$J,10,0)</f>
        <v>0.022365718032</v>
      </c>
      <c r="U678" s="11">
        <f>+T678*L678</f>
        <v>55.91429508</v>
      </c>
    </row>
    <row r="679" ht="29.1" customHeight="1" spans="1:21">
      <c r="A679" s="40">
        <v>46141</v>
      </c>
      <c r="B679" s="41" t="s">
        <v>146</v>
      </c>
      <c r="C679" s="42" t="s">
        <v>910</v>
      </c>
      <c r="D679" s="43" t="s">
        <v>911</v>
      </c>
      <c r="E679" s="44">
        <v>2581427</v>
      </c>
      <c r="F679" s="44">
        <v>46092</v>
      </c>
      <c r="G679" s="44" t="str">
        <f>VLOOKUP(F679,[1]装箱单!$A:$C,3,0)</f>
        <v>玩具总动员系列</v>
      </c>
      <c r="H679" s="44">
        <v>3000</v>
      </c>
      <c r="I679" s="45">
        <f>+L679*2</f>
        <v>6000</v>
      </c>
      <c r="J679" s="45" t="s">
        <v>32</v>
      </c>
      <c r="K679" s="45" t="s">
        <v>33</v>
      </c>
      <c r="L679" s="46">
        <v>3000</v>
      </c>
      <c r="M679" s="43">
        <f>+U679</f>
        <v>67.097154096</v>
      </c>
      <c r="N679" s="46" t="s">
        <v>34</v>
      </c>
      <c r="O679" s="44"/>
      <c r="P679" s="48"/>
      <c r="Q679" s="8">
        <f>VLOOKUP($F679,[1]装箱单!$A:$E,5,0)</f>
        <v>40.01</v>
      </c>
      <c r="R679" s="8">
        <f>VLOOKUP($F679,[1]装箱单!$A:$F,6,0)</f>
        <v>26.67</v>
      </c>
      <c r="S679" s="8">
        <f>VLOOKUP($F679,[1]装箱单!$A:$G,7,0)</f>
        <v>20.96</v>
      </c>
      <c r="T679" s="10">
        <f>VLOOKUP($F679,[1]装箱单!$A:$J,10,0)</f>
        <v>0.022365718032</v>
      </c>
      <c r="U679" s="11">
        <f>+T679*L679</f>
        <v>67.097154096</v>
      </c>
    </row>
    <row r="680" ht="29.1" customHeight="1" spans="1:21">
      <c r="A680" s="40">
        <v>46141</v>
      </c>
      <c r="B680" s="41" t="s">
        <v>146</v>
      </c>
      <c r="C680" s="42" t="s">
        <v>912</v>
      </c>
      <c r="D680" s="43" t="s">
        <v>913</v>
      </c>
      <c r="E680" s="44">
        <v>2581426</v>
      </c>
      <c r="F680" s="44">
        <v>46134</v>
      </c>
      <c r="G680" s="44" t="str">
        <f>VLOOKUP(F680,[1]装箱单!$A:$C,3,0)</f>
        <v>海洋奇缘系列</v>
      </c>
      <c r="H680" s="44">
        <v>1500</v>
      </c>
      <c r="I680" s="45">
        <f>+L680*2</f>
        <v>1872</v>
      </c>
      <c r="J680" s="45" t="s">
        <v>32</v>
      </c>
      <c r="K680" s="45" t="s">
        <v>33</v>
      </c>
      <c r="L680" s="46">
        <v>936</v>
      </c>
      <c r="M680" s="43">
        <f>+U680</f>
        <v>20.934312077952</v>
      </c>
      <c r="N680" s="46" t="s">
        <v>34</v>
      </c>
      <c r="O680" s="44"/>
      <c r="P680" s="48"/>
      <c r="Q680" s="8">
        <f>VLOOKUP($F680,[1]装箱单!$A:$E,5,0)</f>
        <v>40.01</v>
      </c>
      <c r="R680" s="8">
        <f>VLOOKUP($F680,[1]装箱单!$A:$F,6,0)</f>
        <v>26.67</v>
      </c>
      <c r="S680" s="8">
        <f>VLOOKUP($F680,[1]装箱单!$A:$G,7,0)</f>
        <v>20.96</v>
      </c>
      <c r="T680" s="10">
        <f>VLOOKUP($F680,[1]装箱单!$A:$J,10,0)</f>
        <v>0.022365718032</v>
      </c>
      <c r="U680" s="11">
        <f>+T680*L680</f>
        <v>20.934312077952</v>
      </c>
    </row>
    <row r="681" ht="29.1" customHeight="1" spans="1:21">
      <c r="A681" s="40"/>
      <c r="B681" s="41"/>
      <c r="C681" s="42"/>
      <c r="D681" s="43"/>
      <c r="E681" s="44"/>
      <c r="F681" s="44"/>
      <c r="G681" s="44"/>
      <c r="H681" s="44"/>
      <c r="I681" s="45"/>
      <c r="J681" s="45"/>
      <c r="K681" s="45"/>
      <c r="L681" s="46"/>
      <c r="M681" s="43">
        <f>SUM(M678:M680)</f>
        <v>143.945761253952</v>
      </c>
      <c r="N681" s="46"/>
      <c r="O681" s="44"/>
      <c r="P681" s="51"/>
    </row>
    <row r="682" ht="29.1" customHeight="1" spans="1:21">
      <c r="A682" s="40">
        <v>46146</v>
      </c>
      <c r="B682" s="41" t="s">
        <v>146</v>
      </c>
      <c r="C682" s="42" t="s">
        <v>912</v>
      </c>
      <c r="D682" s="43" t="s">
        <v>913</v>
      </c>
      <c r="E682" s="44">
        <v>2581426</v>
      </c>
      <c r="F682" s="44">
        <v>46134</v>
      </c>
      <c r="G682" s="44" t="str">
        <f>VLOOKUP(F682,[1]装箱单!$A:$C,3,0)</f>
        <v>海洋奇缘系列</v>
      </c>
      <c r="H682" s="44">
        <v>1500</v>
      </c>
      <c r="I682" s="45">
        <f>+L682*2</f>
        <v>1128</v>
      </c>
      <c r="J682" s="45" t="s">
        <v>32</v>
      </c>
      <c r="K682" s="45" t="s">
        <v>33</v>
      </c>
      <c r="L682" s="46">
        <f>1500-936</f>
        <v>564</v>
      </c>
      <c r="M682" s="43">
        <f>+U682</f>
        <v>12.614264970048</v>
      </c>
      <c r="N682" s="46" t="s">
        <v>34</v>
      </c>
      <c r="O682" s="44"/>
      <c r="P682" s="47" t="s">
        <v>766</v>
      </c>
      <c r="Q682" s="8">
        <f>VLOOKUP($F682,[1]装箱单!$A:$E,5,0)</f>
        <v>40.01</v>
      </c>
      <c r="R682" s="8">
        <f>VLOOKUP($F682,[1]装箱单!$A:$F,6,0)</f>
        <v>26.67</v>
      </c>
      <c r="S682" s="8">
        <f>VLOOKUP($F682,[1]装箱单!$A:$G,7,0)</f>
        <v>20.96</v>
      </c>
      <c r="T682" s="10">
        <f>VLOOKUP($F682,[1]装箱单!$A:$J,10,0)</f>
        <v>0.022365718032</v>
      </c>
      <c r="U682" s="11">
        <f>+T682*L682</f>
        <v>12.614264970048</v>
      </c>
    </row>
    <row r="683" ht="29.1" customHeight="1" spans="1:21">
      <c r="A683" s="40">
        <v>46146</v>
      </c>
      <c r="B683" s="41" t="s">
        <v>146</v>
      </c>
      <c r="C683" s="42" t="s">
        <v>914</v>
      </c>
      <c r="D683" s="43" t="s">
        <v>915</v>
      </c>
      <c r="E683" s="44">
        <v>2581424</v>
      </c>
      <c r="F683" s="44">
        <v>46132</v>
      </c>
      <c r="G683" s="44" t="str">
        <f>VLOOKUP(F683,[1]装箱单!$A:$C,3,0)</f>
        <v>赛车总动员系列</v>
      </c>
      <c r="H683" s="44">
        <v>3000</v>
      </c>
      <c r="I683" s="45">
        <f>+L683*2</f>
        <v>6000</v>
      </c>
      <c r="J683" s="45" t="s">
        <v>32</v>
      </c>
      <c r="K683" s="45" t="s">
        <v>33</v>
      </c>
      <c r="L683" s="46">
        <v>3000</v>
      </c>
      <c r="M683" s="43">
        <f>+U683</f>
        <v>67.097154096</v>
      </c>
      <c r="N683" s="46" t="s">
        <v>34</v>
      </c>
      <c r="O683" s="44"/>
      <c r="P683" s="48"/>
      <c r="Q683" s="8">
        <f>VLOOKUP($F683,[1]装箱单!$A:$E,5,0)</f>
        <v>40.01</v>
      </c>
      <c r="R683" s="8">
        <f>VLOOKUP($F683,[1]装箱单!$A:$F,6,0)</f>
        <v>26.67</v>
      </c>
      <c r="S683" s="8">
        <f>VLOOKUP($F683,[1]装箱单!$A:$G,7,0)</f>
        <v>20.96</v>
      </c>
      <c r="T683" s="10">
        <f>VLOOKUP($F683,[1]装箱单!$A:$J,10,0)</f>
        <v>0.022365718032</v>
      </c>
      <c r="U683" s="11">
        <f>+T683*L683</f>
        <v>67.097154096</v>
      </c>
    </row>
    <row r="684" ht="29.1" customHeight="1" spans="1:21">
      <c r="A684" s="40">
        <v>46146</v>
      </c>
      <c r="B684" s="41" t="s">
        <v>146</v>
      </c>
      <c r="C684" s="42" t="s">
        <v>916</v>
      </c>
      <c r="D684" s="43" t="s">
        <v>917</v>
      </c>
      <c r="E684" s="44" t="s">
        <v>918</v>
      </c>
      <c r="F684" s="44">
        <v>46097</v>
      </c>
      <c r="G684" s="44" t="str">
        <f>VLOOKUP(F684,[1]装箱单!$A:$C,3,0)</f>
        <v>小熊维尼历险记系列</v>
      </c>
      <c r="H684" s="44">
        <v>2500</v>
      </c>
      <c r="I684" s="45">
        <f>+L684*2</f>
        <v>5000</v>
      </c>
      <c r="J684" s="45" t="s">
        <v>32</v>
      </c>
      <c r="K684" s="45" t="s">
        <v>33</v>
      </c>
      <c r="L684" s="46">
        <v>2500</v>
      </c>
      <c r="M684" s="43">
        <f>+U684</f>
        <v>55.91429508</v>
      </c>
      <c r="N684" s="46" t="s">
        <v>34</v>
      </c>
      <c r="O684" s="44"/>
      <c r="P684" s="48"/>
      <c r="Q684" s="8">
        <f>VLOOKUP($F684,[1]装箱单!$A:$E,5,0)</f>
        <v>40.01</v>
      </c>
      <c r="R684" s="8">
        <f>VLOOKUP($F684,[1]装箱单!$A:$F,6,0)</f>
        <v>26.67</v>
      </c>
      <c r="S684" s="8">
        <f>VLOOKUP($F684,[1]装箱单!$A:$G,7,0)</f>
        <v>20.96</v>
      </c>
      <c r="T684" s="10">
        <f>VLOOKUP($F684,[1]装箱单!$A:$J,10,0)</f>
        <v>0.022365718032</v>
      </c>
      <c r="U684" s="11">
        <f>+T684*L684</f>
        <v>55.91429508</v>
      </c>
    </row>
    <row r="685" ht="29.1" customHeight="1" spans="1:21">
      <c r="A685" s="40"/>
      <c r="B685" s="41"/>
      <c r="C685" s="42"/>
      <c r="D685" s="43"/>
      <c r="E685" s="44"/>
      <c r="F685" s="44"/>
      <c r="G685" s="44"/>
      <c r="H685" s="44"/>
      <c r="I685" s="45"/>
      <c r="J685" s="45"/>
      <c r="K685" s="45"/>
      <c r="L685" s="46"/>
      <c r="M685" s="43">
        <f>SUM(M682:M684)</f>
        <v>135.625714146048</v>
      </c>
      <c r="N685" s="46"/>
      <c r="O685" s="44"/>
      <c r="P685" s="51"/>
    </row>
    <row r="686" ht="29.1" customHeight="1" spans="1:21">
      <c r="A686" s="40">
        <v>46147</v>
      </c>
      <c r="B686" s="41" t="s">
        <v>52</v>
      </c>
      <c r="C686" s="44">
        <v>45494</v>
      </c>
      <c r="D686" s="43" t="s">
        <v>471</v>
      </c>
      <c r="E686" s="44"/>
      <c r="F686" s="44">
        <v>570974</v>
      </c>
      <c r="G686" s="44" t="str">
        <f>VLOOKUP(F686,[2]装箱单!$A:$C,3,0)</f>
        <v>蓝球</v>
      </c>
      <c r="H686" s="44">
        <v>2000</v>
      </c>
      <c r="I686" s="45">
        <f>+L686</f>
        <v>842</v>
      </c>
      <c r="J686" s="45" t="s">
        <v>32</v>
      </c>
      <c r="K686" s="45" t="s">
        <v>33</v>
      </c>
      <c r="L686" s="46">
        <v>842</v>
      </c>
      <c r="M686" s="43">
        <f>+U686</f>
        <v>72.34847325552</v>
      </c>
      <c r="N686" s="46" t="s">
        <v>34</v>
      </c>
      <c r="O686" s="44"/>
      <c r="P686" s="47" t="s">
        <v>901</v>
      </c>
      <c r="Q686" s="8">
        <f>VLOOKUP($F686,[2]装箱单!$A:$E,5,0)</f>
        <v>59.05</v>
      </c>
      <c r="R686" s="8">
        <f>VLOOKUP($F686,[2]装箱单!$A:$F,6,0)</f>
        <v>26.04</v>
      </c>
      <c r="S686" s="8">
        <f>VLOOKUP($F686,[2]装箱单!$A:$G,7,0)</f>
        <v>55.88</v>
      </c>
      <c r="T686" s="10">
        <f>VLOOKUP($F686,[2]装箱单!$A:$J,10,0)</f>
        <v>0.08592455256</v>
      </c>
      <c r="U686" s="11">
        <f>+T686*L686</f>
        <v>72.34847325552</v>
      </c>
    </row>
    <row r="687" ht="29.1" customHeight="1" spans="1:21">
      <c r="A687" s="40">
        <v>46147</v>
      </c>
      <c r="B687" s="41" t="s">
        <v>52</v>
      </c>
      <c r="C687" s="42" t="s">
        <v>919</v>
      </c>
      <c r="D687" s="43" t="s">
        <v>920</v>
      </c>
      <c r="E687" s="44"/>
      <c r="F687" s="44">
        <v>570975</v>
      </c>
      <c r="G687" s="44" t="str">
        <f>VLOOKUP(F687,[2]装箱单!$A:$C,3,0)</f>
        <v>棒球</v>
      </c>
      <c r="H687" s="44">
        <v>3345</v>
      </c>
      <c r="I687" s="45">
        <f>+L687</f>
        <v>3345</v>
      </c>
      <c r="J687" s="45" t="s">
        <v>32</v>
      </c>
      <c r="K687" s="45" t="s">
        <v>33</v>
      </c>
      <c r="L687" s="45">
        <v>3345</v>
      </c>
      <c r="M687" s="43">
        <f>+U687</f>
        <v>64.14488654868</v>
      </c>
      <c r="N687" s="46" t="s">
        <v>34</v>
      </c>
      <c r="O687" s="44"/>
      <c r="P687" s="48"/>
      <c r="Q687" s="8">
        <f>VLOOKUP($F687,[2]装箱单!$A:$E,5,0)</f>
        <v>30.48</v>
      </c>
      <c r="R687" s="8">
        <f>VLOOKUP($F687,[2]装箱单!$A:$F,6,0)</f>
        <v>11.795</v>
      </c>
      <c r="S687" s="8">
        <f>VLOOKUP($F687,[2]装箱单!$A:$G,7,0)</f>
        <v>53.34</v>
      </c>
      <c r="T687" s="10">
        <f>VLOOKUP($F687,[2]装箱单!$A:$J,10,0)</f>
        <v>0.019176348744</v>
      </c>
      <c r="U687" s="11">
        <f>+T687*L687</f>
        <v>64.14488654868</v>
      </c>
    </row>
    <row r="688" ht="29.1" customHeight="1" spans="1:21">
      <c r="A688" s="40"/>
      <c r="B688" s="41"/>
      <c r="C688" s="44"/>
      <c r="D688" s="43"/>
      <c r="E688" s="44"/>
      <c r="F688" s="44"/>
      <c r="G688" s="44"/>
      <c r="H688" s="44"/>
      <c r="I688" s="45"/>
      <c r="J688" s="45"/>
      <c r="K688" s="45"/>
      <c r="L688" s="46"/>
      <c r="M688" s="43">
        <f>SUM(M686:M687)</f>
        <v>136.4933598042</v>
      </c>
      <c r="N688" s="46"/>
      <c r="O688" s="44"/>
      <c r="P688" s="51"/>
    </row>
    <row r="689" ht="29.1" customHeight="1" spans="1:21">
      <c r="A689" s="40">
        <v>46147</v>
      </c>
      <c r="B689" s="41" t="s">
        <v>52</v>
      </c>
      <c r="C689" s="44">
        <v>45494</v>
      </c>
      <c r="D689" s="43" t="s">
        <v>471</v>
      </c>
      <c r="E689" s="44"/>
      <c r="F689" s="44">
        <v>570974</v>
      </c>
      <c r="G689" s="44" t="str">
        <f>VLOOKUP(F689,[1]装箱单!$A:$C,3,0)</f>
        <v>蓝球</v>
      </c>
      <c r="H689" s="44">
        <v>2000</v>
      </c>
      <c r="I689" s="45">
        <f>+L689</f>
        <v>582</v>
      </c>
      <c r="J689" s="45" t="s">
        <v>32</v>
      </c>
      <c r="K689" s="45" t="s">
        <v>33</v>
      </c>
      <c r="L689" s="46">
        <v>582</v>
      </c>
      <c r="M689" s="43">
        <f>+U689</f>
        <v>50.00808958992</v>
      </c>
      <c r="N689" s="46" t="s">
        <v>57</v>
      </c>
      <c r="O689" s="44"/>
      <c r="P689" s="47" t="s">
        <v>921</v>
      </c>
      <c r="Q689" s="8">
        <f>VLOOKUP($F689,[1]装箱单!$A:$E,5,0)</f>
        <v>59.05</v>
      </c>
      <c r="R689" s="8">
        <f>VLOOKUP($F689,[1]装箱单!$A:$F,6,0)</f>
        <v>26.04</v>
      </c>
      <c r="S689" s="8">
        <f>VLOOKUP($F689,[1]装箱单!$A:$G,7,0)</f>
        <v>55.88</v>
      </c>
      <c r="T689" s="10">
        <f>VLOOKUP($F689,[1]装箱单!$A:$J,10,0)</f>
        <v>0.08592455256</v>
      </c>
      <c r="U689" s="11">
        <f>+T689*L689</f>
        <v>50.00808958992</v>
      </c>
    </row>
    <row r="690" ht="29.1" customHeight="1" spans="1:21">
      <c r="A690" s="40">
        <v>46147</v>
      </c>
      <c r="B690" s="41" t="s">
        <v>905</v>
      </c>
      <c r="C690" s="44">
        <v>1002172</v>
      </c>
      <c r="D690" s="43" t="s">
        <v>906</v>
      </c>
      <c r="E690" s="44"/>
      <c r="F690" s="44">
        <v>470764</v>
      </c>
      <c r="G690" s="44" t="str">
        <f>VLOOKUP(F690,[1]装箱单!$A:$C,3,0)</f>
        <v>大型自卸车</v>
      </c>
      <c r="H690" s="44">
        <v>5340</v>
      </c>
      <c r="I690" s="45">
        <f>+L690</f>
        <v>1371</v>
      </c>
      <c r="J690" s="45" t="s">
        <v>32</v>
      </c>
      <c r="K690" s="45" t="s">
        <v>33</v>
      </c>
      <c r="L690" s="46">
        <v>1371</v>
      </c>
      <c r="M690" s="43">
        <f>+U690</f>
        <v>36.737316</v>
      </c>
      <c r="N690" s="46" t="s">
        <v>34</v>
      </c>
      <c r="O690" s="44"/>
      <c r="P690" s="51"/>
      <c r="Q690" s="8">
        <f>VLOOKUP($F690,[1]装箱单!$A:$E,5,0)</f>
        <v>42</v>
      </c>
      <c r="R690" s="8">
        <f>VLOOKUP($F690,[1]装箱单!$A:$F,6,0)</f>
        <v>22</v>
      </c>
      <c r="S690" s="8">
        <f>VLOOKUP($F690,[1]装箱单!$A:$G,7,0)</f>
        <v>29</v>
      </c>
      <c r="T690" s="10">
        <f>VLOOKUP($F690,[1]装箱单!$A:$J,10,0)</f>
        <v>0.026796</v>
      </c>
      <c r="U690" s="11">
        <f>+T690*L690</f>
        <v>36.737316</v>
      </c>
    </row>
    <row r="691" customHeight="1" spans="1:21">
      <c r="A691" s="40"/>
      <c r="B691" s="41"/>
      <c r="C691" s="42"/>
      <c r="D691" s="43"/>
      <c r="E691" s="44"/>
      <c r="F691" s="44"/>
      <c r="G691" s="44"/>
      <c r="H691" s="44"/>
      <c r="I691" s="45"/>
      <c r="J691" s="45"/>
      <c r="K691" s="45"/>
      <c r="L691" s="46"/>
      <c r="M691" s="43">
        <f>SUM(M689:M690)</f>
        <v>86.74540558992</v>
      </c>
      <c r="N691" s="46"/>
      <c r="O691" s="44"/>
      <c r="P691" s="123"/>
    </row>
    <row r="692" ht="29.1" customHeight="1" spans="1:21">
      <c r="A692" s="40">
        <v>46150</v>
      </c>
      <c r="B692" s="52" t="s">
        <v>922</v>
      </c>
      <c r="C692" s="42" t="s">
        <v>923</v>
      </c>
      <c r="D692" s="43" t="s">
        <v>924</v>
      </c>
      <c r="E692" s="44">
        <v>50002320</v>
      </c>
      <c r="F692" s="44">
        <v>33476</v>
      </c>
      <c r="G692" s="44" t="s">
        <v>925</v>
      </c>
      <c r="H692" s="44">
        <v>4</v>
      </c>
      <c r="I692" s="45">
        <v>760</v>
      </c>
      <c r="J692" s="45" t="s">
        <v>32</v>
      </c>
      <c r="K692" s="45" t="s">
        <v>33</v>
      </c>
      <c r="L692" s="46">
        <v>4</v>
      </c>
      <c r="M692" s="43">
        <v>5</v>
      </c>
      <c r="N692" s="46" t="s">
        <v>34</v>
      </c>
      <c r="O692" s="44" t="s">
        <v>926</v>
      </c>
      <c r="P692" s="47" t="s">
        <v>241</v>
      </c>
    </row>
    <row r="693" ht="29.1" customHeight="1" spans="1:21">
      <c r="A693" s="40">
        <v>46150</v>
      </c>
      <c r="B693" s="52" t="s">
        <v>922</v>
      </c>
      <c r="C693" s="42" t="s">
        <v>927</v>
      </c>
      <c r="D693" s="43" t="s">
        <v>928</v>
      </c>
      <c r="E693" s="44">
        <v>16314491</v>
      </c>
      <c r="F693" s="44">
        <v>33477</v>
      </c>
      <c r="G693" s="44" t="s">
        <v>929</v>
      </c>
      <c r="H693" s="49">
        <v>31</v>
      </c>
      <c r="I693" s="45">
        <v>3453</v>
      </c>
      <c r="J693" s="45" t="s">
        <v>32</v>
      </c>
      <c r="K693" s="45" t="s">
        <v>33</v>
      </c>
      <c r="L693" s="44">
        <v>31</v>
      </c>
      <c r="M693" s="43"/>
      <c r="N693" s="46" t="s">
        <v>34</v>
      </c>
      <c r="O693" s="49" t="s">
        <v>930</v>
      </c>
      <c r="P693" s="48"/>
    </row>
    <row r="694" ht="29.1" customHeight="1" spans="1:21">
      <c r="A694" s="40">
        <v>46150</v>
      </c>
      <c r="B694" s="52" t="s">
        <v>922</v>
      </c>
      <c r="C694" s="42" t="s">
        <v>931</v>
      </c>
      <c r="D694" s="43" t="s">
        <v>932</v>
      </c>
      <c r="E694" s="44">
        <v>16300981</v>
      </c>
      <c r="F694" s="44">
        <v>33477</v>
      </c>
      <c r="G694" s="44" t="s">
        <v>929</v>
      </c>
      <c r="H694" s="53"/>
      <c r="I694" s="45">
        <v>200</v>
      </c>
      <c r="J694" s="45" t="s">
        <v>32</v>
      </c>
      <c r="K694" s="45" t="s">
        <v>33</v>
      </c>
      <c r="L694" s="44"/>
      <c r="M694" s="43"/>
      <c r="N694" s="46" t="s">
        <v>34</v>
      </c>
      <c r="O694" s="53"/>
      <c r="P694" s="48"/>
    </row>
    <row r="695" ht="29.1" customHeight="1" spans="1:21">
      <c r="A695" s="40">
        <v>46150</v>
      </c>
      <c r="B695" s="52" t="s">
        <v>922</v>
      </c>
      <c r="C695" s="42" t="s">
        <v>933</v>
      </c>
      <c r="D695" s="43" t="s">
        <v>934</v>
      </c>
      <c r="E695" s="44">
        <v>2000009966</v>
      </c>
      <c r="F695" s="44">
        <v>33477</v>
      </c>
      <c r="G695" s="44" t="s">
        <v>929</v>
      </c>
      <c r="H695" s="53"/>
      <c r="I695" s="45">
        <v>1136</v>
      </c>
      <c r="J695" s="45" t="s">
        <v>32</v>
      </c>
      <c r="K695" s="45" t="s">
        <v>33</v>
      </c>
      <c r="L695" s="44"/>
      <c r="M695" s="43"/>
      <c r="N695" s="46" t="s">
        <v>34</v>
      </c>
      <c r="O695" s="53"/>
      <c r="P695" s="48"/>
    </row>
    <row r="696" ht="29.1" customHeight="1" spans="1:21">
      <c r="A696" s="40">
        <v>46150</v>
      </c>
      <c r="B696" s="52" t="s">
        <v>922</v>
      </c>
      <c r="C696" s="42" t="s">
        <v>935</v>
      </c>
      <c r="D696" s="43" t="s">
        <v>936</v>
      </c>
      <c r="E696" s="44">
        <v>2000009965</v>
      </c>
      <c r="F696" s="44">
        <v>33477</v>
      </c>
      <c r="G696" s="44" t="s">
        <v>929</v>
      </c>
      <c r="H696" s="55"/>
      <c r="I696" s="45">
        <v>1372</v>
      </c>
      <c r="J696" s="45" t="s">
        <v>32</v>
      </c>
      <c r="K696" s="45" t="s">
        <v>33</v>
      </c>
      <c r="L696" s="44"/>
      <c r="M696" s="43"/>
      <c r="N696" s="46" t="s">
        <v>34</v>
      </c>
      <c r="O696" s="55"/>
      <c r="P696" s="48"/>
    </row>
    <row r="697" ht="29.1" customHeight="1" spans="1:21">
      <c r="A697" s="40">
        <v>46150</v>
      </c>
      <c r="B697" s="52" t="s">
        <v>922</v>
      </c>
      <c r="C697" s="42" t="s">
        <v>937</v>
      </c>
      <c r="D697" s="43" t="s">
        <v>938</v>
      </c>
      <c r="E697" s="44">
        <v>7000995353</v>
      </c>
      <c r="F697" s="44">
        <v>46862</v>
      </c>
      <c r="G697" s="44" t="s">
        <v>939</v>
      </c>
      <c r="H697" s="53">
        <v>7</v>
      </c>
      <c r="I697" s="45">
        <v>538</v>
      </c>
      <c r="J697" s="45" t="s">
        <v>32</v>
      </c>
      <c r="K697" s="45" t="s">
        <v>33</v>
      </c>
      <c r="L697" s="44">
        <v>7</v>
      </c>
      <c r="M697" s="43"/>
      <c r="N697" s="46" t="s">
        <v>34</v>
      </c>
      <c r="O697" s="49" t="s">
        <v>940</v>
      </c>
      <c r="P697" s="48"/>
    </row>
    <row r="698" ht="29.1" customHeight="1" spans="1:21">
      <c r="A698" s="40">
        <v>46150</v>
      </c>
      <c r="B698" s="52" t="s">
        <v>922</v>
      </c>
      <c r="C698" s="42" t="s">
        <v>941</v>
      </c>
      <c r="D698" s="43" t="s">
        <v>942</v>
      </c>
      <c r="E698" s="44">
        <v>7000995355</v>
      </c>
      <c r="F698" s="44">
        <v>46862</v>
      </c>
      <c r="G698" s="44" t="s">
        <v>939</v>
      </c>
      <c r="H698" s="53"/>
      <c r="I698" s="45">
        <v>500</v>
      </c>
      <c r="J698" s="45" t="s">
        <v>32</v>
      </c>
      <c r="K698" s="45" t="s">
        <v>33</v>
      </c>
      <c r="L698" s="44"/>
      <c r="M698" s="43"/>
      <c r="N698" s="46" t="s">
        <v>34</v>
      </c>
      <c r="O698" s="53"/>
      <c r="P698" s="48"/>
    </row>
    <row r="699" ht="29.1" customHeight="1" spans="1:21">
      <c r="A699" s="40">
        <v>46150</v>
      </c>
      <c r="B699" s="52" t="s">
        <v>922</v>
      </c>
      <c r="C699" s="42" t="s">
        <v>943</v>
      </c>
      <c r="D699" s="43" t="s">
        <v>944</v>
      </c>
      <c r="E699" s="44" t="s">
        <v>945</v>
      </c>
      <c r="F699" s="44">
        <v>46862</v>
      </c>
      <c r="G699" s="44" t="s">
        <v>939</v>
      </c>
      <c r="H699" s="55"/>
      <c r="I699" s="45">
        <v>340</v>
      </c>
      <c r="J699" s="45" t="s">
        <v>32</v>
      </c>
      <c r="K699" s="45" t="s">
        <v>33</v>
      </c>
      <c r="L699" s="44"/>
      <c r="M699" s="43"/>
      <c r="N699" s="46" t="s">
        <v>34</v>
      </c>
      <c r="O699" s="55"/>
      <c r="P699" s="48"/>
    </row>
    <row r="700" ht="29.1" customHeight="1" spans="1:21">
      <c r="A700" s="40">
        <v>46150</v>
      </c>
      <c r="B700" s="41" t="s">
        <v>40</v>
      </c>
      <c r="C700" s="42" t="s">
        <v>946</v>
      </c>
      <c r="D700" s="43" t="s">
        <v>947</v>
      </c>
      <c r="E700" s="44">
        <v>979420160</v>
      </c>
      <c r="F700" s="44" t="s">
        <v>179</v>
      </c>
      <c r="G700" s="44" t="str">
        <f>VLOOKUP(F700,[1]装箱单!$A:$C,3,0)</f>
        <v>搪胶小鸭</v>
      </c>
      <c r="H700" s="44">
        <f t="shared" ref="H700:H707" si="61">+I700/24</f>
        <v>990</v>
      </c>
      <c r="I700" s="45">
        <v>23760</v>
      </c>
      <c r="J700" s="45" t="s">
        <v>32</v>
      </c>
      <c r="K700" s="45" t="s">
        <v>33</v>
      </c>
      <c r="L700" s="46">
        <v>990</v>
      </c>
      <c r="M700" s="43">
        <f t="shared" ref="M700:M708" si="62">+U700</f>
        <v>13.16601</v>
      </c>
      <c r="N700" s="46" t="s">
        <v>34</v>
      </c>
      <c r="O700" s="44"/>
      <c r="P700" s="48"/>
      <c r="Q700" s="8">
        <f>VLOOKUP($F700,[1]装箱单!$A:$E,5,0)</f>
        <v>31</v>
      </c>
      <c r="R700" s="8">
        <f>VLOOKUP($F700,[1]装箱单!$A:$F,6,0)</f>
        <v>22</v>
      </c>
      <c r="S700" s="8">
        <f>VLOOKUP($F700,[1]装箱单!$A:$G,7,0)</f>
        <v>19.5</v>
      </c>
      <c r="T700" s="10">
        <f>VLOOKUP($F700,[1]装箱单!$A:$J,10,0)</f>
        <v>0.013299</v>
      </c>
      <c r="U700" s="11">
        <f t="shared" ref="U700:U708" si="63">+T700*L700</f>
        <v>13.16601</v>
      </c>
    </row>
    <row r="701" ht="29.1" customHeight="1" spans="1:21">
      <c r="A701" s="40">
        <v>46150</v>
      </c>
      <c r="B701" s="41" t="s">
        <v>40</v>
      </c>
      <c r="C701" s="42" t="s">
        <v>948</v>
      </c>
      <c r="D701" s="43" t="s">
        <v>949</v>
      </c>
      <c r="E701" s="44">
        <v>979420301</v>
      </c>
      <c r="F701" s="44" t="s">
        <v>179</v>
      </c>
      <c r="G701" s="44" t="str">
        <f>VLOOKUP(F701,[1]装箱单!$A:$C,3,0)</f>
        <v>搪胶小鸭</v>
      </c>
      <c r="H701" s="44">
        <f t="shared" si="61"/>
        <v>1800</v>
      </c>
      <c r="I701" s="45">
        <v>43200</v>
      </c>
      <c r="J701" s="45" t="s">
        <v>32</v>
      </c>
      <c r="K701" s="45" t="s">
        <v>33</v>
      </c>
      <c r="L701" s="46">
        <v>1800</v>
      </c>
      <c r="M701" s="43">
        <f t="shared" si="62"/>
        <v>23.9382</v>
      </c>
      <c r="N701" s="46" t="s">
        <v>34</v>
      </c>
      <c r="O701" s="44"/>
      <c r="P701" s="48"/>
      <c r="Q701" s="8">
        <f>VLOOKUP($F701,[1]装箱单!$A:$E,5,0)</f>
        <v>31</v>
      </c>
      <c r="R701" s="8">
        <f>VLOOKUP($F701,[1]装箱单!$A:$F,6,0)</f>
        <v>22</v>
      </c>
      <c r="S701" s="8">
        <f>VLOOKUP($F701,[1]装箱单!$A:$G,7,0)</f>
        <v>19.5</v>
      </c>
      <c r="T701" s="10">
        <f>VLOOKUP($F701,[1]装箱单!$A:$J,10,0)</f>
        <v>0.013299</v>
      </c>
      <c r="U701" s="11">
        <f t="shared" si="63"/>
        <v>23.9382</v>
      </c>
    </row>
    <row r="702" ht="29.1" customHeight="1" spans="1:21">
      <c r="A702" s="40">
        <v>46150</v>
      </c>
      <c r="B702" s="41" t="s">
        <v>40</v>
      </c>
      <c r="C702" s="42" t="s">
        <v>950</v>
      </c>
      <c r="D702" s="43" t="s">
        <v>951</v>
      </c>
      <c r="E702" s="44">
        <v>979420446</v>
      </c>
      <c r="F702" s="44" t="s">
        <v>179</v>
      </c>
      <c r="G702" s="44" t="str">
        <f>VLOOKUP(F702,[1]装箱单!$A:$C,3,0)</f>
        <v>搪胶小鸭</v>
      </c>
      <c r="H702" s="44">
        <f t="shared" si="61"/>
        <v>1080</v>
      </c>
      <c r="I702" s="45">
        <v>25920</v>
      </c>
      <c r="J702" s="45" t="s">
        <v>32</v>
      </c>
      <c r="K702" s="45" t="s">
        <v>33</v>
      </c>
      <c r="L702" s="46">
        <v>1080</v>
      </c>
      <c r="M702" s="43">
        <f t="shared" si="62"/>
        <v>14.36292</v>
      </c>
      <c r="N702" s="46" t="s">
        <v>34</v>
      </c>
      <c r="O702" s="44"/>
      <c r="P702" s="48"/>
      <c r="Q702" s="8">
        <f>VLOOKUP($F702,[1]装箱单!$A:$E,5,0)</f>
        <v>31</v>
      </c>
      <c r="R702" s="8">
        <f>VLOOKUP($F702,[1]装箱单!$A:$F,6,0)</f>
        <v>22</v>
      </c>
      <c r="S702" s="8">
        <f>VLOOKUP($F702,[1]装箱单!$A:$G,7,0)</f>
        <v>19.5</v>
      </c>
      <c r="T702" s="10">
        <f>VLOOKUP($F702,[1]装箱单!$A:$J,10,0)</f>
        <v>0.013299</v>
      </c>
      <c r="U702" s="11">
        <f t="shared" si="63"/>
        <v>14.36292</v>
      </c>
    </row>
    <row r="703" ht="29.1" customHeight="1" spans="1:21">
      <c r="A703" s="40">
        <v>46150</v>
      </c>
      <c r="B703" s="41" t="s">
        <v>40</v>
      </c>
      <c r="C703" s="42" t="s">
        <v>952</v>
      </c>
      <c r="D703" s="43" t="s">
        <v>953</v>
      </c>
      <c r="E703" s="44">
        <v>979420586</v>
      </c>
      <c r="F703" s="44" t="s">
        <v>179</v>
      </c>
      <c r="G703" s="44" t="str">
        <f>VLOOKUP(F703,[1]装箱单!$A:$C,3,0)</f>
        <v>搪胶小鸭</v>
      </c>
      <c r="H703" s="44">
        <f t="shared" si="61"/>
        <v>1350</v>
      </c>
      <c r="I703" s="45">
        <v>32400</v>
      </c>
      <c r="J703" s="45" t="s">
        <v>32</v>
      </c>
      <c r="K703" s="45" t="s">
        <v>33</v>
      </c>
      <c r="L703" s="46">
        <v>1350</v>
      </c>
      <c r="M703" s="43">
        <f t="shared" si="62"/>
        <v>17.95365</v>
      </c>
      <c r="N703" s="46" t="s">
        <v>34</v>
      </c>
      <c r="O703" s="44"/>
      <c r="P703" s="48"/>
      <c r="Q703" s="8">
        <f>VLOOKUP($F703,[1]装箱单!$A:$E,5,0)</f>
        <v>31</v>
      </c>
      <c r="R703" s="8">
        <f>VLOOKUP($F703,[1]装箱单!$A:$F,6,0)</f>
        <v>22</v>
      </c>
      <c r="S703" s="8">
        <f>VLOOKUP($F703,[1]装箱单!$A:$G,7,0)</f>
        <v>19.5</v>
      </c>
      <c r="T703" s="10">
        <f>VLOOKUP($F703,[1]装箱单!$A:$J,10,0)</f>
        <v>0.013299</v>
      </c>
      <c r="U703" s="11">
        <f t="shared" si="63"/>
        <v>17.95365</v>
      </c>
    </row>
    <row r="704" ht="29.1" customHeight="1" spans="1:21">
      <c r="A704" s="40">
        <v>46150</v>
      </c>
      <c r="B704" s="41" t="s">
        <v>40</v>
      </c>
      <c r="C704" s="42" t="s">
        <v>954</v>
      </c>
      <c r="D704" s="43" t="s">
        <v>955</v>
      </c>
      <c r="E704" s="44">
        <v>983178426</v>
      </c>
      <c r="F704" s="44" t="s">
        <v>179</v>
      </c>
      <c r="G704" s="44" t="str">
        <f>VLOOKUP(F704,[1]装箱单!$A:$C,3,0)</f>
        <v>搪胶小鸭</v>
      </c>
      <c r="H704" s="44">
        <f t="shared" si="61"/>
        <v>810</v>
      </c>
      <c r="I704" s="45">
        <v>19440</v>
      </c>
      <c r="J704" s="45" t="s">
        <v>32</v>
      </c>
      <c r="K704" s="45" t="s">
        <v>33</v>
      </c>
      <c r="L704" s="46">
        <f>7*90</f>
        <v>630</v>
      </c>
      <c r="M704" s="43">
        <f t="shared" si="62"/>
        <v>8.37837</v>
      </c>
      <c r="N704" s="46" t="s">
        <v>34</v>
      </c>
      <c r="O704" s="44"/>
      <c r="P704" s="48"/>
      <c r="Q704" s="8">
        <f>VLOOKUP($F704,[1]装箱单!$A:$E,5,0)</f>
        <v>31</v>
      </c>
      <c r="R704" s="8">
        <f>VLOOKUP($F704,[1]装箱单!$A:$F,6,0)</f>
        <v>22</v>
      </c>
      <c r="S704" s="8">
        <f>VLOOKUP($F704,[1]装箱单!$A:$G,7,0)</f>
        <v>19.5</v>
      </c>
      <c r="T704" s="10">
        <f>VLOOKUP($F704,[1]装箱单!$A:$J,10,0)</f>
        <v>0.013299</v>
      </c>
      <c r="U704" s="11">
        <f t="shared" si="63"/>
        <v>8.37837</v>
      </c>
    </row>
    <row r="705" ht="29.1" customHeight="1" spans="1:21">
      <c r="A705" s="40">
        <v>46150</v>
      </c>
      <c r="B705" s="41" t="s">
        <v>40</v>
      </c>
      <c r="C705" s="42" t="s">
        <v>956</v>
      </c>
      <c r="D705" s="43" t="s">
        <v>957</v>
      </c>
      <c r="E705" s="44">
        <v>983178435</v>
      </c>
      <c r="F705" s="44" t="s">
        <v>179</v>
      </c>
      <c r="G705" s="44" t="str">
        <f>VLOOKUP(F705,[1]装箱单!$A:$C,3,0)</f>
        <v>搪胶小鸭</v>
      </c>
      <c r="H705" s="44">
        <f t="shared" si="61"/>
        <v>1080</v>
      </c>
      <c r="I705" s="45">
        <v>25920</v>
      </c>
      <c r="J705" s="45" t="s">
        <v>32</v>
      </c>
      <c r="K705" s="45" t="s">
        <v>33</v>
      </c>
      <c r="L705" s="46">
        <v>1080</v>
      </c>
      <c r="M705" s="43">
        <f t="shared" si="62"/>
        <v>14.36292</v>
      </c>
      <c r="N705" s="46" t="s">
        <v>34</v>
      </c>
      <c r="O705" s="44"/>
      <c r="P705" s="48"/>
      <c r="Q705" s="8">
        <f>VLOOKUP($F705,[1]装箱单!$A:$E,5,0)</f>
        <v>31</v>
      </c>
      <c r="R705" s="8">
        <f>VLOOKUP($F705,[1]装箱单!$A:$F,6,0)</f>
        <v>22</v>
      </c>
      <c r="S705" s="8">
        <f>VLOOKUP($F705,[1]装箱单!$A:$G,7,0)</f>
        <v>19.5</v>
      </c>
      <c r="T705" s="10">
        <f>VLOOKUP($F705,[1]装箱单!$A:$J,10,0)</f>
        <v>0.013299</v>
      </c>
      <c r="U705" s="11">
        <f t="shared" si="63"/>
        <v>14.36292</v>
      </c>
    </row>
    <row r="706" ht="29.1" customHeight="1" spans="1:21">
      <c r="A706" s="40">
        <v>46150</v>
      </c>
      <c r="B706" s="41" t="s">
        <v>40</v>
      </c>
      <c r="C706" s="42" t="s">
        <v>958</v>
      </c>
      <c r="D706" s="43" t="s">
        <v>959</v>
      </c>
      <c r="E706" s="44">
        <v>983178439</v>
      </c>
      <c r="F706" s="44" t="s">
        <v>179</v>
      </c>
      <c r="G706" s="44" t="str">
        <f>VLOOKUP(F706,[1]装箱单!$A:$C,3,0)</f>
        <v>搪胶小鸭</v>
      </c>
      <c r="H706" s="44">
        <f t="shared" si="61"/>
        <v>450</v>
      </c>
      <c r="I706" s="45">
        <v>10800</v>
      </c>
      <c r="J706" s="45" t="s">
        <v>32</v>
      </c>
      <c r="K706" s="45" t="s">
        <v>33</v>
      </c>
      <c r="L706" s="46">
        <v>450</v>
      </c>
      <c r="M706" s="43">
        <f t="shared" si="62"/>
        <v>5.98455</v>
      </c>
      <c r="N706" s="46" t="s">
        <v>34</v>
      </c>
      <c r="O706" s="44"/>
      <c r="P706" s="48"/>
      <c r="Q706" s="8">
        <f>VLOOKUP($F706,[1]装箱单!$A:$E,5,0)</f>
        <v>31</v>
      </c>
      <c r="R706" s="8">
        <f>VLOOKUP($F706,[1]装箱单!$A:$F,6,0)</f>
        <v>22</v>
      </c>
      <c r="S706" s="8">
        <f>VLOOKUP($F706,[1]装箱单!$A:$G,7,0)</f>
        <v>19.5</v>
      </c>
      <c r="T706" s="10">
        <f>VLOOKUP($F706,[1]装箱单!$A:$J,10,0)</f>
        <v>0.013299</v>
      </c>
      <c r="U706" s="11">
        <f t="shared" si="63"/>
        <v>5.98455</v>
      </c>
    </row>
    <row r="707" ht="29.1" customHeight="1" spans="1:21">
      <c r="A707" s="40">
        <v>46150</v>
      </c>
      <c r="B707" s="41" t="s">
        <v>40</v>
      </c>
      <c r="C707" s="42" t="s">
        <v>960</v>
      </c>
      <c r="D707" s="43" t="s">
        <v>961</v>
      </c>
      <c r="E707" s="44">
        <v>983178436</v>
      </c>
      <c r="F707" s="44" t="s">
        <v>179</v>
      </c>
      <c r="G707" s="44" t="str">
        <f>VLOOKUP(F707,[1]装箱单!$A:$C,3,0)</f>
        <v>搪胶小鸭</v>
      </c>
      <c r="H707" s="44">
        <f t="shared" si="61"/>
        <v>630</v>
      </c>
      <c r="I707" s="45">
        <v>15120</v>
      </c>
      <c r="J707" s="45" t="s">
        <v>32</v>
      </c>
      <c r="K707" s="45" t="s">
        <v>33</v>
      </c>
      <c r="L707" s="46">
        <v>630</v>
      </c>
      <c r="M707" s="43">
        <f t="shared" si="62"/>
        <v>8.37837</v>
      </c>
      <c r="N707" s="46" t="s">
        <v>34</v>
      </c>
      <c r="O707" s="44"/>
      <c r="P707" s="48"/>
      <c r="Q707" s="8">
        <f>VLOOKUP($F707,[1]装箱单!$A:$E,5,0)</f>
        <v>31</v>
      </c>
      <c r="R707" s="8">
        <f>VLOOKUP($F707,[1]装箱单!$A:$F,6,0)</f>
        <v>22</v>
      </c>
      <c r="S707" s="8">
        <f>VLOOKUP($F707,[1]装箱单!$A:$G,7,0)</f>
        <v>19.5</v>
      </c>
      <c r="T707" s="10">
        <f>VLOOKUP($F707,[1]装箱单!$A:$J,10,0)</f>
        <v>0.013299</v>
      </c>
      <c r="U707" s="11">
        <f t="shared" si="63"/>
        <v>8.37837</v>
      </c>
    </row>
    <row r="708" ht="29.1" customHeight="1" spans="1:21">
      <c r="A708" s="40">
        <v>46150</v>
      </c>
      <c r="B708" s="41" t="s">
        <v>138</v>
      </c>
      <c r="C708" s="42" t="s">
        <v>962</v>
      </c>
      <c r="D708" s="43" t="s">
        <v>963</v>
      </c>
      <c r="E708" s="44"/>
      <c r="F708" s="44">
        <v>46092</v>
      </c>
      <c r="G708" s="44" t="str">
        <f>VLOOKUP(F708,[1]装箱单!$A:$C,3,0)</f>
        <v>玩具总动员系列</v>
      </c>
      <c r="H708" s="44">
        <v>1000</v>
      </c>
      <c r="I708" s="45">
        <f>+L708*2</f>
        <v>2000</v>
      </c>
      <c r="J708" s="45" t="s">
        <v>32</v>
      </c>
      <c r="K708" s="45" t="s">
        <v>33</v>
      </c>
      <c r="L708" s="45">
        <v>1000</v>
      </c>
      <c r="M708" s="43">
        <f t="shared" si="62"/>
        <v>22.365718032</v>
      </c>
      <c r="N708" s="46" t="s">
        <v>34</v>
      </c>
      <c r="O708" s="44"/>
      <c r="P708" s="48"/>
      <c r="Q708" s="8">
        <f>VLOOKUP($F708,[1]装箱单!$A:$E,5,0)</f>
        <v>40.01</v>
      </c>
      <c r="R708" s="8">
        <f>VLOOKUP($F708,[1]装箱单!$A:$F,6,0)</f>
        <v>26.67</v>
      </c>
      <c r="S708" s="8">
        <f>VLOOKUP($F708,[1]装箱单!$A:$G,7,0)</f>
        <v>20.96</v>
      </c>
      <c r="T708" s="10">
        <f>VLOOKUP($F708,[1]装箱单!$A:$J,10,0)</f>
        <v>0.022365718032</v>
      </c>
      <c r="U708" s="11">
        <f t="shared" si="63"/>
        <v>22.365718032</v>
      </c>
    </row>
    <row r="709" ht="29.1" customHeight="1" spans="1:21">
      <c r="A709" s="40"/>
      <c r="B709" s="41"/>
      <c r="C709" s="42"/>
      <c r="D709" s="43"/>
      <c r="E709" s="44"/>
      <c r="F709" s="44"/>
      <c r="G709" s="44"/>
      <c r="H709" s="44"/>
      <c r="I709" s="45"/>
      <c r="J709" s="45"/>
      <c r="K709" s="45"/>
      <c r="L709" s="45"/>
      <c r="M709" s="43">
        <f>SUM(M692:M708)</f>
        <v>133.890708032</v>
      </c>
      <c r="N709" s="46"/>
      <c r="O709" s="44"/>
      <c r="P709" s="51"/>
    </row>
    <row r="710" ht="29.1" customHeight="1" spans="1:21">
      <c r="A710" s="40">
        <v>46151</v>
      </c>
      <c r="B710" s="41" t="s">
        <v>428</v>
      </c>
      <c r="C710" s="42" t="s">
        <v>964</v>
      </c>
      <c r="D710" s="43" t="s">
        <v>965</v>
      </c>
      <c r="E710" s="44" t="s">
        <v>966</v>
      </c>
      <c r="F710" s="44" t="s">
        <v>80</v>
      </c>
      <c r="G710" s="44" t="str">
        <f>VLOOKUP(F710,[1]装箱单!$A:$C,3,0)</f>
        <v>钥匙扣系列</v>
      </c>
      <c r="H710" s="44">
        <f>+I710/18</f>
        <v>112</v>
      </c>
      <c r="I710" s="45">
        <v>2016</v>
      </c>
      <c r="J710" s="45" t="s">
        <v>32</v>
      </c>
      <c r="K710" s="45" t="s">
        <v>33</v>
      </c>
      <c r="L710" s="46">
        <v>112</v>
      </c>
      <c r="M710" s="43">
        <f t="shared" ref="M710:M719" si="64">+U710</f>
        <v>1.681392384</v>
      </c>
      <c r="N710" s="46" t="s">
        <v>34</v>
      </c>
      <c r="O710" s="44"/>
      <c r="P710" s="47" t="s">
        <v>967</v>
      </c>
      <c r="Q710" s="8">
        <f>VLOOKUP($F710,[1]装箱单!$A:$E,5,0)</f>
        <v>42.48</v>
      </c>
      <c r="R710" s="8">
        <f>VLOOKUP($F710,[1]装箱单!$A:$F,6,0)</f>
        <v>22.8</v>
      </c>
      <c r="S710" s="8">
        <f>VLOOKUP($F710,[1]装箱单!$A:$G,7,0)</f>
        <v>15.5</v>
      </c>
      <c r="T710" s="10">
        <f>VLOOKUP($F710,[1]装箱单!$A:$J,10,0)</f>
        <v>0.015012432</v>
      </c>
      <c r="U710" s="11">
        <f t="shared" ref="U710:U719" si="65">+T710*L710</f>
        <v>1.681392384</v>
      </c>
    </row>
    <row r="711" ht="29.1" customHeight="1" spans="1:21">
      <c r="A711" s="40">
        <v>46151</v>
      </c>
      <c r="B711" s="41" t="s">
        <v>40</v>
      </c>
      <c r="C711" s="42" t="s">
        <v>968</v>
      </c>
      <c r="D711" s="43" t="s">
        <v>969</v>
      </c>
      <c r="E711" s="44">
        <v>979420482</v>
      </c>
      <c r="F711" s="44" t="s">
        <v>179</v>
      </c>
      <c r="G711" s="44" t="str">
        <f>VLOOKUP(F711,[1]装箱单!$A:$C,3,0)</f>
        <v>搪胶小鸭</v>
      </c>
      <c r="H711" s="44">
        <f>+I711/24</f>
        <v>1170</v>
      </c>
      <c r="I711" s="45">
        <v>28080</v>
      </c>
      <c r="J711" s="45" t="s">
        <v>32</v>
      </c>
      <c r="K711" s="45" t="s">
        <v>33</v>
      </c>
      <c r="L711" s="46">
        <v>1170</v>
      </c>
      <c r="M711" s="43">
        <f t="shared" si="64"/>
        <v>15.55983</v>
      </c>
      <c r="N711" s="46" t="s">
        <v>34</v>
      </c>
      <c r="O711" s="44"/>
      <c r="P711" s="48"/>
      <c r="Q711" s="8">
        <f>VLOOKUP($F711,[1]装箱单!$A:$E,5,0)</f>
        <v>31</v>
      </c>
      <c r="R711" s="8">
        <f>VLOOKUP($F711,[1]装箱单!$A:$F,6,0)</f>
        <v>22</v>
      </c>
      <c r="S711" s="8">
        <f>VLOOKUP($F711,[1]装箱单!$A:$G,7,0)</f>
        <v>19.5</v>
      </c>
      <c r="T711" s="10">
        <f>VLOOKUP($F711,[1]装箱单!$A:$J,10,0)</f>
        <v>0.013299</v>
      </c>
      <c r="U711" s="11">
        <f t="shared" si="65"/>
        <v>15.55983</v>
      </c>
    </row>
    <row r="712" ht="29.1" customHeight="1" spans="1:21">
      <c r="A712" s="40">
        <v>46151</v>
      </c>
      <c r="B712" s="41" t="s">
        <v>40</v>
      </c>
      <c r="C712" s="42" t="s">
        <v>970</v>
      </c>
      <c r="D712" s="43" t="s">
        <v>971</v>
      </c>
      <c r="E712" s="44">
        <v>979420509</v>
      </c>
      <c r="F712" s="44" t="s">
        <v>179</v>
      </c>
      <c r="G712" s="44" t="str">
        <f>VLOOKUP(F712,[1]装箱单!$A:$C,3,0)</f>
        <v>搪胶小鸭</v>
      </c>
      <c r="H712" s="44">
        <f>+I712/24</f>
        <v>270</v>
      </c>
      <c r="I712" s="45">
        <v>6480</v>
      </c>
      <c r="J712" s="45" t="s">
        <v>32</v>
      </c>
      <c r="K712" s="45" t="s">
        <v>33</v>
      </c>
      <c r="L712" s="46">
        <v>270</v>
      </c>
      <c r="M712" s="43">
        <f t="shared" si="64"/>
        <v>3.59073</v>
      </c>
      <c r="N712" s="46" t="s">
        <v>34</v>
      </c>
      <c r="O712" s="44"/>
      <c r="P712" s="48"/>
      <c r="Q712" s="8">
        <f>VLOOKUP($F712,[1]装箱单!$A:$E,5,0)</f>
        <v>31</v>
      </c>
      <c r="R712" s="8">
        <f>VLOOKUP($F712,[1]装箱单!$A:$F,6,0)</f>
        <v>22</v>
      </c>
      <c r="S712" s="8">
        <f>VLOOKUP($F712,[1]装箱单!$A:$G,7,0)</f>
        <v>19.5</v>
      </c>
      <c r="T712" s="10">
        <f>VLOOKUP($F712,[1]装箱单!$A:$J,10,0)</f>
        <v>0.013299</v>
      </c>
      <c r="U712" s="11">
        <f t="shared" si="65"/>
        <v>3.59073</v>
      </c>
    </row>
    <row r="713" ht="29.1" customHeight="1" spans="1:21">
      <c r="A713" s="40">
        <v>46151</v>
      </c>
      <c r="B713" s="41" t="s">
        <v>40</v>
      </c>
      <c r="C713" s="42" t="s">
        <v>972</v>
      </c>
      <c r="D713" s="43" t="s">
        <v>973</v>
      </c>
      <c r="E713" s="44">
        <v>979420524</v>
      </c>
      <c r="F713" s="44" t="s">
        <v>179</v>
      </c>
      <c r="G713" s="44" t="str">
        <f>VLOOKUP(F713,[1]装箱单!$A:$C,3,0)</f>
        <v>搪胶小鸭</v>
      </c>
      <c r="H713" s="44">
        <f>+I713/24</f>
        <v>1350</v>
      </c>
      <c r="I713" s="45">
        <v>32400</v>
      </c>
      <c r="J713" s="45" t="s">
        <v>32</v>
      </c>
      <c r="K713" s="45" t="s">
        <v>33</v>
      </c>
      <c r="L713" s="46">
        <v>1350</v>
      </c>
      <c r="M713" s="43">
        <f t="shared" si="64"/>
        <v>17.95365</v>
      </c>
      <c r="N713" s="46" t="s">
        <v>34</v>
      </c>
      <c r="O713" s="44"/>
      <c r="P713" s="48"/>
      <c r="Q713" s="8">
        <f>VLOOKUP($F713,[1]装箱单!$A:$E,5,0)</f>
        <v>31</v>
      </c>
      <c r="R713" s="8">
        <f>VLOOKUP($F713,[1]装箱单!$A:$F,6,0)</f>
        <v>22</v>
      </c>
      <c r="S713" s="8">
        <f>VLOOKUP($F713,[1]装箱单!$A:$G,7,0)</f>
        <v>19.5</v>
      </c>
      <c r="T713" s="10">
        <f>VLOOKUP($F713,[1]装箱单!$A:$J,10,0)</f>
        <v>0.013299</v>
      </c>
      <c r="U713" s="11">
        <f t="shared" si="65"/>
        <v>17.95365</v>
      </c>
    </row>
    <row r="714" ht="29.1" customHeight="1" spans="1:21">
      <c r="A714" s="40">
        <v>46151</v>
      </c>
      <c r="B714" s="41" t="s">
        <v>40</v>
      </c>
      <c r="C714" s="42" t="s">
        <v>974</v>
      </c>
      <c r="D714" s="43" t="s">
        <v>975</v>
      </c>
      <c r="E714" s="44">
        <v>983178430</v>
      </c>
      <c r="F714" s="44" t="s">
        <v>179</v>
      </c>
      <c r="G714" s="44" t="str">
        <f>VLOOKUP(F714,[1]装箱单!$A:$C,3,0)</f>
        <v>搪胶小鸭</v>
      </c>
      <c r="H714" s="44">
        <f>+I714/24</f>
        <v>270</v>
      </c>
      <c r="I714" s="45">
        <v>6480</v>
      </c>
      <c r="J714" s="45" t="s">
        <v>32</v>
      </c>
      <c r="K714" s="45" t="s">
        <v>33</v>
      </c>
      <c r="L714" s="46">
        <v>270</v>
      </c>
      <c r="M714" s="43">
        <f t="shared" si="64"/>
        <v>3.59073</v>
      </c>
      <c r="N714" s="46" t="s">
        <v>34</v>
      </c>
      <c r="O714" s="44"/>
      <c r="P714" s="48"/>
      <c r="Q714" s="8">
        <f>VLOOKUP($F714,[1]装箱单!$A:$E,5,0)</f>
        <v>31</v>
      </c>
      <c r="R714" s="8">
        <f>VLOOKUP($F714,[1]装箱单!$A:$F,6,0)</f>
        <v>22</v>
      </c>
      <c r="S714" s="8">
        <f>VLOOKUP($F714,[1]装箱单!$A:$G,7,0)</f>
        <v>19.5</v>
      </c>
      <c r="T714" s="10">
        <f>VLOOKUP($F714,[1]装箱单!$A:$J,10,0)</f>
        <v>0.013299</v>
      </c>
      <c r="U714" s="11">
        <f t="shared" si="65"/>
        <v>3.59073</v>
      </c>
    </row>
    <row r="715" ht="29.1" customHeight="1" spans="1:21">
      <c r="A715" s="40">
        <v>46151</v>
      </c>
      <c r="B715" s="41" t="s">
        <v>40</v>
      </c>
      <c r="C715" s="42" t="s">
        <v>954</v>
      </c>
      <c r="D715" s="43" t="s">
        <v>955</v>
      </c>
      <c r="E715" s="44">
        <v>983178426</v>
      </c>
      <c r="F715" s="44" t="s">
        <v>179</v>
      </c>
      <c r="G715" s="44" t="str">
        <f>VLOOKUP(F715,[1]装箱单!$A:$C,3,0)</f>
        <v>搪胶小鸭</v>
      </c>
      <c r="H715" s="44">
        <f>+I715/24</f>
        <v>810</v>
      </c>
      <c r="I715" s="45">
        <v>19440</v>
      </c>
      <c r="J715" s="45" t="s">
        <v>32</v>
      </c>
      <c r="K715" s="45" t="s">
        <v>33</v>
      </c>
      <c r="L715" s="46">
        <f>810-630</f>
        <v>180</v>
      </c>
      <c r="M715" s="43">
        <f t="shared" si="64"/>
        <v>2.39382</v>
      </c>
      <c r="N715" s="46" t="s">
        <v>34</v>
      </c>
      <c r="O715" s="44"/>
      <c r="P715" s="48"/>
      <c r="Q715" s="8">
        <f>VLOOKUP($F715,[1]装箱单!$A:$E,5,0)</f>
        <v>31</v>
      </c>
      <c r="R715" s="8">
        <f>VLOOKUP($F715,[1]装箱单!$A:$F,6,0)</f>
        <v>22</v>
      </c>
      <c r="S715" s="8">
        <f>VLOOKUP($F715,[1]装箱单!$A:$G,7,0)</f>
        <v>19.5</v>
      </c>
      <c r="T715" s="10">
        <f>VLOOKUP($F715,[1]装箱单!$A:$J,10,0)</f>
        <v>0.013299</v>
      </c>
      <c r="U715" s="11">
        <f t="shared" si="65"/>
        <v>2.39382</v>
      </c>
    </row>
    <row r="716" ht="29.1" customHeight="1" spans="1:21">
      <c r="A716" s="40">
        <v>46151</v>
      </c>
      <c r="B716" s="41" t="s">
        <v>54</v>
      </c>
      <c r="C716" s="42" t="s">
        <v>796</v>
      </c>
      <c r="D716" s="43" t="s">
        <v>797</v>
      </c>
      <c r="E716" s="44" t="s">
        <v>798</v>
      </c>
      <c r="F716" s="44">
        <v>28472</v>
      </c>
      <c r="G716" s="44" t="str">
        <f>VLOOKUP(F716,[1]装箱单!$A:$C,3,0)</f>
        <v>狮子</v>
      </c>
      <c r="H716" s="44">
        <f>+I716</f>
        <v>480</v>
      </c>
      <c r="I716" s="45">
        <f>+L716</f>
        <v>480</v>
      </c>
      <c r="J716" s="45" t="s">
        <v>32</v>
      </c>
      <c r="K716" s="45" t="s">
        <v>33</v>
      </c>
      <c r="L716" s="76">
        <v>480</v>
      </c>
      <c r="M716" s="43">
        <f t="shared" si="64"/>
        <v>8.8128</v>
      </c>
      <c r="N716" s="46" t="s">
        <v>34</v>
      </c>
      <c r="O716" s="44"/>
      <c r="P716" s="48"/>
      <c r="Q716" s="8">
        <f>VLOOKUP($F716,[1]装箱单!$A:$E,5,0)</f>
        <v>30</v>
      </c>
      <c r="R716" s="8">
        <f>VLOOKUP($F716,[1]装箱单!$A:$F,6,0)</f>
        <v>17</v>
      </c>
      <c r="S716" s="8">
        <f>VLOOKUP($F716,[1]装箱单!$A:$G,7,0)</f>
        <v>36</v>
      </c>
      <c r="T716" s="10">
        <f>VLOOKUP($F716,[1]装箱单!$A:$J,10,0)</f>
        <v>0.01836</v>
      </c>
      <c r="U716" s="11">
        <f t="shared" si="65"/>
        <v>8.8128</v>
      </c>
    </row>
    <row r="717" ht="29.1" customHeight="1" spans="1:21">
      <c r="A717" s="40">
        <v>46151</v>
      </c>
      <c r="B717" s="41" t="s">
        <v>138</v>
      </c>
      <c r="C717" s="42" t="s">
        <v>962</v>
      </c>
      <c r="D717" s="43" t="s">
        <v>963</v>
      </c>
      <c r="E717" s="44" t="s">
        <v>976</v>
      </c>
      <c r="F717" s="44">
        <v>46099</v>
      </c>
      <c r="G717" s="44" t="str">
        <f>VLOOKUP(F717,[1]装箱单!$A:$C,3,0)</f>
        <v>米奇老鼠系列</v>
      </c>
      <c r="H717" s="44">
        <v>1000</v>
      </c>
      <c r="I717" s="45">
        <f>+L717*2</f>
        <v>2000</v>
      </c>
      <c r="J717" s="45" t="s">
        <v>32</v>
      </c>
      <c r="K717" s="45" t="s">
        <v>33</v>
      </c>
      <c r="L717" s="46">
        <v>1000</v>
      </c>
      <c r="M717" s="43">
        <f t="shared" si="64"/>
        <v>22.365718032</v>
      </c>
      <c r="N717" s="46" t="s">
        <v>34</v>
      </c>
      <c r="O717" s="44"/>
      <c r="P717" s="48"/>
      <c r="Q717" s="8">
        <f>VLOOKUP($F717,[1]装箱单!$A:$E,5,0)</f>
        <v>40.01</v>
      </c>
      <c r="R717" s="8">
        <f>VLOOKUP($F717,[1]装箱单!$A:$F,6,0)</f>
        <v>26.67</v>
      </c>
      <c r="S717" s="8">
        <f>VLOOKUP($F717,[1]装箱单!$A:$G,7,0)</f>
        <v>20.96</v>
      </c>
      <c r="T717" s="10">
        <f>VLOOKUP($F717,[1]装箱单!$A:$J,10,0)</f>
        <v>0.022365718032</v>
      </c>
      <c r="U717" s="11">
        <f t="shared" si="65"/>
        <v>22.365718032</v>
      </c>
    </row>
    <row r="718" ht="29.1" customHeight="1" spans="1:21">
      <c r="A718" s="40">
        <v>46151</v>
      </c>
      <c r="B718" s="41" t="s">
        <v>138</v>
      </c>
      <c r="C718" s="42" t="s">
        <v>962</v>
      </c>
      <c r="D718" s="43" t="s">
        <v>963</v>
      </c>
      <c r="E718" s="44" t="s">
        <v>976</v>
      </c>
      <c r="F718" s="44">
        <v>46132</v>
      </c>
      <c r="G718" s="44" t="str">
        <f>VLOOKUP(F718,[1]装箱单!$A:$C,3,0)</f>
        <v>赛车总动员系列</v>
      </c>
      <c r="H718" s="44">
        <v>1000</v>
      </c>
      <c r="I718" s="45">
        <f>+L718*2</f>
        <v>2000</v>
      </c>
      <c r="J718" s="45" t="s">
        <v>32</v>
      </c>
      <c r="K718" s="45" t="s">
        <v>33</v>
      </c>
      <c r="L718" s="46">
        <v>1000</v>
      </c>
      <c r="M718" s="43">
        <f t="shared" si="64"/>
        <v>22.365718032</v>
      </c>
      <c r="N718" s="46" t="s">
        <v>34</v>
      </c>
      <c r="O718" s="44"/>
      <c r="P718" s="48"/>
      <c r="Q718" s="8">
        <f>VLOOKUP($F718,[1]装箱单!$A:$E,5,0)</f>
        <v>40.01</v>
      </c>
      <c r="R718" s="8">
        <f>VLOOKUP($F718,[1]装箱单!$A:$F,6,0)</f>
        <v>26.67</v>
      </c>
      <c r="S718" s="8">
        <f>VLOOKUP($F718,[1]装箱单!$A:$G,7,0)</f>
        <v>20.96</v>
      </c>
      <c r="T718" s="10">
        <f>VLOOKUP($F718,[1]装箱单!$A:$J,10,0)</f>
        <v>0.022365718032</v>
      </c>
      <c r="U718" s="11">
        <f t="shared" si="65"/>
        <v>22.365718032</v>
      </c>
    </row>
    <row r="719" ht="29.1" customHeight="1" spans="1:21">
      <c r="A719" s="40">
        <v>46151</v>
      </c>
      <c r="B719" s="41" t="s">
        <v>138</v>
      </c>
      <c r="C719" s="42" t="s">
        <v>962</v>
      </c>
      <c r="D719" s="43" t="s">
        <v>963</v>
      </c>
      <c r="E719" s="44" t="s">
        <v>976</v>
      </c>
      <c r="F719" s="44">
        <v>46462</v>
      </c>
      <c r="G719" s="44" t="str">
        <f>VLOOKUP(F719,[1]装箱单!$A:$C,3,0)</f>
        <v>史迪仔系列</v>
      </c>
      <c r="H719" s="44">
        <v>1000</v>
      </c>
      <c r="I719" s="45">
        <f>+L719*2</f>
        <v>2000</v>
      </c>
      <c r="J719" s="45" t="s">
        <v>32</v>
      </c>
      <c r="K719" s="45" t="s">
        <v>33</v>
      </c>
      <c r="L719" s="46">
        <v>1000</v>
      </c>
      <c r="M719" s="43">
        <f t="shared" si="64"/>
        <v>22.365718032</v>
      </c>
      <c r="N719" s="46" t="s">
        <v>34</v>
      </c>
      <c r="O719" s="44"/>
      <c r="P719" s="48"/>
      <c r="Q719" s="8">
        <f>VLOOKUP($F719,[1]装箱单!$A:$E,5,0)</f>
        <v>40.01</v>
      </c>
      <c r="R719" s="8">
        <f>VLOOKUP($F719,[1]装箱单!$A:$F,6,0)</f>
        <v>26.67</v>
      </c>
      <c r="S719" s="8">
        <f>VLOOKUP($F719,[1]装箱单!$A:$G,7,0)</f>
        <v>20.96</v>
      </c>
      <c r="T719" s="10">
        <f>VLOOKUP($F719,[1]装箱单!$A:$J,10,0)</f>
        <v>0.022365718032</v>
      </c>
      <c r="U719" s="11">
        <f t="shared" si="65"/>
        <v>22.365718032</v>
      </c>
    </row>
    <row r="720" ht="29.1" customHeight="1" spans="1:21">
      <c r="A720" s="40"/>
      <c r="B720" s="41"/>
      <c r="C720" s="42"/>
      <c r="D720" s="43"/>
      <c r="E720" s="44"/>
      <c r="F720" s="44"/>
      <c r="G720" s="44" t="s">
        <v>977</v>
      </c>
      <c r="H720" s="44">
        <v>3</v>
      </c>
      <c r="I720" s="45">
        <v>3</v>
      </c>
      <c r="J720" s="45" t="s">
        <v>693</v>
      </c>
      <c r="K720" s="45" t="s">
        <v>218</v>
      </c>
      <c r="L720" s="46">
        <v>3</v>
      </c>
      <c r="M720" s="43">
        <v>1</v>
      </c>
      <c r="N720" s="46"/>
      <c r="O720" s="44"/>
      <c r="P720" s="48"/>
    </row>
    <row r="721" ht="29.1" customHeight="1" spans="1:21">
      <c r="A721" s="40"/>
      <c r="B721" s="41"/>
      <c r="C721" s="42"/>
      <c r="D721" s="43"/>
      <c r="E721" s="44"/>
      <c r="F721" s="44"/>
      <c r="G721" s="44"/>
      <c r="H721" s="44"/>
      <c r="I721" s="45"/>
      <c r="J721" s="45"/>
      <c r="K721" s="45"/>
      <c r="L721" s="46"/>
      <c r="M721" s="43">
        <f>SUM(M710:M720)</f>
        <v>121.68010648</v>
      </c>
      <c r="N721" s="46"/>
      <c r="O721" s="44"/>
      <c r="P721" s="51"/>
    </row>
    <row r="722" ht="29.1" customHeight="1" spans="1:21">
      <c r="A722" s="40">
        <v>46156</v>
      </c>
      <c r="B722" s="41" t="s">
        <v>978</v>
      </c>
      <c r="C722" s="42" t="s">
        <v>979</v>
      </c>
      <c r="D722" s="43" t="s">
        <v>980</v>
      </c>
      <c r="E722" s="44" t="s">
        <v>981</v>
      </c>
      <c r="F722" s="44" t="s">
        <v>80</v>
      </c>
      <c r="G722" s="44" t="str">
        <f>VLOOKUP(F722,[1]装箱单!$A:$C,3,0)</f>
        <v>钥匙扣系列</v>
      </c>
      <c r="H722" s="44">
        <f>+I722/18</f>
        <v>208</v>
      </c>
      <c r="I722" s="45">
        <v>3744</v>
      </c>
      <c r="J722" s="45" t="s">
        <v>32</v>
      </c>
      <c r="K722" s="45" t="s">
        <v>33</v>
      </c>
      <c r="L722" s="46">
        <v>208</v>
      </c>
      <c r="M722" s="43">
        <f>+U722</f>
        <v>3.122585856</v>
      </c>
      <c r="N722" s="46" t="s">
        <v>34</v>
      </c>
      <c r="O722" s="44"/>
      <c r="P722" s="47" t="s">
        <v>982</v>
      </c>
      <c r="Q722" s="8">
        <f>VLOOKUP($F722,[1]装箱单!$A:$E,5,0)</f>
        <v>42.48</v>
      </c>
      <c r="R722" s="8">
        <f>VLOOKUP($F722,[1]装箱单!$A:$F,6,0)</f>
        <v>22.8</v>
      </c>
      <c r="S722" s="8">
        <f>VLOOKUP($F722,[1]装箱单!$A:$G,7,0)</f>
        <v>15.5</v>
      </c>
      <c r="T722" s="10">
        <f>VLOOKUP($F722,[1]装箱单!$A:$J,10,0)</f>
        <v>0.015012432</v>
      </c>
      <c r="U722" s="11">
        <f>+T722*L722</f>
        <v>3.122585856</v>
      </c>
    </row>
    <row r="723" ht="29.1" customHeight="1" spans="1:21">
      <c r="A723" s="40">
        <v>46156</v>
      </c>
      <c r="B723" s="41" t="s">
        <v>983</v>
      </c>
      <c r="C723" s="42" t="s">
        <v>964</v>
      </c>
      <c r="D723" s="43" t="s">
        <v>965</v>
      </c>
      <c r="E723" s="44" t="s">
        <v>966</v>
      </c>
      <c r="F723" s="44" t="s">
        <v>111</v>
      </c>
      <c r="G723" s="44" t="str">
        <f>VLOOKUP(F723,[1]装箱单!$A:$C,3,0)</f>
        <v>鸭子</v>
      </c>
      <c r="H723" s="44">
        <v>362</v>
      </c>
      <c r="I723" s="45">
        <v>6516</v>
      </c>
      <c r="J723" s="45" t="s">
        <v>32</v>
      </c>
      <c r="K723" s="45" t="s">
        <v>33</v>
      </c>
      <c r="L723" s="46">
        <v>362</v>
      </c>
      <c r="M723" s="43">
        <f>+U723</f>
        <v>2.097070563915</v>
      </c>
      <c r="N723" s="46" t="s">
        <v>34</v>
      </c>
      <c r="O723" s="44"/>
      <c r="P723" s="48"/>
      <c r="Q723" s="8">
        <f>VLOOKUP($F723,[1]装箱单!$A:$E,5,0)</f>
        <v>32.385</v>
      </c>
      <c r="R723" s="8">
        <f>VLOOKUP($F723,[1]装箱单!$A:$F,6,0)</f>
        <v>18.78</v>
      </c>
      <c r="S723" s="8">
        <f>VLOOKUP($F723,[1]装箱单!$A:$G,7,0)</f>
        <v>9.525</v>
      </c>
      <c r="T723" s="10">
        <f>VLOOKUP($F723,[1]装箱单!$A:$J,10,0)</f>
        <v>0.0057930126075</v>
      </c>
      <c r="U723" s="11">
        <f>+T723*L723</f>
        <v>2.097070563915</v>
      </c>
    </row>
    <row r="724" ht="29.1" customHeight="1" spans="1:21">
      <c r="A724" s="40">
        <v>46156</v>
      </c>
      <c r="B724" s="41" t="s">
        <v>984</v>
      </c>
      <c r="C724" s="42" t="s">
        <v>985</v>
      </c>
      <c r="D724" s="43" t="s">
        <v>986</v>
      </c>
      <c r="E724" s="44" t="s">
        <v>987</v>
      </c>
      <c r="F724" s="135" t="s">
        <v>263</v>
      </c>
      <c r="G724" s="44" t="str">
        <f>VLOOKUP(F724,[1]装箱单!$A:$C,3,0)</f>
        <v>搪胶小鸭</v>
      </c>
      <c r="H724" s="44">
        <v>146</v>
      </c>
      <c r="I724" s="45">
        <v>7008</v>
      </c>
      <c r="J724" s="45" t="s">
        <v>32</v>
      </c>
      <c r="K724" s="45" t="s">
        <v>33</v>
      </c>
      <c r="L724" s="46">
        <v>146</v>
      </c>
      <c r="M724" s="43">
        <f>+U724</f>
        <v>2.1588676580625</v>
      </c>
      <c r="N724" s="46" t="s">
        <v>34</v>
      </c>
      <c r="O724" s="44" t="s">
        <v>988</v>
      </c>
      <c r="P724" s="48"/>
      <c r="Q724" s="8">
        <f>VLOOKUP($F724,[1]装箱单!$A:$E,5,0)</f>
        <v>34.925</v>
      </c>
      <c r="R724" s="8">
        <f>VLOOKUP($F724,[1]装箱单!$A:$F,6,0)</f>
        <v>22.225</v>
      </c>
      <c r="S724" s="8">
        <f>VLOOKUP($F724,[1]装箱单!$A:$G,7,0)</f>
        <v>19.05</v>
      </c>
      <c r="T724" s="10">
        <f>VLOOKUP($F724,[1]装箱单!$A:$J,10,0)</f>
        <v>0.01478676478125</v>
      </c>
      <c r="U724" s="11">
        <f>+T724*L724</f>
        <v>2.1588676580625</v>
      </c>
    </row>
    <row r="725" ht="29.1" customHeight="1" spans="1:21">
      <c r="A725" s="40">
        <v>46156</v>
      </c>
      <c r="B725" s="41" t="s">
        <v>984</v>
      </c>
      <c r="C725" s="42" t="s">
        <v>985</v>
      </c>
      <c r="D725" s="43" t="s">
        <v>986</v>
      </c>
      <c r="E725" s="44" t="s">
        <v>987</v>
      </c>
      <c r="F725" s="135" t="s">
        <v>263</v>
      </c>
      <c r="G725" s="44" t="str">
        <f>VLOOKUP(F725,[1]装箱单!$A:$C,3,0)</f>
        <v>搪胶小鸭</v>
      </c>
      <c r="H725" s="44">
        <v>146</v>
      </c>
      <c r="I725" s="45">
        <v>7008</v>
      </c>
      <c r="J725" s="45" t="s">
        <v>32</v>
      </c>
      <c r="K725" s="45" t="s">
        <v>33</v>
      </c>
      <c r="L725" s="46">
        <v>146</v>
      </c>
      <c r="M725" s="43">
        <f>+U725</f>
        <v>2.1588676580625</v>
      </c>
      <c r="N725" s="46" t="s">
        <v>34</v>
      </c>
      <c r="O725" s="44" t="s">
        <v>775</v>
      </c>
      <c r="P725" s="48"/>
      <c r="Q725" s="8">
        <f>VLOOKUP($F725,[1]装箱单!$A:$E,5,0)</f>
        <v>34.925</v>
      </c>
      <c r="R725" s="8">
        <f>VLOOKUP($F725,[1]装箱单!$A:$F,6,0)</f>
        <v>22.225</v>
      </c>
      <c r="S725" s="8">
        <f>VLOOKUP($F725,[1]装箱单!$A:$G,7,0)</f>
        <v>19.05</v>
      </c>
      <c r="T725" s="10">
        <f>VLOOKUP($F725,[1]装箱单!$A:$J,10,0)</f>
        <v>0.01478676478125</v>
      </c>
      <c r="U725" s="11">
        <f>+T725*L725</f>
        <v>2.1588676580625</v>
      </c>
    </row>
    <row r="726" ht="29.1" customHeight="1" spans="1:21">
      <c r="A726" s="40">
        <v>46156</v>
      </c>
      <c r="B726" s="52" t="s">
        <v>922</v>
      </c>
      <c r="C726" s="42" t="s">
        <v>923</v>
      </c>
      <c r="D726" s="43" t="s">
        <v>924</v>
      </c>
      <c r="E726" s="44">
        <v>50002320</v>
      </c>
      <c r="F726" s="44">
        <v>33416</v>
      </c>
      <c r="G726" s="44" t="s">
        <v>989</v>
      </c>
      <c r="H726" s="44">
        <v>4</v>
      </c>
      <c r="I726" s="45">
        <v>760</v>
      </c>
      <c r="J726" s="45" t="s">
        <v>32</v>
      </c>
      <c r="K726" s="45" t="s">
        <v>33</v>
      </c>
      <c r="L726" s="44">
        <v>4</v>
      </c>
      <c r="M726" s="119">
        <v>3</v>
      </c>
      <c r="N726" s="46" t="s">
        <v>34</v>
      </c>
      <c r="O726" s="44" t="s">
        <v>926</v>
      </c>
      <c r="P726" s="48"/>
    </row>
    <row r="727" ht="29.1" customHeight="1" spans="1:21">
      <c r="A727" s="40">
        <v>46156</v>
      </c>
      <c r="B727" s="52" t="s">
        <v>922</v>
      </c>
      <c r="C727" s="42" t="s">
        <v>990</v>
      </c>
      <c r="D727" s="43" t="s">
        <v>991</v>
      </c>
      <c r="E727" s="44" t="s">
        <v>992</v>
      </c>
      <c r="F727" s="44">
        <v>33477</v>
      </c>
      <c r="G727" s="44" t="s">
        <v>989</v>
      </c>
      <c r="H727" s="49">
        <v>29</v>
      </c>
      <c r="I727" s="45">
        <v>2640</v>
      </c>
      <c r="J727" s="45" t="s">
        <v>32</v>
      </c>
      <c r="K727" s="45" t="s">
        <v>33</v>
      </c>
      <c r="L727" s="49">
        <v>29</v>
      </c>
      <c r="M727" s="124"/>
      <c r="N727" s="46" t="s">
        <v>34</v>
      </c>
      <c r="O727" s="49" t="s">
        <v>993</v>
      </c>
      <c r="P727" s="48"/>
    </row>
    <row r="728" ht="29.1" customHeight="1" spans="1:21">
      <c r="A728" s="40">
        <v>46156</v>
      </c>
      <c r="B728" s="52" t="s">
        <v>922</v>
      </c>
      <c r="C728" s="42" t="s">
        <v>994</v>
      </c>
      <c r="D728" s="43" t="s">
        <v>995</v>
      </c>
      <c r="E728" s="44" t="s">
        <v>996</v>
      </c>
      <c r="F728" s="44">
        <v>33477</v>
      </c>
      <c r="G728" s="44" t="s">
        <v>989</v>
      </c>
      <c r="H728" s="53"/>
      <c r="I728" s="45">
        <v>2640</v>
      </c>
      <c r="J728" s="45" t="s">
        <v>32</v>
      </c>
      <c r="K728" s="45" t="s">
        <v>33</v>
      </c>
      <c r="L728" s="53"/>
      <c r="M728" s="124"/>
      <c r="N728" s="46" t="s">
        <v>34</v>
      </c>
      <c r="O728" s="53"/>
      <c r="P728" s="48"/>
    </row>
    <row r="729" ht="29.1" customHeight="1" spans="1:21">
      <c r="A729" s="40">
        <v>46156</v>
      </c>
      <c r="B729" s="52" t="s">
        <v>922</v>
      </c>
      <c r="C729" s="42"/>
      <c r="D729" s="43" t="s">
        <v>997</v>
      </c>
      <c r="E729" s="44"/>
      <c r="F729" s="44">
        <v>33477</v>
      </c>
      <c r="G729" s="44" t="s">
        <v>989</v>
      </c>
      <c r="H729" s="55"/>
      <c r="I729" s="45">
        <v>500</v>
      </c>
      <c r="J729" s="45" t="s">
        <v>32</v>
      </c>
      <c r="K729" s="45" t="s">
        <v>33</v>
      </c>
      <c r="L729" s="55"/>
      <c r="M729" s="124"/>
      <c r="N729" s="46" t="s">
        <v>34</v>
      </c>
      <c r="O729" s="55"/>
      <c r="P729" s="48"/>
    </row>
    <row r="730" ht="29.1" customHeight="1" spans="1:21">
      <c r="A730" s="40">
        <v>46156</v>
      </c>
      <c r="B730" s="52" t="s">
        <v>922</v>
      </c>
      <c r="C730" s="42" t="s">
        <v>990</v>
      </c>
      <c r="D730" s="43" t="s">
        <v>991</v>
      </c>
      <c r="E730" s="44" t="s">
        <v>992</v>
      </c>
      <c r="F730" s="44">
        <v>46862</v>
      </c>
      <c r="G730" s="44" t="s">
        <v>989</v>
      </c>
      <c r="H730" s="49">
        <v>27</v>
      </c>
      <c r="I730" s="45">
        <v>2478</v>
      </c>
      <c r="J730" s="45" t="s">
        <v>32</v>
      </c>
      <c r="K730" s="45" t="s">
        <v>33</v>
      </c>
      <c r="L730" s="49">
        <v>13</v>
      </c>
      <c r="M730" s="124"/>
      <c r="N730" s="46" t="s">
        <v>34</v>
      </c>
      <c r="O730" s="49" t="s">
        <v>998</v>
      </c>
      <c r="P730" s="48"/>
    </row>
    <row r="731" ht="29.1" customHeight="1" spans="1:21">
      <c r="A731" s="40">
        <v>46156</v>
      </c>
      <c r="B731" s="41" t="s">
        <v>177</v>
      </c>
      <c r="C731" s="42" t="s">
        <v>999</v>
      </c>
      <c r="D731" s="43"/>
      <c r="E731" s="44" t="s">
        <v>1000</v>
      </c>
      <c r="F731" s="44">
        <v>33410</v>
      </c>
      <c r="G731" s="44" t="str">
        <f>VLOOKUP(F731,[1]装箱单!$A:$C,3,0)</f>
        <v>搪胶小鸭</v>
      </c>
      <c r="H731" s="44">
        <v>864</v>
      </c>
      <c r="I731" s="45">
        <f>+L731*400</f>
        <v>60000</v>
      </c>
      <c r="J731" s="45" t="s">
        <v>32</v>
      </c>
      <c r="K731" s="45" t="s">
        <v>33</v>
      </c>
      <c r="L731" s="46">
        <v>150</v>
      </c>
      <c r="M731" s="43">
        <f t="shared" ref="M731:M747" si="66">+U731</f>
        <v>46.85091192</v>
      </c>
      <c r="N731" s="46" t="s">
        <v>34</v>
      </c>
      <c r="O731" s="44"/>
      <c r="P731" s="48"/>
      <c r="Q731" s="8">
        <f>VLOOKUP($F731,[1]装箱单!$A:$E,5,0)</f>
        <v>52.83</v>
      </c>
      <c r="R731" s="8">
        <f>VLOOKUP($F731,[1]装箱单!$A:$F,6,0)</f>
        <v>52.32</v>
      </c>
      <c r="S731" s="8">
        <f>VLOOKUP($F731,[1]装箱单!$A:$G,7,0)</f>
        <v>113</v>
      </c>
      <c r="T731" s="10">
        <f>VLOOKUP($F731,[1]装箱单!$A:$J,10,0)</f>
        <v>0.3123394128</v>
      </c>
      <c r="U731" s="11">
        <f t="shared" ref="U731:U747" si="67">+T731*L731</f>
        <v>46.85091192</v>
      </c>
    </row>
    <row r="732" ht="29.1" customHeight="1" spans="1:21">
      <c r="A732" s="40">
        <v>46156</v>
      </c>
      <c r="B732" s="41" t="s">
        <v>1001</v>
      </c>
      <c r="C732" s="42" t="s">
        <v>1002</v>
      </c>
      <c r="D732" s="43" t="s">
        <v>1003</v>
      </c>
      <c r="E732" s="44">
        <v>1815843</v>
      </c>
      <c r="F732" s="44">
        <v>33610</v>
      </c>
      <c r="G732" s="44" t="str">
        <f>VLOOKUP(F732,[1]装箱单!$A:$C,3,0)</f>
        <v>搪果鸭</v>
      </c>
      <c r="H732" s="44">
        <f t="shared" ref="H732:H746" si="68">+I732/12</f>
        <v>601</v>
      </c>
      <c r="I732" s="45">
        <f t="shared" ref="I732:I746" si="69">+L732*12</f>
        <v>7212</v>
      </c>
      <c r="J732" s="45" t="s">
        <v>32</v>
      </c>
      <c r="K732" s="45" t="s">
        <v>33</v>
      </c>
      <c r="L732" s="46">
        <v>601</v>
      </c>
      <c r="M732" s="43">
        <f t="shared" si="66"/>
        <v>2.756098254</v>
      </c>
      <c r="N732" s="46" t="s">
        <v>34</v>
      </c>
      <c r="O732" s="44"/>
      <c r="P732" s="48"/>
      <c r="Q732" s="8">
        <f>VLOOKUP($F732,[1]装箱单!$A:$E,5,0)</f>
        <v>22.7</v>
      </c>
      <c r="R732" s="8">
        <f>VLOOKUP($F732,[1]装箱单!$A:$F,6,0)</f>
        <v>18.2</v>
      </c>
      <c r="S732" s="8">
        <f>VLOOKUP($F732,[1]装箱单!$A:$G,7,0)</f>
        <v>11.1</v>
      </c>
      <c r="T732" s="10">
        <f>VLOOKUP($F732,[1]装箱单!$A:$J,10,0)</f>
        <v>0.004585854</v>
      </c>
      <c r="U732" s="11">
        <f t="shared" si="67"/>
        <v>2.756098254</v>
      </c>
    </row>
    <row r="733" ht="29.1" customHeight="1" spans="1:21">
      <c r="A733" s="40">
        <v>46156</v>
      </c>
      <c r="B733" s="41" t="s">
        <v>1001</v>
      </c>
      <c r="C733" s="42" t="s">
        <v>1004</v>
      </c>
      <c r="D733" s="43" t="s">
        <v>1005</v>
      </c>
      <c r="E733" s="44">
        <v>7385526</v>
      </c>
      <c r="F733" s="44">
        <v>33610</v>
      </c>
      <c r="G733" s="44" t="str">
        <f>VLOOKUP(F733,[1]装箱单!$A:$C,3,0)</f>
        <v>搪果鸭</v>
      </c>
      <c r="H733" s="44">
        <f t="shared" si="68"/>
        <v>337</v>
      </c>
      <c r="I733" s="45">
        <f t="shared" si="69"/>
        <v>4044</v>
      </c>
      <c r="J733" s="45" t="s">
        <v>32</v>
      </c>
      <c r="K733" s="45" t="s">
        <v>33</v>
      </c>
      <c r="L733" s="46">
        <v>337</v>
      </c>
      <c r="M733" s="43">
        <f t="shared" si="66"/>
        <v>1.545432798</v>
      </c>
      <c r="N733" s="46" t="s">
        <v>34</v>
      </c>
      <c r="O733" s="44"/>
      <c r="P733" s="48"/>
      <c r="Q733" s="8">
        <f>VLOOKUP($F733,[1]装箱单!$A:$E,5,0)</f>
        <v>22.7</v>
      </c>
      <c r="R733" s="8">
        <f>VLOOKUP($F733,[1]装箱单!$A:$F,6,0)</f>
        <v>18.2</v>
      </c>
      <c r="S733" s="8">
        <f>VLOOKUP($F733,[1]装箱单!$A:$G,7,0)</f>
        <v>11.1</v>
      </c>
      <c r="T733" s="10">
        <f>VLOOKUP($F733,[1]装箱单!$A:$J,10,0)</f>
        <v>0.004585854</v>
      </c>
      <c r="U733" s="11">
        <f t="shared" si="67"/>
        <v>1.545432798</v>
      </c>
    </row>
    <row r="734" ht="29.1" customHeight="1" spans="1:21">
      <c r="A734" s="40">
        <v>46156</v>
      </c>
      <c r="B734" s="41" t="s">
        <v>1001</v>
      </c>
      <c r="C734" s="42" t="s">
        <v>1006</v>
      </c>
      <c r="D734" s="43" t="s">
        <v>1007</v>
      </c>
      <c r="E734" s="139" t="s">
        <v>1008</v>
      </c>
      <c r="F734" s="44">
        <v>33610</v>
      </c>
      <c r="G734" s="44" t="str">
        <f>VLOOKUP(F734,[1]装箱单!$A:$C,3,0)</f>
        <v>搪果鸭</v>
      </c>
      <c r="H734" s="44">
        <f t="shared" si="68"/>
        <v>348</v>
      </c>
      <c r="I734" s="45">
        <f t="shared" si="69"/>
        <v>4176</v>
      </c>
      <c r="J734" s="45" t="s">
        <v>32</v>
      </c>
      <c r="K734" s="45" t="s">
        <v>33</v>
      </c>
      <c r="L734" s="46">
        <v>348</v>
      </c>
      <c r="M734" s="43">
        <f t="shared" si="66"/>
        <v>1.595877192</v>
      </c>
      <c r="N734" s="46" t="s">
        <v>34</v>
      </c>
      <c r="O734" s="44"/>
      <c r="P734" s="48"/>
      <c r="Q734" s="8">
        <f>VLOOKUP($F734,[1]装箱单!$A:$E,5,0)</f>
        <v>22.7</v>
      </c>
      <c r="R734" s="8">
        <f>VLOOKUP($F734,[1]装箱单!$A:$F,6,0)</f>
        <v>18.2</v>
      </c>
      <c r="S734" s="8">
        <f>VLOOKUP($F734,[1]装箱单!$A:$G,7,0)</f>
        <v>11.1</v>
      </c>
      <c r="T734" s="10">
        <f>VLOOKUP($F734,[1]装箱单!$A:$J,10,0)</f>
        <v>0.004585854</v>
      </c>
      <c r="U734" s="11">
        <f t="shared" si="67"/>
        <v>1.595877192</v>
      </c>
    </row>
    <row r="735" ht="29.1" customHeight="1" spans="1:21">
      <c r="A735" s="40">
        <v>46156</v>
      </c>
      <c r="B735" s="41" t="s">
        <v>1001</v>
      </c>
      <c r="C735" s="42" t="s">
        <v>1009</v>
      </c>
      <c r="D735" s="43" t="s">
        <v>1010</v>
      </c>
      <c r="E735" s="139" t="s">
        <v>1011</v>
      </c>
      <c r="F735" s="44">
        <v>33610</v>
      </c>
      <c r="G735" s="44" t="str">
        <f>VLOOKUP(F735,[1]装箱单!$A:$C,3,0)</f>
        <v>搪果鸭</v>
      </c>
      <c r="H735" s="44">
        <f t="shared" si="68"/>
        <v>162</v>
      </c>
      <c r="I735" s="45">
        <f t="shared" si="69"/>
        <v>1944</v>
      </c>
      <c r="J735" s="45" t="s">
        <v>32</v>
      </c>
      <c r="K735" s="45" t="s">
        <v>33</v>
      </c>
      <c r="L735" s="46">
        <v>162</v>
      </c>
      <c r="M735" s="43">
        <f t="shared" si="66"/>
        <v>0.742908348</v>
      </c>
      <c r="N735" s="46" t="s">
        <v>34</v>
      </c>
      <c r="O735" s="44"/>
      <c r="P735" s="48"/>
      <c r="Q735" s="8">
        <f>VLOOKUP($F735,[1]装箱单!$A:$E,5,0)</f>
        <v>22.7</v>
      </c>
      <c r="R735" s="8">
        <f>VLOOKUP($F735,[1]装箱单!$A:$F,6,0)</f>
        <v>18.2</v>
      </c>
      <c r="S735" s="8">
        <f>VLOOKUP($F735,[1]装箱单!$A:$G,7,0)</f>
        <v>11.1</v>
      </c>
      <c r="T735" s="10">
        <f>VLOOKUP($F735,[1]装箱单!$A:$J,10,0)</f>
        <v>0.004585854</v>
      </c>
      <c r="U735" s="11">
        <f t="shared" si="67"/>
        <v>0.742908348</v>
      </c>
    </row>
    <row r="736" ht="29.1" customHeight="1" spans="1:21">
      <c r="A736" s="40">
        <v>46156</v>
      </c>
      <c r="B736" s="41" t="s">
        <v>1001</v>
      </c>
      <c r="C736" s="42" t="s">
        <v>1012</v>
      </c>
      <c r="D736" s="43" t="s">
        <v>1013</v>
      </c>
      <c r="E736" s="44">
        <v>1536133</v>
      </c>
      <c r="F736" s="44">
        <v>33610</v>
      </c>
      <c r="G736" s="44" t="str">
        <f>VLOOKUP(F736,[1]装箱单!$A:$C,3,0)</f>
        <v>搪果鸭</v>
      </c>
      <c r="H736" s="44">
        <f t="shared" si="68"/>
        <v>272</v>
      </c>
      <c r="I736" s="45">
        <f t="shared" si="69"/>
        <v>3264</v>
      </c>
      <c r="J736" s="45" t="s">
        <v>32</v>
      </c>
      <c r="K736" s="45" t="s">
        <v>33</v>
      </c>
      <c r="L736" s="46">
        <v>272</v>
      </c>
      <c r="M736" s="43">
        <f t="shared" si="66"/>
        <v>1.247352288</v>
      </c>
      <c r="N736" s="46" t="s">
        <v>34</v>
      </c>
      <c r="O736" s="44"/>
      <c r="P736" s="48"/>
      <c r="Q736" s="8">
        <f>VLOOKUP($F736,[1]装箱单!$A:$E,5,0)</f>
        <v>22.7</v>
      </c>
      <c r="R736" s="8">
        <f>VLOOKUP($F736,[1]装箱单!$A:$F,6,0)</f>
        <v>18.2</v>
      </c>
      <c r="S736" s="8">
        <f>VLOOKUP($F736,[1]装箱单!$A:$G,7,0)</f>
        <v>11.1</v>
      </c>
      <c r="T736" s="10">
        <f>VLOOKUP($F736,[1]装箱单!$A:$J,10,0)</f>
        <v>0.004585854</v>
      </c>
      <c r="U736" s="11">
        <f t="shared" si="67"/>
        <v>1.247352288</v>
      </c>
    </row>
    <row r="737" ht="29.1" customHeight="1" spans="1:26">
      <c r="A737" s="40">
        <v>46156</v>
      </c>
      <c r="B737" s="41" t="s">
        <v>1001</v>
      </c>
      <c r="C737" s="42" t="s">
        <v>1014</v>
      </c>
      <c r="D737" s="43" t="s">
        <v>1015</v>
      </c>
      <c r="E737" s="44">
        <v>3704895</v>
      </c>
      <c r="F737" s="44">
        <v>33610</v>
      </c>
      <c r="G737" s="44" t="str">
        <f>VLOOKUP(F737,[1]装箱单!$A:$C,3,0)</f>
        <v>搪果鸭</v>
      </c>
      <c r="H737" s="44">
        <f t="shared" si="68"/>
        <v>450</v>
      </c>
      <c r="I737" s="45">
        <f t="shared" si="69"/>
        <v>5400</v>
      </c>
      <c r="J737" s="45" t="s">
        <v>32</v>
      </c>
      <c r="K737" s="45" t="s">
        <v>33</v>
      </c>
      <c r="L737" s="46">
        <v>450</v>
      </c>
      <c r="M737" s="43">
        <f t="shared" si="66"/>
        <v>2.0636343</v>
      </c>
      <c r="N737" s="46" t="s">
        <v>34</v>
      </c>
      <c r="O737" s="44"/>
      <c r="P737" s="48"/>
      <c r="Q737" s="8">
        <f>VLOOKUP($F737,[1]装箱单!$A:$E,5,0)</f>
        <v>22.7</v>
      </c>
      <c r="R737" s="8">
        <f>VLOOKUP($F737,[1]装箱单!$A:$F,6,0)</f>
        <v>18.2</v>
      </c>
      <c r="S737" s="8">
        <f>VLOOKUP($F737,[1]装箱单!$A:$G,7,0)</f>
        <v>11.1</v>
      </c>
      <c r="T737" s="10">
        <f>VLOOKUP($F737,[1]装箱单!$A:$J,10,0)</f>
        <v>0.004585854</v>
      </c>
      <c r="U737" s="11">
        <f t="shared" si="67"/>
        <v>2.0636343</v>
      </c>
    </row>
    <row r="738" ht="29.1" customHeight="1" spans="1:26">
      <c r="A738" s="40">
        <v>46156</v>
      </c>
      <c r="B738" s="41" t="s">
        <v>1001</v>
      </c>
      <c r="C738" s="42" t="s">
        <v>1016</v>
      </c>
      <c r="D738" s="43" t="s">
        <v>1017</v>
      </c>
      <c r="E738" s="44">
        <v>4755075</v>
      </c>
      <c r="F738" s="44">
        <v>33610</v>
      </c>
      <c r="G738" s="44" t="str">
        <f>VLOOKUP(F738,[1]装箱单!$A:$C,3,0)</f>
        <v>搪果鸭</v>
      </c>
      <c r="H738" s="44">
        <f t="shared" si="68"/>
        <v>413</v>
      </c>
      <c r="I738" s="45">
        <f t="shared" si="69"/>
        <v>4956</v>
      </c>
      <c r="J738" s="45" t="s">
        <v>32</v>
      </c>
      <c r="K738" s="45" t="s">
        <v>33</v>
      </c>
      <c r="L738" s="46">
        <v>413</v>
      </c>
      <c r="M738" s="43">
        <f t="shared" si="66"/>
        <v>1.893957702</v>
      </c>
      <c r="N738" s="46" t="s">
        <v>34</v>
      </c>
      <c r="O738" s="44"/>
      <c r="P738" s="48"/>
      <c r="Q738" s="8">
        <f>VLOOKUP($F738,[1]装箱单!$A:$E,5,0)</f>
        <v>22.7</v>
      </c>
      <c r="R738" s="8">
        <f>VLOOKUP($F738,[1]装箱单!$A:$F,6,0)</f>
        <v>18.2</v>
      </c>
      <c r="S738" s="8">
        <f>VLOOKUP($F738,[1]装箱单!$A:$G,7,0)</f>
        <v>11.1</v>
      </c>
      <c r="T738" s="10">
        <f>VLOOKUP($F738,[1]装箱单!$A:$J,10,0)</f>
        <v>0.004585854</v>
      </c>
      <c r="U738" s="11">
        <f t="shared" si="67"/>
        <v>1.893957702</v>
      </c>
    </row>
    <row r="739" ht="29.1" customHeight="1" spans="1:26">
      <c r="A739" s="40">
        <v>46156</v>
      </c>
      <c r="B739" s="41" t="s">
        <v>1001</v>
      </c>
      <c r="C739" s="42" t="s">
        <v>1018</v>
      </c>
      <c r="D739" s="43" t="s">
        <v>1019</v>
      </c>
      <c r="E739" s="44">
        <v>5437007</v>
      </c>
      <c r="F739" s="44">
        <v>33610</v>
      </c>
      <c r="G739" s="44" t="str">
        <f>VLOOKUP(F739,[1]装箱单!$A:$C,3,0)</f>
        <v>搪果鸭</v>
      </c>
      <c r="H739" s="44">
        <f t="shared" si="68"/>
        <v>250</v>
      </c>
      <c r="I739" s="45">
        <f t="shared" si="69"/>
        <v>3000</v>
      </c>
      <c r="J739" s="45" t="s">
        <v>32</v>
      </c>
      <c r="K739" s="45" t="s">
        <v>33</v>
      </c>
      <c r="L739" s="46">
        <v>250</v>
      </c>
      <c r="M739" s="43">
        <f t="shared" si="66"/>
        <v>1.1464635</v>
      </c>
      <c r="N739" s="46" t="s">
        <v>34</v>
      </c>
      <c r="O739" s="44"/>
      <c r="P739" s="48"/>
      <c r="Q739" s="8">
        <f>VLOOKUP($F739,[1]装箱单!$A:$E,5,0)</f>
        <v>22.7</v>
      </c>
      <c r="R739" s="8">
        <f>VLOOKUP($F739,[1]装箱单!$A:$F,6,0)</f>
        <v>18.2</v>
      </c>
      <c r="S739" s="8">
        <f>VLOOKUP($F739,[1]装箱单!$A:$G,7,0)</f>
        <v>11.1</v>
      </c>
      <c r="T739" s="10">
        <f>VLOOKUP($F739,[1]装箱单!$A:$J,10,0)</f>
        <v>0.004585854</v>
      </c>
      <c r="U739" s="11">
        <f t="shared" si="67"/>
        <v>1.1464635</v>
      </c>
    </row>
    <row r="740" ht="29.1" customHeight="1" spans="1:26">
      <c r="A740" s="40">
        <v>46156</v>
      </c>
      <c r="B740" s="41" t="s">
        <v>1001</v>
      </c>
      <c r="C740" s="42" t="s">
        <v>1020</v>
      </c>
      <c r="D740" s="43" t="s">
        <v>1021</v>
      </c>
      <c r="E740" s="44">
        <v>5622459</v>
      </c>
      <c r="F740" s="44">
        <v>33610</v>
      </c>
      <c r="G740" s="44" t="str">
        <f>VLOOKUP(F740,[1]装箱单!$A:$C,3,0)</f>
        <v>搪果鸭</v>
      </c>
      <c r="H740" s="44">
        <f t="shared" si="68"/>
        <v>249</v>
      </c>
      <c r="I740" s="45">
        <f t="shared" si="69"/>
        <v>2988</v>
      </c>
      <c r="J740" s="45" t="s">
        <v>32</v>
      </c>
      <c r="K740" s="45" t="s">
        <v>33</v>
      </c>
      <c r="L740" s="46">
        <v>249</v>
      </c>
      <c r="M740" s="43">
        <f t="shared" si="66"/>
        <v>1.141877646</v>
      </c>
      <c r="N740" s="46" t="s">
        <v>34</v>
      </c>
      <c r="O740" s="44"/>
      <c r="P740" s="48"/>
      <c r="Q740" s="8">
        <f>VLOOKUP($F740,[1]装箱单!$A:$E,5,0)</f>
        <v>22.7</v>
      </c>
      <c r="R740" s="8">
        <f>VLOOKUP($F740,[1]装箱单!$A:$F,6,0)</f>
        <v>18.2</v>
      </c>
      <c r="S740" s="8">
        <f>VLOOKUP($F740,[1]装箱单!$A:$G,7,0)</f>
        <v>11.1</v>
      </c>
      <c r="T740" s="10">
        <f>VLOOKUP($F740,[1]装箱单!$A:$J,10,0)</f>
        <v>0.004585854</v>
      </c>
      <c r="U740" s="11">
        <f t="shared" si="67"/>
        <v>1.141877646</v>
      </c>
    </row>
    <row r="741" ht="29.1" customHeight="1" spans="1:26">
      <c r="A741" s="40">
        <v>46156</v>
      </c>
      <c r="B741" s="41" t="s">
        <v>1001</v>
      </c>
      <c r="C741" s="42" t="s">
        <v>1022</v>
      </c>
      <c r="D741" s="43" t="s">
        <v>1023</v>
      </c>
      <c r="E741" s="44">
        <v>6599122</v>
      </c>
      <c r="F741" s="44">
        <v>33610</v>
      </c>
      <c r="G741" s="44" t="str">
        <f>VLOOKUP(F741,[1]装箱单!$A:$C,3,0)</f>
        <v>搪果鸭</v>
      </c>
      <c r="H741" s="44">
        <f t="shared" si="68"/>
        <v>234</v>
      </c>
      <c r="I741" s="45">
        <f t="shared" si="69"/>
        <v>2808</v>
      </c>
      <c r="J741" s="45" t="s">
        <v>32</v>
      </c>
      <c r="K741" s="45" t="s">
        <v>33</v>
      </c>
      <c r="L741" s="46">
        <v>234</v>
      </c>
      <c r="M741" s="43">
        <f t="shared" si="66"/>
        <v>1.073089836</v>
      </c>
      <c r="N741" s="46" t="s">
        <v>34</v>
      </c>
      <c r="O741" s="44"/>
      <c r="P741" s="48"/>
      <c r="Q741" s="8">
        <f>VLOOKUP($F741,[1]装箱单!$A:$E,5,0)</f>
        <v>22.7</v>
      </c>
      <c r="R741" s="8">
        <f>VLOOKUP($F741,[1]装箱单!$A:$F,6,0)</f>
        <v>18.2</v>
      </c>
      <c r="S741" s="8">
        <f>VLOOKUP($F741,[1]装箱单!$A:$G,7,0)</f>
        <v>11.1</v>
      </c>
      <c r="T741" s="10">
        <f>VLOOKUP($F741,[1]装箱单!$A:$J,10,0)</f>
        <v>0.004585854</v>
      </c>
      <c r="U741" s="11">
        <f t="shared" si="67"/>
        <v>1.073089836</v>
      </c>
    </row>
    <row r="742" ht="29.1" customHeight="1" spans="1:26">
      <c r="A742" s="40">
        <v>46156</v>
      </c>
      <c r="B742" s="41" t="s">
        <v>1001</v>
      </c>
      <c r="C742" s="42" t="s">
        <v>1024</v>
      </c>
      <c r="D742" s="43" t="s">
        <v>1025</v>
      </c>
      <c r="E742" s="44">
        <v>8553160</v>
      </c>
      <c r="F742" s="44">
        <v>33610</v>
      </c>
      <c r="G742" s="44" t="str">
        <f>VLOOKUP(F742,[1]装箱单!$A:$C,3,0)</f>
        <v>搪果鸭</v>
      </c>
      <c r="H742" s="44">
        <f t="shared" si="68"/>
        <v>296</v>
      </c>
      <c r="I742" s="45">
        <f t="shared" si="69"/>
        <v>3552</v>
      </c>
      <c r="J742" s="45" t="s">
        <v>32</v>
      </c>
      <c r="K742" s="45" t="s">
        <v>33</v>
      </c>
      <c r="L742" s="46">
        <v>296</v>
      </c>
      <c r="M742" s="43">
        <f t="shared" si="66"/>
        <v>1.357412784</v>
      </c>
      <c r="N742" s="46" t="s">
        <v>34</v>
      </c>
      <c r="O742" s="44"/>
      <c r="P742" s="48"/>
      <c r="Q742" s="8">
        <f>VLOOKUP($F742,[1]装箱单!$A:$E,5,0)</f>
        <v>22.7</v>
      </c>
      <c r="R742" s="8">
        <f>VLOOKUP($F742,[1]装箱单!$A:$F,6,0)</f>
        <v>18.2</v>
      </c>
      <c r="S742" s="8">
        <f>VLOOKUP($F742,[1]装箱单!$A:$G,7,0)</f>
        <v>11.1</v>
      </c>
      <c r="T742" s="10">
        <f>VLOOKUP($F742,[1]装箱单!$A:$J,10,0)</f>
        <v>0.004585854</v>
      </c>
      <c r="U742" s="11">
        <f t="shared" si="67"/>
        <v>1.357412784</v>
      </c>
    </row>
    <row r="743" ht="29.1" customHeight="1" spans="1:26">
      <c r="A743" s="40">
        <v>46156</v>
      </c>
      <c r="B743" s="41" t="s">
        <v>1001</v>
      </c>
      <c r="C743" s="42" t="s">
        <v>1026</v>
      </c>
      <c r="D743" s="43" t="s">
        <v>1027</v>
      </c>
      <c r="E743" s="44">
        <v>9157464</v>
      </c>
      <c r="F743" s="44">
        <v>33610</v>
      </c>
      <c r="G743" s="44" t="str">
        <f>VLOOKUP(F743,[1]装箱单!$A:$C,3,0)</f>
        <v>搪果鸭</v>
      </c>
      <c r="H743" s="44">
        <f t="shared" si="68"/>
        <v>270</v>
      </c>
      <c r="I743" s="45">
        <f t="shared" si="69"/>
        <v>3240</v>
      </c>
      <c r="J743" s="45" t="s">
        <v>32</v>
      </c>
      <c r="K743" s="45" t="s">
        <v>33</v>
      </c>
      <c r="L743" s="46">
        <v>270</v>
      </c>
      <c r="M743" s="43">
        <f t="shared" si="66"/>
        <v>1.23818058</v>
      </c>
      <c r="N743" s="46" t="s">
        <v>34</v>
      </c>
      <c r="O743" s="44"/>
      <c r="P743" s="48"/>
      <c r="Q743" s="8">
        <f>VLOOKUP($F743,[1]装箱单!$A:$E,5,0)</f>
        <v>22.7</v>
      </c>
      <c r="R743" s="8">
        <f>VLOOKUP($F743,[1]装箱单!$A:$F,6,0)</f>
        <v>18.2</v>
      </c>
      <c r="S743" s="8">
        <f>VLOOKUP($F743,[1]装箱单!$A:$G,7,0)</f>
        <v>11.1</v>
      </c>
      <c r="T743" s="10">
        <f>VLOOKUP($F743,[1]装箱单!$A:$J,10,0)</f>
        <v>0.004585854</v>
      </c>
      <c r="U743" s="11">
        <f t="shared" si="67"/>
        <v>1.23818058</v>
      </c>
    </row>
    <row r="744" ht="29.1" customHeight="1" spans="1:26">
      <c r="A744" s="40">
        <v>46156</v>
      </c>
      <c r="B744" s="41" t="s">
        <v>1001</v>
      </c>
      <c r="C744" s="42" t="s">
        <v>1028</v>
      </c>
      <c r="D744" s="43" t="s">
        <v>1029</v>
      </c>
      <c r="E744" s="44">
        <v>9620663</v>
      </c>
      <c r="F744" s="44">
        <v>33610</v>
      </c>
      <c r="G744" s="44" t="str">
        <f>VLOOKUP(F744,[1]装箱单!$A:$C,3,0)</f>
        <v>搪果鸭</v>
      </c>
      <c r="H744" s="44">
        <f t="shared" si="68"/>
        <v>224</v>
      </c>
      <c r="I744" s="45">
        <f t="shared" si="69"/>
        <v>2688</v>
      </c>
      <c r="J744" s="45" t="s">
        <v>32</v>
      </c>
      <c r="K744" s="45" t="s">
        <v>33</v>
      </c>
      <c r="L744" s="46">
        <v>224</v>
      </c>
      <c r="M744" s="43">
        <f t="shared" si="66"/>
        <v>1.027231296</v>
      </c>
      <c r="N744" s="46" t="s">
        <v>34</v>
      </c>
      <c r="O744" s="44"/>
      <c r="P744" s="48"/>
      <c r="Q744" s="8">
        <f>VLOOKUP($F744,[1]装箱单!$A:$E,5,0)</f>
        <v>22.7</v>
      </c>
      <c r="R744" s="8">
        <f>VLOOKUP($F744,[1]装箱单!$A:$F,6,0)</f>
        <v>18.2</v>
      </c>
      <c r="S744" s="8">
        <f>VLOOKUP($F744,[1]装箱单!$A:$G,7,0)</f>
        <v>11.1</v>
      </c>
      <c r="T744" s="10">
        <f>VLOOKUP($F744,[1]装箱单!$A:$J,10,0)</f>
        <v>0.004585854</v>
      </c>
      <c r="U744" s="11">
        <f t="shared" si="67"/>
        <v>1.027231296</v>
      </c>
    </row>
    <row r="745" ht="29.1" customHeight="1" spans="1:26">
      <c r="A745" s="40">
        <v>46156</v>
      </c>
      <c r="B745" s="41" t="s">
        <v>1001</v>
      </c>
      <c r="C745" s="42" t="s">
        <v>1030</v>
      </c>
      <c r="D745" s="43" t="s">
        <v>1031</v>
      </c>
      <c r="E745" s="44">
        <v>3105005</v>
      </c>
      <c r="F745" s="44">
        <v>33610</v>
      </c>
      <c r="G745" s="44" t="str">
        <f>VLOOKUP(F745,[1]装箱单!$A:$C,3,0)</f>
        <v>搪果鸭</v>
      </c>
      <c r="H745" s="44">
        <f t="shared" si="68"/>
        <v>290</v>
      </c>
      <c r="I745" s="45">
        <f t="shared" si="69"/>
        <v>3480</v>
      </c>
      <c r="J745" s="45" t="s">
        <v>32</v>
      </c>
      <c r="K745" s="45" t="s">
        <v>33</v>
      </c>
      <c r="L745" s="46">
        <v>290</v>
      </c>
      <c r="M745" s="43">
        <f t="shared" si="66"/>
        <v>1.32989766</v>
      </c>
      <c r="N745" s="46" t="s">
        <v>34</v>
      </c>
      <c r="O745" s="44"/>
      <c r="P745" s="48"/>
      <c r="Q745" s="8">
        <f>VLOOKUP($F745,[1]装箱单!$A:$E,5,0)</f>
        <v>22.7</v>
      </c>
      <c r="R745" s="8">
        <f>VLOOKUP($F745,[1]装箱单!$A:$F,6,0)</f>
        <v>18.2</v>
      </c>
      <c r="S745" s="8">
        <f>VLOOKUP($F745,[1]装箱单!$A:$G,7,0)</f>
        <v>11.1</v>
      </c>
      <c r="T745" s="10">
        <f>VLOOKUP($F745,[1]装箱单!$A:$J,10,0)</f>
        <v>0.004585854</v>
      </c>
      <c r="U745" s="11">
        <f t="shared" si="67"/>
        <v>1.32989766</v>
      </c>
    </row>
    <row r="746" ht="29.1" customHeight="1" spans="1:26">
      <c r="A746" s="40">
        <v>46156</v>
      </c>
      <c r="B746" s="41" t="s">
        <v>1001</v>
      </c>
      <c r="C746" s="42" t="s">
        <v>1032</v>
      </c>
      <c r="D746" s="43" t="s">
        <v>1033</v>
      </c>
      <c r="E746" s="44">
        <v>1183122</v>
      </c>
      <c r="F746" s="44">
        <v>33610</v>
      </c>
      <c r="G746" s="44" t="str">
        <f>VLOOKUP(F746,[1]装箱单!$A:$C,3,0)</f>
        <v>搪果鸭</v>
      </c>
      <c r="H746" s="44">
        <f t="shared" si="68"/>
        <v>586</v>
      </c>
      <c r="I746" s="45">
        <f t="shared" si="69"/>
        <v>7032</v>
      </c>
      <c r="J746" s="45" t="s">
        <v>32</v>
      </c>
      <c r="K746" s="45" t="s">
        <v>33</v>
      </c>
      <c r="L746" s="46">
        <v>586</v>
      </c>
      <c r="M746" s="43">
        <f t="shared" si="66"/>
        <v>2.687310444</v>
      </c>
      <c r="N746" s="46" t="s">
        <v>34</v>
      </c>
      <c r="O746" s="44"/>
      <c r="P746" s="48"/>
      <c r="Q746" s="8">
        <f>VLOOKUP($F746,[1]装箱单!$A:$E,5,0)</f>
        <v>22.7</v>
      </c>
      <c r="R746" s="8">
        <f>VLOOKUP($F746,[1]装箱单!$A:$F,6,0)</f>
        <v>18.2</v>
      </c>
      <c r="S746" s="8">
        <f>VLOOKUP($F746,[1]装箱单!$A:$G,7,0)</f>
        <v>11.1</v>
      </c>
      <c r="T746" s="10">
        <f>VLOOKUP($F746,[1]装箱单!$A:$J,10,0)</f>
        <v>0.004585854</v>
      </c>
      <c r="U746" s="11">
        <f t="shared" si="67"/>
        <v>2.687310444</v>
      </c>
    </row>
    <row r="747" ht="29.1" customHeight="1" spans="1:26">
      <c r="A747" s="40">
        <v>46156</v>
      </c>
      <c r="B747" s="41" t="s">
        <v>1034</v>
      </c>
      <c r="C747" s="42" t="s">
        <v>1035</v>
      </c>
      <c r="D747" s="43" t="s">
        <v>1036</v>
      </c>
      <c r="E747" s="44" t="s">
        <v>1037</v>
      </c>
      <c r="F747" s="44" t="s">
        <v>211</v>
      </c>
      <c r="G747" s="44" t="str">
        <f>VLOOKUP(F747,[1]装箱单!$A:$C,3,0)</f>
        <v>史迪仔</v>
      </c>
      <c r="H747" s="44">
        <v>720</v>
      </c>
      <c r="I747" s="45">
        <f>+L747*2</f>
        <v>1440</v>
      </c>
      <c r="J747" s="45" t="s">
        <v>32</v>
      </c>
      <c r="K747" s="45" t="s">
        <v>33</v>
      </c>
      <c r="L747" s="46">
        <v>720</v>
      </c>
      <c r="M747" s="43">
        <f t="shared" si="66"/>
        <v>50.43854686464</v>
      </c>
      <c r="N747" s="46" t="s">
        <v>34</v>
      </c>
      <c r="O747" s="44"/>
      <c r="P747" s="48"/>
      <c r="Q747" s="8">
        <f>VLOOKUP($F747,[1]装箱单!$A:$E,5,0)</f>
        <v>45.72</v>
      </c>
      <c r="R747" s="8">
        <f>VLOOKUP($F747,[1]装箱单!$A:$F,6,0)</f>
        <v>36.56</v>
      </c>
      <c r="S747" s="8">
        <f>VLOOKUP($F747,[1]装箱单!$A:$G,7,0)</f>
        <v>41.91</v>
      </c>
      <c r="T747" s="10">
        <f>VLOOKUP($F747,[1]装箱单!$A:$J,10,0)</f>
        <v>0.070053537312</v>
      </c>
      <c r="U747" s="11">
        <f t="shared" si="67"/>
        <v>50.43854686464</v>
      </c>
    </row>
    <row r="748" ht="29.1" customHeight="1" spans="1:26">
      <c r="A748" s="40"/>
      <c r="B748" s="41"/>
      <c r="C748" s="42"/>
      <c r="D748" s="43"/>
      <c r="E748" s="44"/>
      <c r="F748" s="44"/>
      <c r="G748" s="44"/>
      <c r="H748" s="44"/>
      <c r="I748" s="45"/>
      <c r="J748" s="45"/>
      <c r="K748" s="45"/>
      <c r="L748" s="46"/>
      <c r="M748" s="43">
        <f>SUM(M722:M747)</f>
        <v>132.67357514868</v>
      </c>
      <c r="N748" s="46"/>
      <c r="O748" s="44"/>
      <c r="P748" s="51"/>
    </row>
    <row r="749" customFormat="1" ht="29.1" customHeight="1" spans="1:26">
      <c r="A749" s="40">
        <v>46157</v>
      </c>
      <c r="B749" s="41" t="s">
        <v>177</v>
      </c>
      <c r="C749" s="42" t="s">
        <v>999</v>
      </c>
      <c r="D749" s="43"/>
      <c r="E749" s="44" t="s">
        <v>1000</v>
      </c>
      <c r="F749" s="44">
        <v>33410</v>
      </c>
      <c r="G749" s="44" t="s">
        <v>886</v>
      </c>
      <c r="H749" s="44">
        <v>864</v>
      </c>
      <c r="I749" s="45">
        <v>159200</v>
      </c>
      <c r="J749" s="45" t="s">
        <v>32</v>
      </c>
      <c r="K749" s="45" t="s">
        <v>33</v>
      </c>
      <c r="L749" s="46">
        <v>398</v>
      </c>
      <c r="M749" s="43">
        <v>124.3110862944</v>
      </c>
      <c r="N749" s="46" t="s">
        <v>34</v>
      </c>
      <c r="O749" s="44"/>
      <c r="P749" s="47" t="s">
        <v>1038</v>
      </c>
      <c r="Q749" s="8">
        <v>52.83</v>
      </c>
      <c r="R749" s="8">
        <v>52.32</v>
      </c>
      <c r="S749" s="8">
        <v>113</v>
      </c>
      <c r="T749" s="10">
        <v>0.3123394128</v>
      </c>
      <c r="U749" s="11">
        <v>124.3110862944</v>
      </c>
      <c r="V749" s="12"/>
      <c r="W749" s="1"/>
      <c r="X749" s="1"/>
      <c r="Y749" s="1"/>
      <c r="Z749" s="1"/>
    </row>
    <row r="750" customFormat="1" ht="29.1" customHeight="1" spans="1:26">
      <c r="A750" s="40"/>
      <c r="B750" s="41"/>
      <c r="C750" s="42"/>
      <c r="D750" s="43"/>
      <c r="E750" s="44"/>
      <c r="F750" s="44"/>
      <c r="G750" s="44"/>
      <c r="H750" s="44"/>
      <c r="I750" s="45"/>
      <c r="J750" s="45"/>
      <c r="K750" s="45"/>
      <c r="L750" s="46"/>
      <c r="M750" s="43">
        <v>124.3110862944</v>
      </c>
      <c r="N750" s="46"/>
      <c r="O750" s="44"/>
      <c r="P750" s="51"/>
      <c r="Q750" s="8"/>
      <c r="R750" s="8"/>
      <c r="S750" s="8"/>
      <c r="T750" s="10"/>
      <c r="U750" s="11"/>
      <c r="V750" s="12"/>
      <c r="W750" s="1"/>
      <c r="X750" s="1"/>
      <c r="Y750" s="1"/>
      <c r="Z750" s="1"/>
    </row>
    <row r="751" ht="29.1" customHeight="1" spans="1:26">
      <c r="A751" s="40">
        <v>46158</v>
      </c>
      <c r="B751" s="41" t="s">
        <v>54</v>
      </c>
      <c r="C751" s="42" t="s">
        <v>796</v>
      </c>
      <c r="D751" s="43" t="s">
        <v>797</v>
      </c>
      <c r="E751" s="44" t="s">
        <v>798</v>
      </c>
      <c r="F751" s="44">
        <v>28472</v>
      </c>
      <c r="G751" s="44" t="str">
        <f>VLOOKUP(F751,[1]装箱单!$A:$C,3,0)</f>
        <v>狮子</v>
      </c>
      <c r="H751" s="44">
        <v>1080</v>
      </c>
      <c r="I751" s="45">
        <f>+L751</f>
        <v>600</v>
      </c>
      <c r="J751" s="45" t="s">
        <v>32</v>
      </c>
      <c r="K751" s="45" t="s">
        <v>33</v>
      </c>
      <c r="L751" s="46">
        <f>1080-480</f>
        <v>600</v>
      </c>
      <c r="M751" s="43">
        <f t="shared" ref="M751:M760" si="70">+U751</f>
        <v>11.016</v>
      </c>
      <c r="N751" s="46" t="s">
        <v>34</v>
      </c>
      <c r="O751" s="44"/>
      <c r="P751" s="47" t="s">
        <v>127</v>
      </c>
      <c r="Q751" s="8">
        <f>VLOOKUP($F751,[1]装箱单!$A:$E,5,0)</f>
        <v>30</v>
      </c>
      <c r="R751" s="8">
        <f>VLOOKUP($F751,[1]装箱单!$A:$F,6,0)</f>
        <v>17</v>
      </c>
      <c r="S751" s="8">
        <f>VLOOKUP($F751,[1]装箱单!$A:$G,7,0)</f>
        <v>36</v>
      </c>
      <c r="T751" s="10">
        <f>VLOOKUP($F751,[1]装箱单!$A:$J,10,0)</f>
        <v>0.01836</v>
      </c>
      <c r="U751" s="11">
        <f>+T751*L751</f>
        <v>11.016</v>
      </c>
    </row>
    <row r="752" ht="29.1" customHeight="1" spans="1:26">
      <c r="A752" s="40">
        <v>46158</v>
      </c>
      <c r="B752" s="41" t="s">
        <v>177</v>
      </c>
      <c r="C752" s="42" t="s">
        <v>999</v>
      </c>
      <c r="D752" s="43"/>
      <c r="E752" s="44" t="s">
        <v>1000</v>
      </c>
      <c r="F752" s="44">
        <v>33410</v>
      </c>
      <c r="G752" s="44" t="str">
        <f>VLOOKUP(F752,[1]装箱单!$A:$C,3,0)</f>
        <v>搪胶小鸭</v>
      </c>
      <c r="H752" s="44">
        <v>864</v>
      </c>
      <c r="I752" s="45">
        <f>+L752*400</f>
        <v>119200</v>
      </c>
      <c r="J752" s="45" t="s">
        <v>32</v>
      </c>
      <c r="K752" s="45" t="s">
        <v>33</v>
      </c>
      <c r="L752" s="46">
        <f>846-150-398</f>
        <v>298</v>
      </c>
      <c r="M752" s="43">
        <f t="shared" si="70"/>
        <v>93.0771450144</v>
      </c>
      <c r="N752" s="46" t="s">
        <v>34</v>
      </c>
      <c r="O752" s="44"/>
      <c r="P752" s="48"/>
      <c r="Q752" s="8">
        <f>VLOOKUP($F752,[1]装箱单!$A:$E,5,0)</f>
        <v>52.83</v>
      </c>
      <c r="R752" s="8">
        <f>VLOOKUP($F752,[1]装箱单!$A:$F,6,0)</f>
        <v>52.32</v>
      </c>
      <c r="S752" s="8">
        <f>VLOOKUP($F752,[1]装箱单!$A:$G,7,0)</f>
        <v>113</v>
      </c>
      <c r="T752" s="10">
        <f>VLOOKUP($F752,[1]装箱单!$A:$J,10,0)</f>
        <v>0.3123394128</v>
      </c>
      <c r="U752" s="11">
        <f>+T752*L752</f>
        <v>93.0771450144</v>
      </c>
    </row>
    <row r="753" ht="29.1" customHeight="1" spans="1:21">
      <c r="A753" s="40">
        <v>46158</v>
      </c>
      <c r="B753" s="52" t="s">
        <v>922</v>
      </c>
      <c r="C753" s="42" t="s">
        <v>994</v>
      </c>
      <c r="D753" s="43" t="s">
        <v>995</v>
      </c>
      <c r="E753" s="44" t="s">
        <v>996</v>
      </c>
      <c r="F753" s="44">
        <v>46862</v>
      </c>
      <c r="G753" s="44" t="s">
        <v>989</v>
      </c>
      <c r="H753" s="55">
        <v>20</v>
      </c>
      <c r="I753" s="45">
        <v>2640</v>
      </c>
      <c r="J753" s="45" t="s">
        <v>32</v>
      </c>
      <c r="K753" s="45" t="s">
        <v>33</v>
      </c>
      <c r="L753" s="55">
        <v>20</v>
      </c>
      <c r="M753" s="43">
        <f t="shared" si="70"/>
        <v>0</v>
      </c>
      <c r="N753" s="46" t="s">
        <v>34</v>
      </c>
      <c r="O753" s="55" t="s">
        <v>1039</v>
      </c>
      <c r="P753" s="48"/>
    </row>
    <row r="754" ht="29.1" customHeight="1" spans="1:21">
      <c r="A754" s="40">
        <v>46158</v>
      </c>
      <c r="B754" s="41" t="s">
        <v>27</v>
      </c>
      <c r="C754" s="42" t="s">
        <v>1040</v>
      </c>
      <c r="D754" s="43" t="s">
        <v>1041</v>
      </c>
      <c r="E754" s="44" t="s">
        <v>877</v>
      </c>
      <c r="F754" s="135">
        <v>33813</v>
      </c>
      <c r="G754" s="44" t="str">
        <f>VLOOKUP(F754,[1]装箱单!$A:$C,3,0)</f>
        <v>搪胶小鸭</v>
      </c>
      <c r="H754" s="44">
        <v>75</v>
      </c>
      <c r="I754" s="45">
        <v>6300</v>
      </c>
      <c r="J754" s="45" t="s">
        <v>32</v>
      </c>
      <c r="K754" s="45" t="s">
        <v>33</v>
      </c>
      <c r="L754" s="46">
        <v>75</v>
      </c>
      <c r="M754" s="43">
        <f t="shared" si="70"/>
        <v>1.4239968</v>
      </c>
      <c r="N754" s="46" t="s">
        <v>34</v>
      </c>
      <c r="O754" s="44" t="s">
        <v>1042</v>
      </c>
      <c r="P754" s="48"/>
      <c r="Q754" s="8">
        <f>VLOOKUP($F754,[1]装箱单!$A:$E,5,0)</f>
        <v>29.6</v>
      </c>
      <c r="R754" s="8">
        <f>VLOOKUP($F754,[1]装箱单!$A:$F,6,0)</f>
        <v>21.1</v>
      </c>
      <c r="S754" s="8">
        <f>VLOOKUP($F754,[1]装箱单!$A:$G,7,0)</f>
        <v>30.4</v>
      </c>
      <c r="T754" s="10">
        <f>VLOOKUP($F754,[1]装箱单!$A:$J,10,0)</f>
        <v>0.018986624</v>
      </c>
      <c r="U754" s="11">
        <f t="shared" ref="U754:U760" si="71">+T754*L754</f>
        <v>1.4239968</v>
      </c>
    </row>
    <row r="755" ht="29.1" customHeight="1" spans="1:21">
      <c r="A755" s="40">
        <v>46158</v>
      </c>
      <c r="B755" s="41" t="s">
        <v>27</v>
      </c>
      <c r="C755" s="42" t="s">
        <v>1040</v>
      </c>
      <c r="D755" s="43" t="s">
        <v>1041</v>
      </c>
      <c r="E755" s="44" t="s">
        <v>877</v>
      </c>
      <c r="F755" s="44">
        <v>33812</v>
      </c>
      <c r="G755" s="44" t="str">
        <f>VLOOKUP(F755,[1]装箱单!$A:$C,3,0)</f>
        <v>搪胶小鸭</v>
      </c>
      <c r="H755" s="44">
        <v>225</v>
      </c>
      <c r="I755" s="45">
        <v>13500</v>
      </c>
      <c r="J755" s="45" t="s">
        <v>32</v>
      </c>
      <c r="K755" s="45" t="s">
        <v>33</v>
      </c>
      <c r="L755" s="46">
        <v>225</v>
      </c>
      <c r="M755" s="43">
        <f t="shared" si="70"/>
        <v>3.4236972</v>
      </c>
      <c r="N755" s="46" t="s">
        <v>34</v>
      </c>
      <c r="O755" s="44" t="s">
        <v>1042</v>
      </c>
      <c r="P755" s="48"/>
      <c r="Q755" s="8">
        <f>VLOOKUP($F755,[1]装箱单!$A:$E,5,0)</f>
        <v>32.2</v>
      </c>
      <c r="R755" s="8">
        <f>VLOOKUP($F755,[1]装箱单!$A:$F,6,0)</f>
        <v>26.4</v>
      </c>
      <c r="S755" s="8">
        <f>VLOOKUP($F755,[1]装箱单!$A:$G,7,0)</f>
        <v>17.9</v>
      </c>
      <c r="T755" s="10">
        <f>VLOOKUP($F755,[1]装箱单!$A:$J,10,0)</f>
        <v>0.015216432</v>
      </c>
      <c r="U755" s="11">
        <f t="shared" si="71"/>
        <v>3.4236972</v>
      </c>
    </row>
    <row r="756" ht="29.1" customHeight="1" spans="1:21">
      <c r="A756" s="40">
        <v>46158</v>
      </c>
      <c r="B756" s="41" t="s">
        <v>27</v>
      </c>
      <c r="C756" s="42" t="s">
        <v>1040</v>
      </c>
      <c r="D756" s="43" t="s">
        <v>1041</v>
      </c>
      <c r="E756" s="44" t="s">
        <v>877</v>
      </c>
      <c r="F756" s="44">
        <v>33807</v>
      </c>
      <c r="G756" s="44" t="str">
        <f>VLOOKUP(F756,[1]装箱单!$A:$C,3,0)</f>
        <v>搪胶小鸭</v>
      </c>
      <c r="H756" s="44">
        <v>75</v>
      </c>
      <c r="I756" s="45">
        <v>7200</v>
      </c>
      <c r="J756" s="45" t="s">
        <v>32</v>
      </c>
      <c r="K756" s="45" t="s">
        <v>33</v>
      </c>
      <c r="L756" s="46">
        <v>75</v>
      </c>
      <c r="M756" s="43">
        <f t="shared" si="70"/>
        <v>1.66505625</v>
      </c>
      <c r="N756" s="46" t="s">
        <v>34</v>
      </c>
      <c r="O756" s="44" t="s">
        <v>1042</v>
      </c>
      <c r="P756" s="48"/>
      <c r="Q756" s="8">
        <f>VLOOKUP($F756,[1]装箱单!$A:$E,5,0)</f>
        <v>32.5</v>
      </c>
      <c r="R756" s="8">
        <f>VLOOKUP($F756,[1]装箱单!$A:$F,6,0)</f>
        <v>20.7</v>
      </c>
      <c r="S756" s="8">
        <f>VLOOKUP($F756,[1]装箱单!$A:$G,7,0)</f>
        <v>33</v>
      </c>
      <c r="T756" s="10">
        <f>VLOOKUP($F756,[1]装箱单!$A:$J,10,0)</f>
        <v>0.02220075</v>
      </c>
      <c r="U756" s="11">
        <f t="shared" si="71"/>
        <v>1.66505625</v>
      </c>
    </row>
    <row r="757" ht="29.1" customHeight="1" spans="1:21">
      <c r="A757" s="40">
        <v>46158</v>
      </c>
      <c r="B757" s="41" t="s">
        <v>27</v>
      </c>
      <c r="C757" s="42" t="s">
        <v>1040</v>
      </c>
      <c r="D757" s="43" t="s">
        <v>1041</v>
      </c>
      <c r="E757" s="44" t="s">
        <v>877</v>
      </c>
      <c r="F757" s="44">
        <v>33808</v>
      </c>
      <c r="G757" s="44" t="str">
        <f>VLOOKUP(F757,[1]装箱单!$A:$C,3,0)</f>
        <v>搪胶小鸭</v>
      </c>
      <c r="H757" s="44">
        <v>250</v>
      </c>
      <c r="I757" s="45">
        <v>24000</v>
      </c>
      <c r="J757" s="45" t="s">
        <v>32</v>
      </c>
      <c r="K757" s="45" t="s">
        <v>33</v>
      </c>
      <c r="L757" s="46">
        <v>250</v>
      </c>
      <c r="M757" s="43">
        <f t="shared" si="70"/>
        <v>5.5501875</v>
      </c>
      <c r="N757" s="46" t="s">
        <v>34</v>
      </c>
      <c r="O757" s="44" t="s">
        <v>1042</v>
      </c>
      <c r="P757" s="48"/>
      <c r="Q757" s="8">
        <f>VLOOKUP($F757,[1]装箱单!$A:$E,5,0)</f>
        <v>32.5</v>
      </c>
      <c r="R757" s="8">
        <f>VLOOKUP($F757,[1]装箱单!$A:$F,6,0)</f>
        <v>20.7</v>
      </c>
      <c r="S757" s="8">
        <f>VLOOKUP($F757,[1]装箱单!$A:$G,7,0)</f>
        <v>33</v>
      </c>
      <c r="T757" s="10">
        <f>VLOOKUP($F757,[1]装箱单!$A:$J,10,0)</f>
        <v>0.02220075</v>
      </c>
      <c r="U757" s="11">
        <f t="shared" si="71"/>
        <v>5.5501875</v>
      </c>
    </row>
    <row r="758" ht="29.1" customHeight="1" spans="1:21">
      <c r="A758" s="40">
        <v>46158</v>
      </c>
      <c r="B758" s="41" t="s">
        <v>984</v>
      </c>
      <c r="C758" s="42" t="s">
        <v>985</v>
      </c>
      <c r="D758" s="43" t="s">
        <v>986</v>
      </c>
      <c r="E758" s="44" t="s">
        <v>987</v>
      </c>
      <c r="F758" s="135" t="s">
        <v>263</v>
      </c>
      <c r="G758" s="44" t="str">
        <f>VLOOKUP(F758,[1]装箱单!$A:$C,3,0)</f>
        <v>搪胶小鸭</v>
      </c>
      <c r="H758" s="44">
        <v>146</v>
      </c>
      <c r="I758" s="45">
        <v>7008</v>
      </c>
      <c r="J758" s="45" t="s">
        <v>32</v>
      </c>
      <c r="K758" s="45" t="s">
        <v>33</v>
      </c>
      <c r="L758" s="46">
        <v>146</v>
      </c>
      <c r="M758" s="43">
        <f t="shared" si="70"/>
        <v>2.1588676580625</v>
      </c>
      <c r="N758" s="46" t="s">
        <v>57</v>
      </c>
      <c r="O758" s="44" t="s">
        <v>773</v>
      </c>
      <c r="P758" s="48"/>
      <c r="Q758" s="8">
        <f>VLOOKUP($F758,[1]装箱单!$A:$E,5,0)</f>
        <v>34.925</v>
      </c>
      <c r="R758" s="8">
        <f>VLOOKUP($F758,[1]装箱单!$A:$F,6,0)</f>
        <v>22.225</v>
      </c>
      <c r="S758" s="8">
        <f>VLOOKUP($F758,[1]装箱单!$A:$G,7,0)</f>
        <v>19.05</v>
      </c>
      <c r="T758" s="10">
        <f>VLOOKUP($F758,[1]装箱单!$A:$J,10,0)</f>
        <v>0.01478676478125</v>
      </c>
      <c r="U758" s="11">
        <f t="shared" si="71"/>
        <v>2.1588676580625</v>
      </c>
    </row>
    <row r="759" ht="29.1" customHeight="1" spans="1:21">
      <c r="A759" s="40">
        <v>46158</v>
      </c>
      <c r="B759" s="41" t="s">
        <v>984</v>
      </c>
      <c r="C759" s="42" t="s">
        <v>985</v>
      </c>
      <c r="D759" s="43" t="s">
        <v>986</v>
      </c>
      <c r="E759" s="44" t="s">
        <v>987</v>
      </c>
      <c r="F759" s="135" t="s">
        <v>263</v>
      </c>
      <c r="G759" s="44" t="str">
        <f>VLOOKUP(F759,[1]装箱单!$A:$C,3,0)</f>
        <v>搪胶小鸭</v>
      </c>
      <c r="H759" s="44">
        <v>146</v>
      </c>
      <c r="I759" s="45">
        <v>7008</v>
      </c>
      <c r="J759" s="45" t="s">
        <v>32</v>
      </c>
      <c r="K759" s="45" t="s">
        <v>33</v>
      </c>
      <c r="L759" s="46">
        <v>146</v>
      </c>
      <c r="M759" s="43">
        <f t="shared" si="70"/>
        <v>2.1588676580625</v>
      </c>
      <c r="N759" s="46" t="s">
        <v>57</v>
      </c>
      <c r="O759" s="44" t="s">
        <v>774</v>
      </c>
      <c r="P759" s="48"/>
      <c r="Q759" s="8">
        <f>VLOOKUP($F759,[1]装箱单!$A:$E,5,0)</f>
        <v>34.925</v>
      </c>
      <c r="R759" s="8">
        <f>VLOOKUP($F759,[1]装箱单!$A:$F,6,0)</f>
        <v>22.225</v>
      </c>
      <c r="S759" s="8">
        <f>VLOOKUP($F759,[1]装箱单!$A:$G,7,0)</f>
        <v>19.05</v>
      </c>
      <c r="T759" s="10">
        <f>VLOOKUP($F759,[1]装箱单!$A:$J,10,0)</f>
        <v>0.01478676478125</v>
      </c>
      <c r="U759" s="11">
        <f t="shared" si="71"/>
        <v>2.1588676580625</v>
      </c>
    </row>
    <row r="760" ht="29.1" customHeight="1" spans="1:21">
      <c r="A760" s="40">
        <v>46158</v>
      </c>
      <c r="B760" s="41" t="s">
        <v>984</v>
      </c>
      <c r="C760" s="42" t="s">
        <v>985</v>
      </c>
      <c r="D760" s="43" t="s">
        <v>986</v>
      </c>
      <c r="E760" s="44" t="s">
        <v>987</v>
      </c>
      <c r="F760" s="135" t="s">
        <v>263</v>
      </c>
      <c r="G760" s="44" t="str">
        <f>VLOOKUP(F760,[1]装箱单!$A:$C,3,0)</f>
        <v>搪胶小鸭</v>
      </c>
      <c r="H760" s="44">
        <v>146</v>
      </c>
      <c r="I760" s="45">
        <v>7008</v>
      </c>
      <c r="J760" s="45" t="s">
        <v>32</v>
      </c>
      <c r="K760" s="45" t="s">
        <v>33</v>
      </c>
      <c r="L760" s="46">
        <v>146</v>
      </c>
      <c r="M760" s="43">
        <f t="shared" si="70"/>
        <v>2.1588676580625</v>
      </c>
      <c r="N760" s="46" t="s">
        <v>57</v>
      </c>
      <c r="O760" s="44" t="s">
        <v>777</v>
      </c>
      <c r="P760" s="48"/>
      <c r="Q760" s="8">
        <f>VLOOKUP($F760,[1]装箱单!$A:$E,5,0)</f>
        <v>34.925</v>
      </c>
      <c r="R760" s="8">
        <f>VLOOKUP($F760,[1]装箱单!$A:$F,6,0)</f>
        <v>22.225</v>
      </c>
      <c r="S760" s="8">
        <f>VLOOKUP($F760,[1]装箱单!$A:$G,7,0)</f>
        <v>19.05</v>
      </c>
      <c r="T760" s="10">
        <f>VLOOKUP($F760,[1]装箱单!$A:$J,10,0)</f>
        <v>0.01478676478125</v>
      </c>
      <c r="U760" s="11">
        <f t="shared" si="71"/>
        <v>2.1588676580625</v>
      </c>
    </row>
    <row r="761" ht="29.1" customHeight="1" spans="1:21">
      <c r="A761" s="40"/>
      <c r="B761" s="41"/>
      <c r="C761" s="42"/>
      <c r="D761" s="43"/>
      <c r="E761" s="44"/>
      <c r="F761" s="44"/>
      <c r="G761" s="44"/>
      <c r="H761" s="44"/>
      <c r="I761" s="45"/>
      <c r="J761" s="45"/>
      <c r="K761" s="45"/>
      <c r="L761" s="46"/>
      <c r="M761" s="43">
        <f>SUM(M751:M760)</f>
        <v>122.632685738588</v>
      </c>
      <c r="N761" s="46"/>
      <c r="O761" s="44"/>
      <c r="P761" s="51"/>
    </row>
    <row r="762" ht="29.1" customHeight="1" spans="1:21">
      <c r="A762" s="40">
        <v>46161</v>
      </c>
      <c r="B762" s="41" t="s">
        <v>52</v>
      </c>
      <c r="C762" s="42">
        <v>45724</v>
      </c>
      <c r="D762" s="43" t="s">
        <v>1043</v>
      </c>
      <c r="E762" s="44"/>
      <c r="F762" s="44" t="s">
        <v>63</v>
      </c>
      <c r="G762" s="44" t="str">
        <f>VLOOKUP(F762,[1]装箱单!$A:$C,3,0)</f>
        <v>卷发女孩</v>
      </c>
      <c r="H762" s="44">
        <v>750</v>
      </c>
      <c r="I762" s="45">
        <f>+L762*4</f>
        <v>3000</v>
      </c>
      <c r="J762" s="45" t="s">
        <v>32</v>
      </c>
      <c r="K762" s="45" t="s">
        <v>33</v>
      </c>
      <c r="L762" s="46">
        <v>750</v>
      </c>
      <c r="M762" s="43">
        <f t="shared" ref="M762:M769" si="72">+U762</f>
        <v>11.41691265</v>
      </c>
      <c r="N762" s="46" t="s">
        <v>34</v>
      </c>
      <c r="O762" s="44"/>
      <c r="P762" s="47" t="s">
        <v>424</v>
      </c>
      <c r="Q762" s="8">
        <f>VLOOKUP($F762,[1]装箱单!$A:$E,5,0)</f>
        <v>27.94</v>
      </c>
      <c r="R762" s="8">
        <f>VLOOKUP($F762,[1]装箱单!$A:$F,6,0)</f>
        <v>16.51</v>
      </c>
      <c r="S762" s="8">
        <f>VLOOKUP($F762,[1]装箱单!$A:$G,7,0)</f>
        <v>33</v>
      </c>
      <c r="T762" s="10">
        <f>VLOOKUP($F762,[1]装箱单!$A:$J,10,0)</f>
        <v>0.0152225502</v>
      </c>
      <c r="U762" s="11">
        <f t="shared" ref="U762:U769" si="73">+T762*L762</f>
        <v>11.41691265</v>
      </c>
    </row>
    <row r="763" ht="29.1" customHeight="1" spans="1:21">
      <c r="A763" s="40">
        <v>46161</v>
      </c>
      <c r="B763" s="41" t="s">
        <v>52</v>
      </c>
      <c r="C763" s="42">
        <v>45727</v>
      </c>
      <c r="D763" s="43" t="s">
        <v>1044</v>
      </c>
      <c r="E763" s="44"/>
      <c r="F763" s="44">
        <v>470534</v>
      </c>
      <c r="G763" s="44" t="str">
        <f>VLOOKUP(F763,[1]装箱单!$A:$C,3,0)</f>
        <v>搪胶公仔白种人</v>
      </c>
      <c r="H763" s="44">
        <v>1000</v>
      </c>
      <c r="I763" s="45">
        <f>+L763*3</f>
        <v>2700</v>
      </c>
      <c r="J763" s="45" t="s">
        <v>32</v>
      </c>
      <c r="K763" s="45" t="s">
        <v>33</v>
      </c>
      <c r="L763" s="44">
        <v>900</v>
      </c>
      <c r="M763" s="43">
        <f t="shared" si="72"/>
        <v>26.511568654176</v>
      </c>
      <c r="N763" s="46" t="s">
        <v>34</v>
      </c>
      <c r="O763" s="44"/>
      <c r="P763" s="48"/>
      <c r="Q763" s="8">
        <f>VLOOKUP($F763,[1]装箱单!$A:$E,5,0)</f>
        <v>40.64</v>
      </c>
      <c r="R763" s="8">
        <f>VLOOKUP($F763,[1]装箱单!$A:$F,6,0)</f>
        <v>21.701</v>
      </c>
      <c r="S763" s="8">
        <f>VLOOKUP($F763,[1]装箱单!$A:$G,7,0)</f>
        <v>33.401</v>
      </c>
      <c r="T763" s="10">
        <f>VLOOKUP($F763,[1]装箱单!$A:$J,10,0)</f>
        <v>0.02945729850464</v>
      </c>
      <c r="U763" s="11">
        <f t="shared" si="73"/>
        <v>26.511568654176</v>
      </c>
    </row>
    <row r="764" ht="29.1" customHeight="1" spans="1:21">
      <c r="A764" s="40">
        <v>46161</v>
      </c>
      <c r="B764" s="41" t="s">
        <v>52</v>
      </c>
      <c r="C764" s="42">
        <v>45727</v>
      </c>
      <c r="D764" s="43" t="s">
        <v>1044</v>
      </c>
      <c r="E764" s="44"/>
      <c r="F764" s="44">
        <v>470535</v>
      </c>
      <c r="G764" s="44" t="str">
        <f>VLOOKUP(F764,[1]装箱单!$A:$C,3,0)</f>
        <v>搪胶公仔亚洲人</v>
      </c>
      <c r="H764" s="44">
        <v>1000</v>
      </c>
      <c r="I764" s="45">
        <f>+L764*3</f>
        <v>2475</v>
      </c>
      <c r="J764" s="45" t="s">
        <v>32</v>
      </c>
      <c r="K764" s="45" t="s">
        <v>33</v>
      </c>
      <c r="L764" s="44">
        <v>825</v>
      </c>
      <c r="M764" s="43">
        <f t="shared" si="72"/>
        <v>24.302271266328</v>
      </c>
      <c r="N764" s="46" t="s">
        <v>34</v>
      </c>
      <c r="O764" s="44"/>
      <c r="P764" s="48"/>
      <c r="Q764" s="8">
        <f>VLOOKUP($F764,[1]装箱单!$A:$E,5,0)</f>
        <v>40.64</v>
      </c>
      <c r="R764" s="8">
        <f>VLOOKUP($F764,[1]装箱单!$A:$F,6,0)</f>
        <v>21.701</v>
      </c>
      <c r="S764" s="8">
        <f>VLOOKUP($F764,[1]装箱单!$A:$G,7,0)</f>
        <v>33.401</v>
      </c>
      <c r="T764" s="10">
        <f>VLOOKUP($F764,[1]装箱单!$A:$J,10,0)</f>
        <v>0.02945729850464</v>
      </c>
      <c r="U764" s="11">
        <f t="shared" si="73"/>
        <v>24.302271266328</v>
      </c>
    </row>
    <row r="765" ht="29.1" customHeight="1" spans="1:21">
      <c r="A765" s="40">
        <v>46161</v>
      </c>
      <c r="B765" s="41" t="s">
        <v>52</v>
      </c>
      <c r="C765" s="42">
        <v>45727</v>
      </c>
      <c r="D765" s="43" t="s">
        <v>1044</v>
      </c>
      <c r="E765" s="44"/>
      <c r="F765" s="44">
        <v>470536</v>
      </c>
      <c r="G765" s="44" t="str">
        <f>VLOOKUP(F765,[1]装箱单!$A:$C,3,0)</f>
        <v>搪胶公仔西班牙人</v>
      </c>
      <c r="H765" s="44">
        <v>1000</v>
      </c>
      <c r="I765" s="45">
        <f>+L765*3</f>
        <v>3000</v>
      </c>
      <c r="J765" s="45" t="s">
        <v>32</v>
      </c>
      <c r="K765" s="45" t="s">
        <v>33</v>
      </c>
      <c r="L765" s="44">
        <v>1000</v>
      </c>
      <c r="M765" s="43">
        <f t="shared" si="72"/>
        <v>29.45729850464</v>
      </c>
      <c r="N765" s="46" t="s">
        <v>34</v>
      </c>
      <c r="O765" s="44"/>
      <c r="P765" s="48"/>
      <c r="Q765" s="8">
        <f>VLOOKUP($F765,[1]装箱单!$A:$E,5,0)</f>
        <v>40.64</v>
      </c>
      <c r="R765" s="8">
        <f>VLOOKUP($F765,[1]装箱单!$A:$F,6,0)</f>
        <v>21.701</v>
      </c>
      <c r="S765" s="8">
        <f>VLOOKUP($F765,[1]装箱单!$A:$G,7,0)</f>
        <v>33.401</v>
      </c>
      <c r="T765" s="10">
        <f>VLOOKUP($F765,[1]装箱单!$A:$J,10,0)</f>
        <v>0.02945729850464</v>
      </c>
      <c r="U765" s="11">
        <f t="shared" si="73"/>
        <v>29.45729850464</v>
      </c>
    </row>
    <row r="766" ht="29.1" customHeight="1" spans="1:21">
      <c r="A766" s="40">
        <v>46161</v>
      </c>
      <c r="B766" s="41" t="s">
        <v>52</v>
      </c>
      <c r="C766" s="42">
        <v>45727</v>
      </c>
      <c r="D766" s="43" t="s">
        <v>1044</v>
      </c>
      <c r="E766" s="44"/>
      <c r="F766" s="44">
        <v>470537</v>
      </c>
      <c r="G766" s="44" t="str">
        <f>VLOOKUP(F766,[1]装箱单!$A:$C,3,0)</f>
        <v>搪胶公仔非洲人</v>
      </c>
      <c r="H766" s="44">
        <v>1000</v>
      </c>
      <c r="I766" s="45">
        <f>+L766*3</f>
        <v>3000</v>
      </c>
      <c r="J766" s="45" t="s">
        <v>32</v>
      </c>
      <c r="K766" s="45" t="s">
        <v>33</v>
      </c>
      <c r="L766" s="44">
        <v>1000</v>
      </c>
      <c r="M766" s="43">
        <f t="shared" si="72"/>
        <v>29.45729850464</v>
      </c>
      <c r="N766" s="46" t="s">
        <v>34</v>
      </c>
      <c r="O766" s="44"/>
      <c r="P766" s="48"/>
      <c r="Q766" s="8">
        <f>VLOOKUP($F766,[1]装箱单!$A:$E,5,0)</f>
        <v>40.64</v>
      </c>
      <c r="R766" s="8">
        <f>VLOOKUP($F766,[1]装箱单!$A:$F,6,0)</f>
        <v>21.701</v>
      </c>
      <c r="S766" s="8">
        <f>VLOOKUP($F766,[1]装箱单!$A:$G,7,0)</f>
        <v>33.401</v>
      </c>
      <c r="T766" s="10">
        <f>VLOOKUP($F766,[1]装箱单!$A:$J,10,0)</f>
        <v>0.02945729850464</v>
      </c>
      <c r="U766" s="11">
        <f t="shared" si="73"/>
        <v>29.45729850464</v>
      </c>
    </row>
    <row r="767" ht="29.1" customHeight="1" spans="1:21">
      <c r="A767" s="40">
        <v>46161</v>
      </c>
      <c r="B767" s="41" t="s">
        <v>905</v>
      </c>
      <c r="C767" s="42" t="s">
        <v>1045</v>
      </c>
      <c r="D767" s="43" t="s">
        <v>1046</v>
      </c>
      <c r="E767" s="44"/>
      <c r="F767" s="44">
        <v>571299</v>
      </c>
      <c r="G767" s="44" t="str">
        <f>VLOOKUP(F767,[1]装箱单!$A:$C,3,0)</f>
        <v>自卸车</v>
      </c>
      <c r="H767" s="44">
        <v>120</v>
      </c>
      <c r="I767" s="45">
        <f>+L767</f>
        <v>120</v>
      </c>
      <c r="J767" s="45" t="s">
        <v>32</v>
      </c>
      <c r="K767" s="45" t="s">
        <v>33</v>
      </c>
      <c r="L767" s="46">
        <v>120</v>
      </c>
      <c r="M767" s="43">
        <f t="shared" si="72"/>
        <v>3.21552</v>
      </c>
      <c r="N767" s="46" t="s">
        <v>34</v>
      </c>
      <c r="O767" s="44"/>
      <c r="P767" s="48"/>
      <c r="Q767" s="8">
        <f>VLOOKUP($F767,[1]装箱单!$A:$E,5,0)</f>
        <v>42</v>
      </c>
      <c r="R767" s="8">
        <f>VLOOKUP($F767,[1]装箱单!$A:$F,6,0)</f>
        <v>22</v>
      </c>
      <c r="S767" s="8">
        <f>VLOOKUP($F767,[1]装箱单!$A:$G,7,0)</f>
        <v>29</v>
      </c>
      <c r="T767" s="10">
        <f>VLOOKUP($F767,[1]装箱单!$A:$J,10,0)</f>
        <v>0.026796</v>
      </c>
      <c r="U767" s="11">
        <f t="shared" si="73"/>
        <v>3.21552</v>
      </c>
    </row>
    <row r="768" ht="29.1" customHeight="1" spans="1:21">
      <c r="A768" s="40">
        <v>46161</v>
      </c>
      <c r="B768" s="41" t="s">
        <v>905</v>
      </c>
      <c r="C768" s="42" t="s">
        <v>1047</v>
      </c>
      <c r="D768" s="43" t="s">
        <v>1046</v>
      </c>
      <c r="E768" s="44"/>
      <c r="F768" s="44">
        <v>571299</v>
      </c>
      <c r="G768" s="44" t="str">
        <f>VLOOKUP(F768,[1]装箱单!$A:$C,3,0)</f>
        <v>自卸车</v>
      </c>
      <c r="H768" s="44">
        <v>180</v>
      </c>
      <c r="I768" s="45">
        <f>+L768</f>
        <v>180</v>
      </c>
      <c r="J768" s="45" t="s">
        <v>32</v>
      </c>
      <c r="K768" s="45" t="s">
        <v>33</v>
      </c>
      <c r="L768" s="46">
        <v>180</v>
      </c>
      <c r="M768" s="43">
        <f t="shared" si="72"/>
        <v>4.82328</v>
      </c>
      <c r="N768" s="46" t="s">
        <v>34</v>
      </c>
      <c r="O768" s="44"/>
      <c r="P768" s="48"/>
      <c r="Q768" s="8">
        <f>VLOOKUP($F768,[1]装箱单!$A:$E,5,0)</f>
        <v>42</v>
      </c>
      <c r="R768" s="8">
        <f>VLOOKUP($F768,[1]装箱单!$A:$F,6,0)</f>
        <v>22</v>
      </c>
      <c r="S768" s="8">
        <f>VLOOKUP($F768,[1]装箱单!$A:$G,7,0)</f>
        <v>29</v>
      </c>
      <c r="T768" s="10">
        <f>VLOOKUP($F768,[1]装箱单!$A:$J,10,0)</f>
        <v>0.026796</v>
      </c>
      <c r="U768" s="11">
        <f t="shared" si="73"/>
        <v>4.82328</v>
      </c>
    </row>
    <row r="769" ht="29.1" customHeight="1" spans="1:21">
      <c r="A769" s="40">
        <v>46161</v>
      </c>
      <c r="B769" s="41" t="s">
        <v>905</v>
      </c>
      <c r="C769" s="42" t="s">
        <v>1048</v>
      </c>
      <c r="D769" s="43" t="s">
        <v>1046</v>
      </c>
      <c r="E769" s="44"/>
      <c r="F769" s="44">
        <v>571299</v>
      </c>
      <c r="G769" s="44" t="str">
        <f>VLOOKUP(F769,[1]装箱单!$A:$C,3,0)</f>
        <v>自卸车</v>
      </c>
      <c r="H769" s="44">
        <v>391</v>
      </c>
      <c r="I769" s="45">
        <f>+L769</f>
        <v>391</v>
      </c>
      <c r="J769" s="45" t="s">
        <v>32</v>
      </c>
      <c r="K769" s="45" t="s">
        <v>33</v>
      </c>
      <c r="L769" s="46">
        <v>391</v>
      </c>
      <c r="M769" s="43">
        <f t="shared" si="72"/>
        <v>10.477236</v>
      </c>
      <c r="N769" s="46" t="s">
        <v>34</v>
      </c>
      <c r="O769" s="44"/>
      <c r="P769" s="48"/>
      <c r="Q769" s="8">
        <f>VLOOKUP($F769,[1]装箱单!$A:$E,5,0)</f>
        <v>42</v>
      </c>
      <c r="R769" s="8">
        <f>VLOOKUP($F769,[1]装箱单!$A:$F,6,0)</f>
        <v>22</v>
      </c>
      <c r="S769" s="8">
        <f>VLOOKUP($F769,[1]装箱单!$A:$G,7,0)</f>
        <v>29</v>
      </c>
      <c r="T769" s="10">
        <f>VLOOKUP($F769,[1]装箱单!$A:$J,10,0)</f>
        <v>0.026796</v>
      </c>
      <c r="U769" s="11">
        <f t="shared" si="73"/>
        <v>10.477236</v>
      </c>
    </row>
    <row r="770" ht="29.1" customHeight="1" spans="1:21">
      <c r="A770" s="40"/>
      <c r="B770" s="41"/>
      <c r="C770" s="42"/>
      <c r="D770" s="43"/>
      <c r="E770" s="44"/>
      <c r="F770" s="44"/>
      <c r="G770" s="44"/>
      <c r="H770" s="44"/>
      <c r="I770" s="45"/>
      <c r="J770" s="45"/>
      <c r="K770" s="45"/>
      <c r="L770" s="46"/>
      <c r="M770" s="43">
        <f>SUM(M762:M769)</f>
        <v>139.661385579784</v>
      </c>
      <c r="N770" s="46"/>
      <c r="O770" s="44"/>
      <c r="P770" s="51"/>
    </row>
    <row r="771" ht="29.1" customHeight="1" spans="1:21">
      <c r="A771" s="40">
        <v>46162</v>
      </c>
      <c r="B771" s="41" t="s">
        <v>52</v>
      </c>
      <c r="C771" s="42">
        <v>45871</v>
      </c>
      <c r="D771" s="43" t="s">
        <v>1049</v>
      </c>
      <c r="E771" s="44"/>
      <c r="F771" s="44">
        <v>470191</v>
      </c>
      <c r="G771" s="44" t="str">
        <f>VLOOKUP(F771,[1]装箱单!$A:$C,3,0)</f>
        <v>巴比斯农舍</v>
      </c>
      <c r="H771" s="44">
        <v>3000</v>
      </c>
      <c r="I771" s="45">
        <f>+L771</f>
        <v>2294</v>
      </c>
      <c r="J771" s="45" t="s">
        <v>32</v>
      </c>
      <c r="K771" s="45" t="s">
        <v>33</v>
      </c>
      <c r="L771" s="46">
        <v>2294</v>
      </c>
      <c r="M771" s="43">
        <f>+U771</f>
        <v>144.00585</v>
      </c>
      <c r="N771" s="46" t="s">
        <v>34</v>
      </c>
      <c r="O771" s="44"/>
      <c r="P771" s="47" t="s">
        <v>53</v>
      </c>
      <c r="Q771" s="8">
        <f>VLOOKUP($F771,[1]装箱单!$A:$E,5,0)</f>
        <v>62</v>
      </c>
      <c r="R771" s="8">
        <f>VLOOKUP($F771,[1]装箱单!$A:$F,6,0)</f>
        <v>25</v>
      </c>
      <c r="S771" s="8">
        <f>VLOOKUP($F771,[1]装箱单!$A:$G,7,0)</f>
        <v>40.5</v>
      </c>
      <c r="T771" s="10">
        <f>VLOOKUP($F771,[1]装箱单!$A:$J,10,0)</f>
        <v>0.062775</v>
      </c>
      <c r="U771" s="11">
        <f>+T771*L771</f>
        <v>144.00585</v>
      </c>
    </row>
    <row r="772" ht="29.1" customHeight="1" spans="1:21">
      <c r="A772" s="40">
        <v>46162</v>
      </c>
      <c r="B772" s="41" t="s">
        <v>1050</v>
      </c>
      <c r="C772" s="42" t="s">
        <v>1051</v>
      </c>
      <c r="D772" s="43" t="s">
        <v>1052</v>
      </c>
      <c r="E772" s="44"/>
      <c r="F772" s="44">
        <v>46099</v>
      </c>
      <c r="G772" s="44" t="str">
        <f>VLOOKUP(F772,[1]装箱单!$A:$C,3,0)</f>
        <v>米奇老鼠系列</v>
      </c>
      <c r="H772" s="44">
        <v>250</v>
      </c>
      <c r="I772" s="45">
        <v>500</v>
      </c>
      <c r="J772" s="45" t="s">
        <v>32</v>
      </c>
      <c r="K772" s="45" t="s">
        <v>33</v>
      </c>
      <c r="L772" s="46">
        <v>250</v>
      </c>
      <c r="M772" s="43">
        <f>+U772</f>
        <v>5.591429508</v>
      </c>
      <c r="N772" s="46" t="s">
        <v>34</v>
      </c>
      <c r="O772" s="44"/>
      <c r="P772" s="48"/>
      <c r="Q772" s="8">
        <f>VLOOKUP($F772,[1]装箱单!$A:$E,5,0)</f>
        <v>40.01</v>
      </c>
      <c r="R772" s="8">
        <f>VLOOKUP($F772,[1]装箱单!$A:$F,6,0)</f>
        <v>26.67</v>
      </c>
      <c r="S772" s="8">
        <f>VLOOKUP($F772,[1]装箱单!$A:$G,7,0)</f>
        <v>20.96</v>
      </c>
      <c r="T772" s="10">
        <f>VLOOKUP($F772,[1]装箱单!$A:$J,10,0)</f>
        <v>0.022365718032</v>
      </c>
      <c r="U772" s="11">
        <f>+T772*L772</f>
        <v>5.591429508</v>
      </c>
    </row>
    <row r="773" ht="29.1" customHeight="1" spans="1:21">
      <c r="A773" s="40">
        <v>46162</v>
      </c>
      <c r="B773" s="41" t="s">
        <v>1050</v>
      </c>
      <c r="C773" s="42" t="s">
        <v>1051</v>
      </c>
      <c r="D773" s="43" t="s">
        <v>1052</v>
      </c>
      <c r="E773" s="44"/>
      <c r="F773" s="44">
        <v>46097</v>
      </c>
      <c r="G773" s="44" t="str">
        <f>VLOOKUP(F773,[1]装箱单!$A:$C,3,0)</f>
        <v>小熊维尼历险记系列</v>
      </c>
      <c r="H773" s="44">
        <v>250</v>
      </c>
      <c r="I773" s="45">
        <v>500</v>
      </c>
      <c r="J773" s="45" t="s">
        <v>32</v>
      </c>
      <c r="K773" s="45" t="s">
        <v>33</v>
      </c>
      <c r="L773" s="46">
        <v>250</v>
      </c>
      <c r="M773" s="43">
        <f>+U773</f>
        <v>5.591429508</v>
      </c>
      <c r="N773" s="46" t="s">
        <v>34</v>
      </c>
      <c r="O773" s="44"/>
      <c r="P773" s="48"/>
      <c r="Q773" s="8">
        <f>VLOOKUP($F773,[1]装箱单!$A:$E,5,0)</f>
        <v>40.01</v>
      </c>
      <c r="R773" s="8">
        <f>VLOOKUP($F773,[1]装箱单!$A:$F,6,0)</f>
        <v>26.67</v>
      </c>
      <c r="S773" s="8">
        <f>VLOOKUP($F773,[1]装箱单!$A:$G,7,0)</f>
        <v>20.96</v>
      </c>
      <c r="T773" s="10">
        <f>VLOOKUP($F773,[1]装箱单!$A:$J,10,0)</f>
        <v>0.022365718032</v>
      </c>
      <c r="U773" s="11">
        <f>+T773*L773</f>
        <v>5.591429508</v>
      </c>
    </row>
    <row r="774" ht="29.1" customHeight="1" spans="1:21">
      <c r="A774" s="40">
        <v>46162</v>
      </c>
      <c r="B774" s="41" t="s">
        <v>52</v>
      </c>
      <c r="C774" s="42">
        <v>45727</v>
      </c>
      <c r="D774" s="43" t="s">
        <v>1044</v>
      </c>
      <c r="E774" s="44"/>
      <c r="F774" s="44">
        <v>470534</v>
      </c>
      <c r="G774" s="44" t="str">
        <f>VLOOKUP(F774,[1]装箱单!$A:$C,3,0)</f>
        <v>搪胶公仔白种人</v>
      </c>
      <c r="H774" s="44">
        <v>1000</v>
      </c>
      <c r="I774" s="45">
        <f>+L774*3</f>
        <v>300</v>
      </c>
      <c r="J774" s="45" t="s">
        <v>32</v>
      </c>
      <c r="K774" s="45" t="s">
        <v>33</v>
      </c>
      <c r="L774" s="44">
        <v>100</v>
      </c>
      <c r="M774" s="43">
        <f>+U774</f>
        <v>2.945729850464</v>
      </c>
      <c r="N774" s="46" t="s">
        <v>34</v>
      </c>
      <c r="O774" s="44"/>
      <c r="P774" s="48"/>
      <c r="Q774" s="8">
        <f>VLOOKUP($F774,[1]装箱单!$A:$E,5,0)</f>
        <v>40.64</v>
      </c>
      <c r="R774" s="8">
        <f>VLOOKUP($F774,[1]装箱单!$A:$F,6,0)</f>
        <v>21.701</v>
      </c>
      <c r="S774" s="8">
        <f>VLOOKUP($F774,[1]装箱单!$A:$G,7,0)</f>
        <v>33.401</v>
      </c>
      <c r="T774" s="10">
        <f>VLOOKUP($F774,[1]装箱单!$A:$J,10,0)</f>
        <v>0.02945729850464</v>
      </c>
      <c r="U774" s="11">
        <f>+T774*L774</f>
        <v>2.945729850464</v>
      </c>
    </row>
    <row r="775" ht="29.1" customHeight="1" spans="1:21">
      <c r="A775" s="40">
        <v>46162</v>
      </c>
      <c r="B775" s="41" t="s">
        <v>52</v>
      </c>
      <c r="C775" s="42">
        <v>45727</v>
      </c>
      <c r="D775" s="43" t="s">
        <v>1044</v>
      </c>
      <c r="E775" s="44"/>
      <c r="F775" s="44">
        <v>470535</v>
      </c>
      <c r="G775" s="44" t="str">
        <f>VLOOKUP(F775,[1]装箱单!$A:$C,3,0)</f>
        <v>搪胶公仔亚洲人</v>
      </c>
      <c r="H775" s="44">
        <v>1000</v>
      </c>
      <c r="I775" s="45">
        <f>+L775*3</f>
        <v>525</v>
      </c>
      <c r="J775" s="45" t="s">
        <v>32</v>
      </c>
      <c r="K775" s="45" t="s">
        <v>33</v>
      </c>
      <c r="L775" s="44">
        <v>175</v>
      </c>
      <c r="M775" s="43">
        <f>+U775</f>
        <v>5.155027238312</v>
      </c>
      <c r="N775" s="46" t="s">
        <v>34</v>
      </c>
      <c r="O775" s="44"/>
      <c r="P775" s="48"/>
      <c r="Q775" s="8">
        <f>VLOOKUP($F775,[1]装箱单!$A:$E,5,0)</f>
        <v>40.64</v>
      </c>
      <c r="R775" s="8">
        <f>VLOOKUP($F775,[1]装箱单!$A:$F,6,0)</f>
        <v>21.701</v>
      </c>
      <c r="S775" s="8">
        <f>VLOOKUP($F775,[1]装箱单!$A:$G,7,0)</f>
        <v>33.401</v>
      </c>
      <c r="T775" s="10">
        <f>VLOOKUP($F775,[1]装箱单!$A:$J,10,0)</f>
        <v>0.02945729850464</v>
      </c>
      <c r="U775" s="11">
        <f>+T775*L775</f>
        <v>5.155027238312</v>
      </c>
    </row>
    <row r="776" ht="29.1" customHeight="1" spans="1:21">
      <c r="A776" s="40">
        <v>46162</v>
      </c>
      <c r="B776" s="41"/>
      <c r="C776" s="42"/>
      <c r="D776" s="43"/>
      <c r="E776" s="44"/>
      <c r="F776" s="44">
        <v>470534</v>
      </c>
      <c r="G776" s="44" t="s">
        <v>1053</v>
      </c>
      <c r="H776" s="44">
        <v>15</v>
      </c>
      <c r="I776" s="44">
        <v>15</v>
      </c>
      <c r="J776" s="45" t="s">
        <v>32</v>
      </c>
      <c r="K776" s="45" t="s">
        <v>218</v>
      </c>
      <c r="L776" s="44"/>
      <c r="M776" s="43"/>
      <c r="N776" s="46"/>
      <c r="O776" s="44"/>
      <c r="P776" s="48"/>
    </row>
    <row r="777" ht="29.1" customHeight="1" spans="1:21">
      <c r="A777" s="40">
        <v>46162</v>
      </c>
      <c r="B777" s="41"/>
      <c r="C777" s="42"/>
      <c r="D777" s="43"/>
      <c r="E777" s="44"/>
      <c r="F777" s="44">
        <v>470535</v>
      </c>
      <c r="G777" s="44" t="s">
        <v>1053</v>
      </c>
      <c r="H777" s="44">
        <v>15</v>
      </c>
      <c r="I777" s="44">
        <v>15</v>
      </c>
      <c r="J777" s="45" t="s">
        <v>32</v>
      </c>
      <c r="K777" s="45" t="s">
        <v>218</v>
      </c>
      <c r="L777" s="44"/>
      <c r="M777" s="43"/>
      <c r="N777" s="46"/>
      <c r="O777" s="44"/>
      <c r="P777" s="48"/>
    </row>
    <row r="778" ht="29.1" customHeight="1" spans="1:21">
      <c r="A778" s="40">
        <v>46162</v>
      </c>
      <c r="B778" s="41"/>
      <c r="C778" s="42"/>
      <c r="D778" s="43"/>
      <c r="E778" s="44"/>
      <c r="F778" s="44"/>
      <c r="G778" s="44" t="s">
        <v>386</v>
      </c>
      <c r="H778" s="44">
        <v>7</v>
      </c>
      <c r="I778" s="44">
        <v>7</v>
      </c>
      <c r="J778" s="45" t="s">
        <v>32</v>
      </c>
      <c r="K778" s="45" t="s">
        <v>218</v>
      </c>
      <c r="L778" s="44"/>
      <c r="M778" s="43"/>
      <c r="N778" s="46"/>
      <c r="O778" s="44"/>
      <c r="P778" s="48"/>
    </row>
    <row r="779" ht="29.1" customHeight="1" spans="1:21">
      <c r="A779" s="40">
        <v>46162</v>
      </c>
      <c r="B779" s="41"/>
      <c r="C779" s="42"/>
      <c r="D779" s="43"/>
      <c r="E779" s="44"/>
      <c r="F779" s="44"/>
      <c r="G779" s="44" t="s">
        <v>1054</v>
      </c>
      <c r="H779" s="44">
        <v>2</v>
      </c>
      <c r="I779" s="44">
        <v>2</v>
      </c>
      <c r="J779" s="45" t="s">
        <v>32</v>
      </c>
      <c r="K779" s="45" t="s">
        <v>218</v>
      </c>
      <c r="L779" s="44"/>
      <c r="M779" s="43"/>
      <c r="N779" s="46"/>
      <c r="O779" s="44"/>
      <c r="P779" s="48"/>
    </row>
    <row r="780" ht="29.1" customHeight="1" spans="1:21">
      <c r="A780" s="40">
        <v>46162</v>
      </c>
      <c r="B780" s="41"/>
      <c r="C780" s="42"/>
      <c r="D780" s="43"/>
      <c r="E780" s="44"/>
      <c r="F780" s="44"/>
      <c r="G780" s="44" t="s">
        <v>1055</v>
      </c>
      <c r="H780" s="44">
        <v>1</v>
      </c>
      <c r="I780" s="44">
        <v>1</v>
      </c>
      <c r="J780" s="45" t="s">
        <v>47</v>
      </c>
      <c r="K780" s="45" t="s">
        <v>218</v>
      </c>
      <c r="L780" s="44"/>
      <c r="M780" s="43"/>
      <c r="N780" s="46"/>
      <c r="O780" s="44"/>
      <c r="P780" s="48"/>
    </row>
    <row r="781" ht="29.1" customHeight="1" spans="1:21">
      <c r="A781" s="40"/>
      <c r="B781" s="41"/>
      <c r="C781" s="42"/>
      <c r="D781" s="43"/>
      <c r="E781" s="44"/>
      <c r="F781" s="44"/>
      <c r="G781" s="44"/>
      <c r="H781" s="44"/>
      <c r="I781" s="45"/>
      <c r="J781" s="45"/>
      <c r="K781" s="45"/>
      <c r="L781" s="44"/>
      <c r="M781" s="43">
        <f>SUM(M771:M775)</f>
        <v>163.289466104776</v>
      </c>
      <c r="N781" s="46"/>
      <c r="O781" s="44"/>
      <c r="P781" s="51"/>
    </row>
    <row r="782" ht="29.1" customHeight="1" spans="1:21">
      <c r="A782" s="40">
        <v>46163</v>
      </c>
      <c r="B782" s="41" t="s">
        <v>905</v>
      </c>
      <c r="C782" s="42" t="s">
        <v>1056</v>
      </c>
      <c r="D782" s="43" t="s">
        <v>1046</v>
      </c>
      <c r="E782" s="44"/>
      <c r="F782" s="44">
        <v>571299</v>
      </c>
      <c r="G782" s="44" t="str">
        <f>VLOOKUP(F782,[1]装箱单!$A:$C,3,0)</f>
        <v>自卸车</v>
      </c>
      <c r="H782" s="44">
        <v>597</v>
      </c>
      <c r="I782" s="45">
        <f t="shared" ref="I782:I788" si="74">+L782</f>
        <v>597</v>
      </c>
      <c r="J782" s="45" t="s">
        <v>32</v>
      </c>
      <c r="K782" s="45" t="s">
        <v>33</v>
      </c>
      <c r="L782" s="46">
        <v>597</v>
      </c>
      <c r="M782" s="43">
        <f t="shared" ref="M782:M788" si="75">+U782</f>
        <v>15.997212</v>
      </c>
      <c r="N782" s="46" t="s">
        <v>34</v>
      </c>
      <c r="O782" s="44"/>
      <c r="P782" s="47" t="s">
        <v>1057</v>
      </c>
      <c r="Q782" s="8">
        <f>VLOOKUP($F782,[1]装箱单!$A:$E,5,0)</f>
        <v>42</v>
      </c>
      <c r="R782" s="8">
        <f>VLOOKUP($F782,[1]装箱单!$A:$F,6,0)</f>
        <v>22</v>
      </c>
      <c r="S782" s="8">
        <f>VLOOKUP($F782,[1]装箱单!$A:$G,7,0)</f>
        <v>29</v>
      </c>
      <c r="T782" s="10">
        <f>VLOOKUP($F782,[1]装箱单!$A:$J,10,0)</f>
        <v>0.026796</v>
      </c>
      <c r="U782" s="11">
        <f t="shared" ref="U782:U788" si="76">+T782*L782</f>
        <v>15.997212</v>
      </c>
    </row>
    <row r="783" ht="29.1" customHeight="1" spans="1:21">
      <c r="A783" s="40">
        <v>46163</v>
      </c>
      <c r="B783" s="41" t="s">
        <v>905</v>
      </c>
      <c r="C783" s="42" t="s">
        <v>1058</v>
      </c>
      <c r="D783" s="43" t="s">
        <v>1046</v>
      </c>
      <c r="E783" s="44"/>
      <c r="F783" s="44">
        <v>571299</v>
      </c>
      <c r="G783" s="44" t="str">
        <f>VLOOKUP(F783,[1]装箱单!$A:$C,3,0)</f>
        <v>自卸车</v>
      </c>
      <c r="H783" s="44">
        <v>289</v>
      </c>
      <c r="I783" s="45">
        <f t="shared" si="74"/>
        <v>289</v>
      </c>
      <c r="J783" s="45" t="s">
        <v>32</v>
      </c>
      <c r="K783" s="45" t="s">
        <v>33</v>
      </c>
      <c r="L783" s="46">
        <v>289</v>
      </c>
      <c r="M783" s="43">
        <f t="shared" si="75"/>
        <v>7.744044</v>
      </c>
      <c r="N783" s="46" t="s">
        <v>34</v>
      </c>
      <c r="O783" s="44"/>
      <c r="P783" s="48"/>
      <c r="Q783" s="8">
        <f>VLOOKUP($F783,[1]装箱单!$A:$E,5,0)</f>
        <v>42</v>
      </c>
      <c r="R783" s="8">
        <f>VLOOKUP($F783,[1]装箱单!$A:$F,6,0)</f>
        <v>22</v>
      </c>
      <c r="S783" s="8">
        <f>VLOOKUP($F783,[1]装箱单!$A:$G,7,0)</f>
        <v>29</v>
      </c>
      <c r="T783" s="10">
        <f>VLOOKUP($F783,[1]装箱单!$A:$J,10,0)</f>
        <v>0.026796</v>
      </c>
      <c r="U783" s="11">
        <f t="shared" si="76"/>
        <v>7.744044</v>
      </c>
    </row>
    <row r="784" ht="29.1" customHeight="1" spans="1:21">
      <c r="A784" s="40">
        <v>46163</v>
      </c>
      <c r="B784" s="41" t="s">
        <v>905</v>
      </c>
      <c r="C784" s="42" t="s">
        <v>1059</v>
      </c>
      <c r="D784" s="43" t="s">
        <v>1046</v>
      </c>
      <c r="E784" s="44"/>
      <c r="F784" s="44">
        <v>571299</v>
      </c>
      <c r="G784" s="44" t="str">
        <f>VLOOKUP(F784,[1]装箱单!$A:$C,3,0)</f>
        <v>自卸车</v>
      </c>
      <c r="H784" s="44">
        <v>223</v>
      </c>
      <c r="I784" s="45">
        <f t="shared" si="74"/>
        <v>223</v>
      </c>
      <c r="J784" s="45" t="s">
        <v>32</v>
      </c>
      <c r="K784" s="45" t="s">
        <v>33</v>
      </c>
      <c r="L784" s="46">
        <v>223</v>
      </c>
      <c r="M784" s="43">
        <f t="shared" si="75"/>
        <v>5.975508</v>
      </c>
      <c r="N784" s="46" t="s">
        <v>34</v>
      </c>
      <c r="O784" s="44"/>
      <c r="P784" s="48"/>
      <c r="Q784" s="8">
        <f>VLOOKUP($F784,[1]装箱单!$A:$E,5,0)</f>
        <v>42</v>
      </c>
      <c r="R784" s="8">
        <f>VLOOKUP($F784,[1]装箱单!$A:$F,6,0)</f>
        <v>22</v>
      </c>
      <c r="S784" s="8">
        <f>VLOOKUP($F784,[1]装箱单!$A:$G,7,0)</f>
        <v>29</v>
      </c>
      <c r="T784" s="10">
        <f>VLOOKUP($F784,[1]装箱单!$A:$J,10,0)</f>
        <v>0.026796</v>
      </c>
      <c r="U784" s="11">
        <f t="shared" si="76"/>
        <v>5.975508</v>
      </c>
    </row>
    <row r="785" ht="29.1" customHeight="1" spans="1:21">
      <c r="A785" s="40">
        <v>46163</v>
      </c>
      <c r="B785" s="41" t="s">
        <v>905</v>
      </c>
      <c r="C785" s="42" t="s">
        <v>1060</v>
      </c>
      <c r="D785" s="43" t="s">
        <v>1046</v>
      </c>
      <c r="E785" s="44"/>
      <c r="F785" s="44">
        <v>571299</v>
      </c>
      <c r="G785" s="44" t="str">
        <f>VLOOKUP(F785,[1]装箱单!$A:$C,3,0)</f>
        <v>自卸车</v>
      </c>
      <c r="H785" s="44">
        <v>280</v>
      </c>
      <c r="I785" s="45">
        <f t="shared" si="74"/>
        <v>280</v>
      </c>
      <c r="J785" s="45" t="s">
        <v>32</v>
      </c>
      <c r="K785" s="45" t="s">
        <v>33</v>
      </c>
      <c r="L785" s="46">
        <v>280</v>
      </c>
      <c r="M785" s="43">
        <f t="shared" si="75"/>
        <v>7.50288</v>
      </c>
      <c r="N785" s="46" t="s">
        <v>34</v>
      </c>
      <c r="O785" s="44"/>
      <c r="P785" s="48"/>
      <c r="Q785" s="8">
        <f>VLOOKUP($F785,[1]装箱单!$A:$E,5,0)</f>
        <v>42</v>
      </c>
      <c r="R785" s="8">
        <f>VLOOKUP($F785,[1]装箱单!$A:$F,6,0)</f>
        <v>22</v>
      </c>
      <c r="S785" s="8">
        <f>VLOOKUP($F785,[1]装箱单!$A:$G,7,0)</f>
        <v>29</v>
      </c>
      <c r="T785" s="10">
        <f>VLOOKUP($F785,[1]装箱单!$A:$J,10,0)</f>
        <v>0.026796</v>
      </c>
      <c r="U785" s="11">
        <f t="shared" si="76"/>
        <v>7.50288</v>
      </c>
    </row>
    <row r="786" ht="29.1" customHeight="1" spans="1:21">
      <c r="A786" s="40">
        <v>46163</v>
      </c>
      <c r="B786" s="41" t="s">
        <v>905</v>
      </c>
      <c r="C786" s="42" t="s">
        <v>1061</v>
      </c>
      <c r="D786" s="43" t="s">
        <v>1046</v>
      </c>
      <c r="E786" s="44"/>
      <c r="F786" s="44">
        <v>571299</v>
      </c>
      <c r="G786" s="44" t="str">
        <f>VLOOKUP(F786,[1]装箱单!$A:$C,3,0)</f>
        <v>自卸车</v>
      </c>
      <c r="H786" s="44">
        <v>600</v>
      </c>
      <c r="I786" s="45">
        <f t="shared" si="74"/>
        <v>600</v>
      </c>
      <c r="J786" s="45" t="s">
        <v>32</v>
      </c>
      <c r="K786" s="45" t="s">
        <v>33</v>
      </c>
      <c r="L786" s="46">
        <v>600</v>
      </c>
      <c r="M786" s="43">
        <f t="shared" si="75"/>
        <v>16.0776</v>
      </c>
      <c r="N786" s="46" t="s">
        <v>34</v>
      </c>
      <c r="O786" s="44"/>
      <c r="P786" s="48"/>
      <c r="Q786" s="8">
        <f>VLOOKUP($F786,[1]装箱单!$A:$E,5,0)</f>
        <v>42</v>
      </c>
      <c r="R786" s="8">
        <f>VLOOKUP($F786,[1]装箱单!$A:$F,6,0)</f>
        <v>22</v>
      </c>
      <c r="S786" s="8">
        <f>VLOOKUP($F786,[1]装箱单!$A:$G,7,0)</f>
        <v>29</v>
      </c>
      <c r="T786" s="10">
        <f>VLOOKUP($F786,[1]装箱单!$A:$J,10,0)</f>
        <v>0.026796</v>
      </c>
      <c r="U786" s="11">
        <f t="shared" si="76"/>
        <v>16.0776</v>
      </c>
    </row>
    <row r="787" ht="29.1" customHeight="1" spans="1:21">
      <c r="A787" s="40">
        <v>46163</v>
      </c>
      <c r="B787" s="41" t="s">
        <v>905</v>
      </c>
      <c r="C787" s="42" t="s">
        <v>1062</v>
      </c>
      <c r="D787" s="43" t="s">
        <v>1046</v>
      </c>
      <c r="E787" s="44"/>
      <c r="F787" s="44">
        <v>571299</v>
      </c>
      <c r="G787" s="44" t="str">
        <f>VLOOKUP(F787,[1]装箱单!$A:$C,3,0)</f>
        <v>自卸车</v>
      </c>
      <c r="H787" s="44">
        <v>140</v>
      </c>
      <c r="I787" s="45">
        <f t="shared" si="74"/>
        <v>140</v>
      </c>
      <c r="J787" s="45" t="s">
        <v>32</v>
      </c>
      <c r="K787" s="45" t="s">
        <v>33</v>
      </c>
      <c r="L787" s="46">
        <v>140</v>
      </c>
      <c r="M787" s="43">
        <f t="shared" si="75"/>
        <v>3.75144</v>
      </c>
      <c r="N787" s="46" t="s">
        <v>34</v>
      </c>
      <c r="O787" s="44"/>
      <c r="P787" s="48"/>
      <c r="Q787" s="8">
        <f>VLOOKUP($F787,[1]装箱单!$A:$E,5,0)</f>
        <v>42</v>
      </c>
      <c r="R787" s="8">
        <f>VLOOKUP($F787,[1]装箱单!$A:$F,6,0)</f>
        <v>22</v>
      </c>
      <c r="S787" s="8">
        <f>VLOOKUP($F787,[1]装箱单!$A:$G,7,0)</f>
        <v>29</v>
      </c>
      <c r="T787" s="10">
        <f>VLOOKUP($F787,[1]装箱单!$A:$J,10,0)</f>
        <v>0.026796</v>
      </c>
      <c r="U787" s="11">
        <f t="shared" si="76"/>
        <v>3.75144</v>
      </c>
    </row>
    <row r="788" ht="29.1" customHeight="1" spans="1:21">
      <c r="A788" s="40">
        <v>46163</v>
      </c>
      <c r="B788" s="41" t="s">
        <v>52</v>
      </c>
      <c r="C788" s="42">
        <v>45871</v>
      </c>
      <c r="D788" s="43" t="s">
        <v>1049</v>
      </c>
      <c r="E788" s="44"/>
      <c r="F788" s="44">
        <v>470191</v>
      </c>
      <c r="G788" s="44" t="str">
        <f>VLOOKUP(F788,[1]装箱单!$A:$C,3,0)</f>
        <v>巴比斯农舍</v>
      </c>
      <c r="H788" s="44">
        <v>3000</v>
      </c>
      <c r="I788" s="45">
        <f t="shared" si="74"/>
        <v>706</v>
      </c>
      <c r="J788" s="45" t="s">
        <v>32</v>
      </c>
      <c r="K788" s="45" t="s">
        <v>33</v>
      </c>
      <c r="L788" s="46">
        <v>706</v>
      </c>
      <c r="M788" s="43">
        <f t="shared" si="75"/>
        <v>44.31915</v>
      </c>
      <c r="N788" s="46" t="s">
        <v>34</v>
      </c>
      <c r="O788" s="44"/>
      <c r="P788" s="48"/>
      <c r="Q788" s="8">
        <f>VLOOKUP($F788,[1]装箱单!$A:$E,5,0)</f>
        <v>62</v>
      </c>
      <c r="R788" s="8">
        <f>VLOOKUP($F788,[1]装箱单!$A:$F,6,0)</f>
        <v>25</v>
      </c>
      <c r="S788" s="8">
        <f>VLOOKUP($F788,[1]装箱单!$A:$G,7,0)</f>
        <v>40.5</v>
      </c>
      <c r="T788" s="10">
        <f>VLOOKUP($F788,[1]装箱单!$A:$J,10,0)</f>
        <v>0.062775</v>
      </c>
      <c r="U788" s="11">
        <f t="shared" si="76"/>
        <v>44.31915</v>
      </c>
    </row>
    <row r="789" ht="29.1" customHeight="1" spans="1:21">
      <c r="A789" s="40">
        <v>46163</v>
      </c>
      <c r="B789" s="52" t="s">
        <v>922</v>
      </c>
      <c r="C789" s="42" t="s">
        <v>1063</v>
      </c>
      <c r="D789" s="43">
        <v>984878454</v>
      </c>
      <c r="E789" s="44" t="s">
        <v>1064</v>
      </c>
      <c r="F789" s="44">
        <v>33477</v>
      </c>
      <c r="G789" s="44" t="str">
        <f>VLOOKUP(F789,[1]装箱单!$A:$C,3,0)</f>
        <v>搪小鸭外星史迪仔</v>
      </c>
      <c r="H789" s="49">
        <v>51</v>
      </c>
      <c r="I789" s="45">
        <v>330</v>
      </c>
      <c r="J789" s="45" t="s">
        <v>32</v>
      </c>
      <c r="K789" s="45" t="s">
        <v>33</v>
      </c>
      <c r="L789" s="49">
        <v>51</v>
      </c>
      <c r="M789" s="119">
        <v>1</v>
      </c>
      <c r="N789" s="46" t="s">
        <v>34</v>
      </c>
      <c r="O789" s="49" t="s">
        <v>1065</v>
      </c>
      <c r="P789" s="48"/>
    </row>
    <row r="790" ht="29.1" customHeight="1" spans="1:21">
      <c r="A790" s="40">
        <v>46163</v>
      </c>
      <c r="B790" s="52" t="s">
        <v>922</v>
      </c>
      <c r="C790" s="42" t="s">
        <v>1066</v>
      </c>
      <c r="D790" s="43">
        <v>117403871</v>
      </c>
      <c r="E790" s="44" t="s">
        <v>1064</v>
      </c>
      <c r="F790" s="44">
        <v>33477</v>
      </c>
      <c r="G790" s="44" t="str">
        <f>VLOOKUP(F790,[1]装箱单!$A:$C,3,0)</f>
        <v>搪小鸭外星史迪仔</v>
      </c>
      <c r="H790" s="53"/>
      <c r="I790" s="45">
        <v>2640</v>
      </c>
      <c r="J790" s="45" t="s">
        <v>32</v>
      </c>
      <c r="K790" s="45" t="s">
        <v>33</v>
      </c>
      <c r="L790" s="53"/>
      <c r="M790" s="124"/>
      <c r="N790" s="46" t="s">
        <v>34</v>
      </c>
      <c r="O790" s="53"/>
      <c r="P790" s="48"/>
    </row>
    <row r="791" ht="29.1" customHeight="1" spans="1:21">
      <c r="A791" s="40">
        <v>46163</v>
      </c>
      <c r="B791" s="52" t="s">
        <v>922</v>
      </c>
      <c r="C791" s="42" t="s">
        <v>1067</v>
      </c>
      <c r="D791" s="43">
        <v>984878275</v>
      </c>
      <c r="E791" s="44" t="s">
        <v>1064</v>
      </c>
      <c r="F791" s="44">
        <v>33477</v>
      </c>
      <c r="G791" s="44" t="str">
        <f>VLOOKUP(F791,[1]装箱单!$A:$C,3,0)</f>
        <v>搪小鸭外星史迪仔</v>
      </c>
      <c r="H791" s="53"/>
      <c r="I791" s="45">
        <v>770</v>
      </c>
      <c r="J791" s="45" t="s">
        <v>32</v>
      </c>
      <c r="K791" s="45" t="s">
        <v>33</v>
      </c>
      <c r="L791" s="53"/>
      <c r="M791" s="124"/>
      <c r="N791" s="46" t="s">
        <v>34</v>
      </c>
      <c r="O791" s="53"/>
      <c r="P791" s="48"/>
    </row>
    <row r="792" ht="29.1" customHeight="1" spans="1:21">
      <c r="A792" s="40">
        <v>46163</v>
      </c>
      <c r="B792" s="52" t="s">
        <v>922</v>
      </c>
      <c r="C792" s="42" t="s">
        <v>1068</v>
      </c>
      <c r="D792" s="43">
        <v>984878254</v>
      </c>
      <c r="E792" s="44" t="s">
        <v>1064</v>
      </c>
      <c r="F792" s="44">
        <v>33477</v>
      </c>
      <c r="G792" s="44" t="str">
        <f>VLOOKUP(F792,[1]装箱单!$A:$C,3,0)</f>
        <v>搪小鸭外星史迪仔</v>
      </c>
      <c r="H792" s="53"/>
      <c r="I792" s="45">
        <v>880</v>
      </c>
      <c r="J792" s="45" t="s">
        <v>32</v>
      </c>
      <c r="K792" s="45" t="s">
        <v>33</v>
      </c>
      <c r="L792" s="53"/>
      <c r="M792" s="124"/>
      <c r="N792" s="46" t="s">
        <v>34</v>
      </c>
      <c r="O792" s="53"/>
      <c r="P792" s="48"/>
    </row>
    <row r="793" ht="29.1" customHeight="1" spans="1:21">
      <c r="A793" s="40">
        <v>46163</v>
      </c>
      <c r="B793" s="52" t="s">
        <v>922</v>
      </c>
      <c r="C793" s="42" t="s">
        <v>1069</v>
      </c>
      <c r="D793" s="43">
        <v>984878255</v>
      </c>
      <c r="E793" s="44" t="s">
        <v>1064</v>
      </c>
      <c r="F793" s="44">
        <v>33477</v>
      </c>
      <c r="G793" s="44" t="str">
        <f>VLOOKUP(F793,[1]装箱单!$A:$C,3,0)</f>
        <v>搪小鸭外星史迪仔</v>
      </c>
      <c r="H793" s="53"/>
      <c r="I793" s="45">
        <v>440</v>
      </c>
      <c r="J793" s="45" t="s">
        <v>32</v>
      </c>
      <c r="K793" s="45" t="s">
        <v>33</v>
      </c>
      <c r="L793" s="53"/>
      <c r="M793" s="124"/>
      <c r="N793" s="46" t="s">
        <v>34</v>
      </c>
      <c r="O793" s="53"/>
      <c r="P793" s="48"/>
    </row>
    <row r="794" ht="29.1" customHeight="1" spans="1:21">
      <c r="A794" s="40">
        <v>46163</v>
      </c>
      <c r="B794" s="52" t="s">
        <v>922</v>
      </c>
      <c r="C794" s="42" t="s">
        <v>1070</v>
      </c>
      <c r="D794" s="43">
        <v>984878244</v>
      </c>
      <c r="E794" s="44" t="s">
        <v>1064</v>
      </c>
      <c r="F794" s="44">
        <v>33477</v>
      </c>
      <c r="G794" s="44" t="str">
        <f>VLOOKUP(F794,[1]装箱单!$A:$C,3,0)</f>
        <v>搪小鸭外星史迪仔</v>
      </c>
      <c r="H794" s="53"/>
      <c r="I794" s="45">
        <v>770</v>
      </c>
      <c r="J794" s="45" t="s">
        <v>32</v>
      </c>
      <c r="K794" s="45" t="s">
        <v>33</v>
      </c>
      <c r="L794" s="53"/>
      <c r="M794" s="124"/>
      <c r="N794" s="46" t="s">
        <v>34</v>
      </c>
      <c r="O794" s="53"/>
      <c r="P794" s="48"/>
    </row>
    <row r="795" ht="29.1" customHeight="1" spans="1:21">
      <c r="A795" s="40">
        <v>46163</v>
      </c>
      <c r="B795" s="52" t="s">
        <v>922</v>
      </c>
      <c r="C795" s="42" t="s">
        <v>1071</v>
      </c>
      <c r="D795" s="43" t="s">
        <v>1072</v>
      </c>
      <c r="E795" s="44">
        <v>46886</v>
      </c>
      <c r="F795" s="44">
        <v>33477</v>
      </c>
      <c r="G795" s="44" t="str">
        <f>VLOOKUP(F795,[1]装箱单!$A:$C,3,0)</f>
        <v>搪小鸭外星史迪仔</v>
      </c>
      <c r="H795" s="53"/>
      <c r="I795" s="45">
        <v>300</v>
      </c>
      <c r="J795" s="45" t="s">
        <v>32</v>
      </c>
      <c r="K795" s="45" t="s">
        <v>33</v>
      </c>
      <c r="L795" s="53"/>
      <c r="M795" s="124"/>
      <c r="N795" s="46" t="s">
        <v>34</v>
      </c>
      <c r="O795" s="53"/>
      <c r="P795" s="48"/>
    </row>
    <row r="796" ht="29.1" customHeight="1" spans="1:21">
      <c r="A796" s="40">
        <v>46163</v>
      </c>
      <c r="B796" s="52" t="s">
        <v>922</v>
      </c>
      <c r="C796" s="42" t="s">
        <v>1073</v>
      </c>
      <c r="D796" s="43" t="s">
        <v>945</v>
      </c>
      <c r="E796" s="44" t="s">
        <v>1064</v>
      </c>
      <c r="F796" s="44">
        <v>33477</v>
      </c>
      <c r="G796" s="44" t="str">
        <f>VLOOKUP(F796,[1]装箱单!$A:$C,3,0)</f>
        <v>搪小鸭外星史迪仔</v>
      </c>
      <c r="H796" s="53"/>
      <c r="I796" s="45">
        <v>1344</v>
      </c>
      <c r="J796" s="45" t="s">
        <v>32</v>
      </c>
      <c r="K796" s="45" t="s">
        <v>33</v>
      </c>
      <c r="L796" s="53"/>
      <c r="M796" s="124"/>
      <c r="N796" s="46" t="s">
        <v>34</v>
      </c>
      <c r="O796" s="53"/>
      <c r="P796" s="48"/>
    </row>
    <row r="797" ht="29.1" customHeight="1" spans="1:21">
      <c r="A797" s="40">
        <v>46163</v>
      </c>
      <c r="B797" s="52" t="s">
        <v>922</v>
      </c>
      <c r="C797" s="42" t="s">
        <v>1074</v>
      </c>
      <c r="D797" s="43">
        <v>984878612</v>
      </c>
      <c r="E797" s="44" t="s">
        <v>1064</v>
      </c>
      <c r="F797" s="44">
        <v>33477</v>
      </c>
      <c r="G797" s="44" t="str">
        <f>VLOOKUP(F797,[1]装箱单!$A:$C,3,0)</f>
        <v>搪小鸭外星史迪仔</v>
      </c>
      <c r="H797" s="53"/>
      <c r="I797" s="45">
        <v>550</v>
      </c>
      <c r="J797" s="45" t="s">
        <v>32</v>
      </c>
      <c r="K797" s="45" t="s">
        <v>33</v>
      </c>
      <c r="L797" s="53"/>
      <c r="M797" s="124"/>
      <c r="N797" s="46" t="s">
        <v>34</v>
      </c>
      <c r="O797" s="53"/>
      <c r="P797" s="48"/>
    </row>
    <row r="798" ht="29.1" customHeight="1" spans="1:21">
      <c r="A798" s="40">
        <v>46163</v>
      </c>
      <c r="B798" s="52" t="s">
        <v>922</v>
      </c>
      <c r="C798" s="42" t="s">
        <v>1075</v>
      </c>
      <c r="D798" s="43">
        <v>984878621</v>
      </c>
      <c r="E798" s="44" t="s">
        <v>1064</v>
      </c>
      <c r="F798" s="44">
        <v>33477</v>
      </c>
      <c r="G798" s="44" t="str">
        <f>VLOOKUP(F798,[1]装箱单!$A:$C,3,0)</f>
        <v>搪小鸭外星史迪仔</v>
      </c>
      <c r="H798" s="53"/>
      <c r="I798" s="45">
        <v>660</v>
      </c>
      <c r="J798" s="45" t="s">
        <v>32</v>
      </c>
      <c r="K798" s="45" t="s">
        <v>33</v>
      </c>
      <c r="L798" s="53"/>
      <c r="M798" s="124"/>
      <c r="N798" s="46" t="s">
        <v>34</v>
      </c>
      <c r="O798" s="53"/>
      <c r="P798" s="48"/>
    </row>
    <row r="799" ht="29.1" customHeight="1" spans="1:21">
      <c r="A799" s="40">
        <v>46163</v>
      </c>
      <c r="B799" s="52" t="s">
        <v>922</v>
      </c>
      <c r="C799" s="42" t="s">
        <v>1076</v>
      </c>
      <c r="D799" s="43" t="s">
        <v>1077</v>
      </c>
      <c r="E799" s="139" t="s">
        <v>1078</v>
      </c>
      <c r="F799" s="44">
        <v>33477</v>
      </c>
      <c r="G799" s="44" t="str">
        <f>VLOOKUP(F799,[1]装箱单!$A:$C,3,0)</f>
        <v>搪小鸭外星史迪仔</v>
      </c>
      <c r="H799" s="53"/>
      <c r="I799" s="45">
        <v>440</v>
      </c>
      <c r="J799" s="45" t="s">
        <v>32</v>
      </c>
      <c r="K799" s="45" t="s">
        <v>33</v>
      </c>
      <c r="L799" s="53"/>
      <c r="M799" s="124"/>
      <c r="N799" s="46" t="s">
        <v>34</v>
      </c>
      <c r="O799" s="53"/>
      <c r="P799" s="48"/>
    </row>
    <row r="800" ht="29.1" customHeight="1" spans="1:21">
      <c r="A800" s="40">
        <v>46163</v>
      </c>
      <c r="B800" s="52" t="s">
        <v>922</v>
      </c>
      <c r="C800" s="42" t="s">
        <v>1079</v>
      </c>
      <c r="D800" s="43" t="s">
        <v>1080</v>
      </c>
      <c r="E800" s="139" t="s">
        <v>1081</v>
      </c>
      <c r="F800" s="44">
        <v>33477</v>
      </c>
      <c r="G800" s="44" t="str">
        <f>VLOOKUP(F800,[1]装箱单!$A:$C,3,0)</f>
        <v>搪小鸭外星史迪仔</v>
      </c>
      <c r="H800" s="53"/>
      <c r="I800" s="45">
        <v>550</v>
      </c>
      <c r="J800" s="45" t="s">
        <v>32</v>
      </c>
      <c r="K800" s="45" t="s">
        <v>33</v>
      </c>
      <c r="L800" s="53"/>
      <c r="M800" s="124"/>
      <c r="N800" s="46" t="s">
        <v>34</v>
      </c>
      <c r="O800" s="53"/>
      <c r="P800" s="48"/>
    </row>
    <row r="801" ht="29.1" customHeight="1" spans="1:21">
      <c r="A801" s="40">
        <v>46163</v>
      </c>
      <c r="B801" s="52" t="s">
        <v>922</v>
      </c>
      <c r="C801" s="42" t="s">
        <v>1082</v>
      </c>
      <c r="D801" s="43" t="s">
        <v>1083</v>
      </c>
      <c r="E801" s="139" t="s">
        <v>1084</v>
      </c>
      <c r="F801" s="44">
        <v>33477</v>
      </c>
      <c r="G801" s="44" t="str">
        <f>VLOOKUP(F801,[1]装箱单!$A:$C,3,0)</f>
        <v>搪小鸭外星史迪仔</v>
      </c>
      <c r="H801" s="53"/>
      <c r="I801" s="45">
        <v>440</v>
      </c>
      <c r="J801" s="45" t="s">
        <v>32</v>
      </c>
      <c r="K801" s="45" t="s">
        <v>33</v>
      </c>
      <c r="L801" s="53"/>
      <c r="M801" s="124"/>
      <c r="N801" s="46" t="s">
        <v>34</v>
      </c>
      <c r="O801" s="53"/>
      <c r="P801" s="48"/>
    </row>
    <row r="802" ht="29.1" customHeight="1" spans="1:21">
      <c r="A802" s="40">
        <v>46163</v>
      </c>
      <c r="B802" s="52" t="s">
        <v>922</v>
      </c>
      <c r="C802" s="42" t="s">
        <v>1085</v>
      </c>
      <c r="D802" s="43" t="s">
        <v>1086</v>
      </c>
      <c r="E802" s="139" t="s">
        <v>1087</v>
      </c>
      <c r="F802" s="44">
        <v>33477</v>
      </c>
      <c r="G802" s="44" t="str">
        <f>VLOOKUP(F802,[1]装箱单!$A:$C,3,0)</f>
        <v>搪小鸭外星史迪仔</v>
      </c>
      <c r="H802" s="55"/>
      <c r="I802" s="45">
        <v>26</v>
      </c>
      <c r="J802" s="45" t="s">
        <v>32</v>
      </c>
      <c r="K802" s="45" t="s">
        <v>33</v>
      </c>
      <c r="L802" s="55"/>
      <c r="M802" s="124"/>
      <c r="N802" s="46" t="s">
        <v>34</v>
      </c>
      <c r="O802" s="55"/>
      <c r="P802" s="48"/>
    </row>
    <row r="803" ht="29.1" customHeight="1" spans="1:21">
      <c r="A803" s="40">
        <v>46163</v>
      </c>
      <c r="B803" s="52" t="s">
        <v>922</v>
      </c>
      <c r="C803" s="42" t="s">
        <v>1063</v>
      </c>
      <c r="D803" s="43">
        <v>984878454</v>
      </c>
      <c r="E803" s="44">
        <v>46897</v>
      </c>
      <c r="F803" s="44">
        <v>33476</v>
      </c>
      <c r="G803" s="44" t="str">
        <f>VLOOKUP(F803,[1]装箱单!$A:$C,3,0)</f>
        <v>搪小鸭天使</v>
      </c>
      <c r="H803" s="49">
        <v>42</v>
      </c>
      <c r="I803" s="45">
        <v>200</v>
      </c>
      <c r="J803" s="45" t="s">
        <v>32</v>
      </c>
      <c r="K803" s="45" t="s">
        <v>33</v>
      </c>
      <c r="L803" s="49">
        <v>42</v>
      </c>
      <c r="M803" s="124"/>
      <c r="N803" s="46" t="s">
        <v>34</v>
      </c>
      <c r="O803" s="49" t="s">
        <v>1088</v>
      </c>
      <c r="P803" s="48"/>
    </row>
    <row r="804" ht="29.1" customHeight="1" spans="1:21">
      <c r="A804" s="40">
        <v>46163</v>
      </c>
      <c r="B804" s="52" t="s">
        <v>922</v>
      </c>
      <c r="C804" s="42" t="s">
        <v>1067</v>
      </c>
      <c r="D804" s="43">
        <v>984878275</v>
      </c>
      <c r="E804" s="44">
        <v>46897</v>
      </c>
      <c r="F804" s="44">
        <v>33476</v>
      </c>
      <c r="G804" s="44" t="str">
        <f>VLOOKUP(F804,[1]装箱单!$A:$C,3,0)</f>
        <v>搪小鸭天使</v>
      </c>
      <c r="H804" s="53"/>
      <c r="I804" s="45">
        <v>500</v>
      </c>
      <c r="J804" s="45" t="s">
        <v>32</v>
      </c>
      <c r="K804" s="45" t="s">
        <v>33</v>
      </c>
      <c r="L804" s="53"/>
      <c r="M804" s="124"/>
      <c r="N804" s="46" t="s">
        <v>34</v>
      </c>
      <c r="O804" s="53"/>
      <c r="P804" s="48"/>
    </row>
    <row r="805" ht="29.1" customHeight="1" spans="1:21">
      <c r="A805" s="40">
        <v>46163</v>
      </c>
      <c r="B805" s="52" t="s">
        <v>922</v>
      </c>
      <c r="C805" s="42" t="s">
        <v>1068</v>
      </c>
      <c r="D805" s="43">
        <v>984878254</v>
      </c>
      <c r="E805" s="44">
        <v>46897</v>
      </c>
      <c r="F805" s="44">
        <v>33476</v>
      </c>
      <c r="G805" s="44" t="str">
        <f>VLOOKUP(F805,[1]装箱单!$A:$C,3,0)</f>
        <v>搪小鸭天使</v>
      </c>
      <c r="H805" s="53"/>
      <c r="I805" s="45">
        <v>400</v>
      </c>
      <c r="J805" s="45" t="s">
        <v>32</v>
      </c>
      <c r="K805" s="45" t="s">
        <v>33</v>
      </c>
      <c r="L805" s="53"/>
      <c r="M805" s="124"/>
      <c r="N805" s="46" t="s">
        <v>34</v>
      </c>
      <c r="O805" s="53"/>
      <c r="P805" s="48"/>
    </row>
    <row r="806" ht="29.1" customHeight="1" spans="1:21">
      <c r="A806" s="40">
        <v>46163</v>
      </c>
      <c r="B806" s="52" t="s">
        <v>922</v>
      </c>
      <c r="C806" s="42" t="s">
        <v>1069</v>
      </c>
      <c r="D806" s="43">
        <v>984878255</v>
      </c>
      <c r="E806" s="44">
        <v>46897</v>
      </c>
      <c r="F806" s="44">
        <v>33476</v>
      </c>
      <c r="G806" s="44" t="str">
        <f>VLOOKUP(F806,[1]装箱单!$A:$C,3,0)</f>
        <v>搪小鸭天使</v>
      </c>
      <c r="H806" s="53"/>
      <c r="I806" s="45">
        <v>300</v>
      </c>
      <c r="J806" s="45" t="s">
        <v>32</v>
      </c>
      <c r="K806" s="45" t="s">
        <v>33</v>
      </c>
      <c r="L806" s="53"/>
      <c r="M806" s="124"/>
      <c r="N806" s="46" t="s">
        <v>34</v>
      </c>
      <c r="O806" s="53"/>
      <c r="P806" s="48"/>
    </row>
    <row r="807" ht="29.1" customHeight="1" spans="1:21">
      <c r="A807" s="40">
        <v>46163</v>
      </c>
      <c r="B807" s="52" t="s">
        <v>922</v>
      </c>
      <c r="C807" s="42" t="s">
        <v>1070</v>
      </c>
      <c r="D807" s="43">
        <v>984878244</v>
      </c>
      <c r="E807" s="44">
        <v>46897</v>
      </c>
      <c r="F807" s="44">
        <v>33476</v>
      </c>
      <c r="G807" s="44" t="str">
        <f>VLOOKUP(F807,[1]装箱单!$A:$C,3,0)</f>
        <v>搪小鸭天使</v>
      </c>
      <c r="H807" s="53"/>
      <c r="I807" s="45">
        <v>400</v>
      </c>
      <c r="J807" s="45" t="s">
        <v>32</v>
      </c>
      <c r="K807" s="45" t="s">
        <v>33</v>
      </c>
      <c r="L807" s="53"/>
      <c r="M807" s="124"/>
      <c r="N807" s="46" t="s">
        <v>34</v>
      </c>
      <c r="O807" s="53"/>
      <c r="P807" s="48"/>
    </row>
    <row r="808" ht="29.1" customHeight="1" spans="1:21">
      <c r="A808" s="40">
        <v>46163</v>
      </c>
      <c r="B808" s="52" t="s">
        <v>922</v>
      </c>
      <c r="C808" s="42" t="s">
        <v>1089</v>
      </c>
      <c r="D808" s="43">
        <v>980443820</v>
      </c>
      <c r="E808" s="44">
        <v>46897</v>
      </c>
      <c r="F808" s="44">
        <v>33476</v>
      </c>
      <c r="G808" s="44" t="str">
        <f>VLOOKUP(F808,[1]装箱单!$A:$C,3,0)</f>
        <v>搪小鸭天使</v>
      </c>
      <c r="H808" s="53"/>
      <c r="I808" s="45">
        <v>1284</v>
      </c>
      <c r="J808" s="45" t="s">
        <v>32</v>
      </c>
      <c r="K808" s="45" t="s">
        <v>33</v>
      </c>
      <c r="L808" s="53"/>
      <c r="M808" s="124"/>
      <c r="N808" s="46" t="s">
        <v>34</v>
      </c>
      <c r="O808" s="53"/>
      <c r="P808" s="48"/>
    </row>
    <row r="809" ht="29.1" customHeight="1" spans="1:21">
      <c r="A809" s="40">
        <v>46163</v>
      </c>
      <c r="B809" s="52" t="s">
        <v>922</v>
      </c>
      <c r="C809" s="42" t="s">
        <v>1090</v>
      </c>
      <c r="D809" s="43">
        <v>980443805</v>
      </c>
      <c r="E809" s="44">
        <v>46897</v>
      </c>
      <c r="F809" s="44">
        <v>33476</v>
      </c>
      <c r="G809" s="44" t="str">
        <f>VLOOKUP(F809,[1]装箱单!$A:$C,3,0)</f>
        <v>搪小鸭天使</v>
      </c>
      <c r="H809" s="53"/>
      <c r="I809" s="45">
        <v>1032</v>
      </c>
      <c r="J809" s="45" t="s">
        <v>32</v>
      </c>
      <c r="K809" s="45" t="s">
        <v>33</v>
      </c>
      <c r="L809" s="53"/>
      <c r="M809" s="124"/>
      <c r="N809" s="46" t="s">
        <v>34</v>
      </c>
      <c r="O809" s="53"/>
      <c r="P809" s="48"/>
    </row>
    <row r="810" ht="29.1" customHeight="1" spans="1:21">
      <c r="A810" s="40">
        <v>46163</v>
      </c>
      <c r="B810" s="52" t="s">
        <v>922</v>
      </c>
      <c r="C810" s="42" t="s">
        <v>1091</v>
      </c>
      <c r="D810" s="43">
        <v>980443831</v>
      </c>
      <c r="E810" s="44">
        <v>46897</v>
      </c>
      <c r="F810" s="44">
        <v>33476</v>
      </c>
      <c r="G810" s="44" t="str">
        <f>VLOOKUP(F810,[1]装箱单!$A:$C,3,0)</f>
        <v>搪小鸭天使</v>
      </c>
      <c r="H810" s="53"/>
      <c r="I810" s="45">
        <v>836</v>
      </c>
      <c r="J810" s="45" t="s">
        <v>32</v>
      </c>
      <c r="K810" s="45" t="s">
        <v>33</v>
      </c>
      <c r="L810" s="53"/>
      <c r="M810" s="124"/>
      <c r="N810" s="46" t="s">
        <v>34</v>
      </c>
      <c r="O810" s="53"/>
      <c r="P810" s="48"/>
    </row>
    <row r="811" ht="29.1" customHeight="1" spans="1:21">
      <c r="A811" s="40">
        <v>46163</v>
      </c>
      <c r="B811" s="52" t="s">
        <v>922</v>
      </c>
      <c r="C811" s="42" t="s">
        <v>1092</v>
      </c>
      <c r="D811" s="43">
        <v>980443917</v>
      </c>
      <c r="E811" s="44">
        <v>46897</v>
      </c>
      <c r="F811" s="44">
        <v>33476</v>
      </c>
      <c r="G811" s="44" t="str">
        <f>VLOOKUP(F811,[1]装箱单!$A:$C,3,0)</f>
        <v>搪小鸭天使</v>
      </c>
      <c r="H811" s="53"/>
      <c r="I811" s="45">
        <v>864</v>
      </c>
      <c r="J811" s="45" t="s">
        <v>32</v>
      </c>
      <c r="K811" s="45" t="s">
        <v>33</v>
      </c>
      <c r="L811" s="53"/>
      <c r="M811" s="124"/>
      <c r="N811" s="46" t="s">
        <v>34</v>
      </c>
      <c r="O811" s="53"/>
      <c r="P811" s="48"/>
    </row>
    <row r="812" ht="29.1" customHeight="1" spans="1:21">
      <c r="A812" s="40">
        <v>46163</v>
      </c>
      <c r="B812" s="52" t="s">
        <v>922</v>
      </c>
      <c r="C812" s="42" t="s">
        <v>1093</v>
      </c>
      <c r="D812" s="43">
        <v>980443823</v>
      </c>
      <c r="E812" s="44">
        <v>46897</v>
      </c>
      <c r="F812" s="44">
        <v>33476</v>
      </c>
      <c r="G812" s="44" t="str">
        <f>VLOOKUP(F812,[1]装箱单!$A:$C,3,0)</f>
        <v>搪小鸭天使</v>
      </c>
      <c r="H812" s="53"/>
      <c r="I812" s="45">
        <v>850</v>
      </c>
      <c r="J812" s="45" t="s">
        <v>32</v>
      </c>
      <c r="K812" s="45" t="s">
        <v>33</v>
      </c>
      <c r="L812" s="53"/>
      <c r="M812" s="124"/>
      <c r="N812" s="46" t="s">
        <v>34</v>
      </c>
      <c r="O812" s="53"/>
      <c r="P812" s="48"/>
    </row>
    <row r="813" ht="29.1" customHeight="1" spans="1:21">
      <c r="A813" s="40">
        <v>46163</v>
      </c>
      <c r="B813" s="52" t="s">
        <v>922</v>
      </c>
      <c r="C813" s="42" t="s">
        <v>1094</v>
      </c>
      <c r="D813" s="43">
        <v>980443816</v>
      </c>
      <c r="E813" s="44">
        <v>46897</v>
      </c>
      <c r="F813" s="44">
        <v>33476</v>
      </c>
      <c r="G813" s="44" t="str">
        <f>VLOOKUP(F813,[1]装箱单!$A:$C,3,0)</f>
        <v>搪小鸭天使</v>
      </c>
      <c r="H813" s="53"/>
      <c r="I813" s="45">
        <v>710</v>
      </c>
      <c r="J813" s="45" t="s">
        <v>32</v>
      </c>
      <c r="K813" s="45" t="s">
        <v>33</v>
      </c>
      <c r="L813" s="53"/>
      <c r="M813" s="124"/>
      <c r="N813" s="46" t="s">
        <v>34</v>
      </c>
      <c r="O813" s="53"/>
      <c r="P813" s="48"/>
    </row>
    <row r="814" ht="29.1" customHeight="1" spans="1:21">
      <c r="A814" s="40">
        <v>46163</v>
      </c>
      <c r="B814" s="52" t="s">
        <v>922</v>
      </c>
      <c r="C814" s="42" t="s">
        <v>1095</v>
      </c>
      <c r="D814" s="43">
        <v>980443840</v>
      </c>
      <c r="E814" s="44">
        <v>46897</v>
      </c>
      <c r="F814" s="44">
        <v>33476</v>
      </c>
      <c r="G814" s="44" t="str">
        <f>VLOOKUP(F814,[1]装箱单!$A:$C,3,0)</f>
        <v>搪小鸭天使</v>
      </c>
      <c r="H814" s="55"/>
      <c r="I814" s="45">
        <v>914</v>
      </c>
      <c r="J814" s="45" t="s">
        <v>32</v>
      </c>
      <c r="K814" s="45" t="s">
        <v>33</v>
      </c>
      <c r="L814" s="55"/>
      <c r="M814" s="121"/>
      <c r="N814" s="46" t="s">
        <v>34</v>
      </c>
      <c r="O814" s="55"/>
      <c r="P814" s="48"/>
    </row>
    <row r="815" ht="29.1" customHeight="1" spans="1:21">
      <c r="A815" s="40">
        <v>46163</v>
      </c>
      <c r="B815" s="41" t="s">
        <v>905</v>
      </c>
      <c r="C815" s="42" t="s">
        <v>1096</v>
      </c>
      <c r="D815" s="43" t="s">
        <v>1046</v>
      </c>
      <c r="E815" s="44"/>
      <c r="F815" s="44">
        <v>571299</v>
      </c>
      <c r="G815" s="44" t="str">
        <f>VLOOKUP(F815,[1]装箱单!$A:$C,3,0)</f>
        <v>自卸车</v>
      </c>
      <c r="H815" s="44">
        <v>50</v>
      </c>
      <c r="I815" s="45">
        <f t="shared" ref="I815:I820" si="77">+L815</f>
        <v>50</v>
      </c>
      <c r="J815" s="45" t="s">
        <v>32</v>
      </c>
      <c r="K815" s="45" t="s">
        <v>33</v>
      </c>
      <c r="L815" s="46">
        <v>50</v>
      </c>
      <c r="M815" s="43">
        <f t="shared" ref="M815:M820" si="78">+U815</f>
        <v>1.3398</v>
      </c>
      <c r="N815" s="46" t="s">
        <v>34</v>
      </c>
      <c r="O815" s="44"/>
      <c r="P815" s="48"/>
      <c r="Q815" s="8">
        <f>VLOOKUP($F815,[1]装箱单!$A:$E,5,0)</f>
        <v>42</v>
      </c>
      <c r="R815" s="8">
        <f>VLOOKUP($F815,[1]装箱单!$A:$F,6,0)</f>
        <v>22</v>
      </c>
      <c r="S815" s="8">
        <f>VLOOKUP($F815,[1]装箱单!$A:$G,7,0)</f>
        <v>29</v>
      </c>
      <c r="T815" s="10">
        <f>VLOOKUP($F815,[1]装箱单!$A:$J,10,0)</f>
        <v>0.026796</v>
      </c>
      <c r="U815" s="11">
        <f t="shared" ref="U815:U820" si="79">+T815*L815</f>
        <v>1.3398</v>
      </c>
    </row>
    <row r="816" ht="29.1" customHeight="1" spans="1:21">
      <c r="A816" s="40">
        <v>46163</v>
      </c>
      <c r="B816" s="41" t="s">
        <v>905</v>
      </c>
      <c r="C816" s="42" t="s">
        <v>1097</v>
      </c>
      <c r="D816" s="43" t="s">
        <v>1046</v>
      </c>
      <c r="E816" s="44"/>
      <c r="F816" s="44">
        <v>571299</v>
      </c>
      <c r="G816" s="44" t="str">
        <f>VLOOKUP(F816,[1]装箱单!$A:$C,3,0)</f>
        <v>自卸车</v>
      </c>
      <c r="H816" s="44">
        <v>200</v>
      </c>
      <c r="I816" s="45">
        <f t="shared" si="77"/>
        <v>200</v>
      </c>
      <c r="J816" s="45" t="s">
        <v>32</v>
      </c>
      <c r="K816" s="45" t="s">
        <v>33</v>
      </c>
      <c r="L816" s="46">
        <v>200</v>
      </c>
      <c r="M816" s="43">
        <f t="shared" si="78"/>
        <v>5.3592</v>
      </c>
      <c r="N816" s="46" t="s">
        <v>34</v>
      </c>
      <c r="O816" s="44"/>
      <c r="P816" s="48"/>
      <c r="Q816" s="8">
        <f>VLOOKUP($F816,[1]装箱单!$A:$E,5,0)</f>
        <v>42</v>
      </c>
      <c r="R816" s="8">
        <f>VLOOKUP($F816,[1]装箱单!$A:$F,6,0)</f>
        <v>22</v>
      </c>
      <c r="S816" s="8">
        <f>VLOOKUP($F816,[1]装箱单!$A:$G,7,0)</f>
        <v>29</v>
      </c>
      <c r="T816" s="10">
        <f>VLOOKUP($F816,[1]装箱单!$A:$J,10,0)</f>
        <v>0.026796</v>
      </c>
      <c r="U816" s="11">
        <f t="shared" si="79"/>
        <v>5.3592</v>
      </c>
    </row>
    <row r="817" ht="29.1" customHeight="1" spans="1:21">
      <c r="A817" s="40">
        <v>46163</v>
      </c>
      <c r="B817" s="41" t="s">
        <v>905</v>
      </c>
      <c r="C817" s="42" t="s">
        <v>1098</v>
      </c>
      <c r="D817" s="43" t="s">
        <v>1046</v>
      </c>
      <c r="E817" s="44"/>
      <c r="F817" s="44">
        <v>571299</v>
      </c>
      <c r="G817" s="44" t="str">
        <f>VLOOKUP(F817,[1]装箱单!$A:$C,3,0)</f>
        <v>自卸车</v>
      </c>
      <c r="H817" s="44">
        <v>188</v>
      </c>
      <c r="I817" s="45">
        <f t="shared" si="77"/>
        <v>188</v>
      </c>
      <c r="J817" s="45" t="s">
        <v>32</v>
      </c>
      <c r="K817" s="45" t="s">
        <v>33</v>
      </c>
      <c r="L817" s="46">
        <v>188</v>
      </c>
      <c r="M817" s="43">
        <f t="shared" si="78"/>
        <v>5.037648</v>
      </c>
      <c r="N817" s="46" t="s">
        <v>34</v>
      </c>
      <c r="O817" s="44"/>
      <c r="P817" s="48"/>
      <c r="Q817" s="8">
        <f>VLOOKUP($F817,[1]装箱单!$A:$E,5,0)</f>
        <v>42</v>
      </c>
      <c r="R817" s="8">
        <f>VLOOKUP($F817,[1]装箱单!$A:$F,6,0)</f>
        <v>22</v>
      </c>
      <c r="S817" s="8">
        <f>VLOOKUP($F817,[1]装箱单!$A:$G,7,0)</f>
        <v>29</v>
      </c>
      <c r="T817" s="10">
        <f>VLOOKUP($F817,[1]装箱单!$A:$J,10,0)</f>
        <v>0.026796</v>
      </c>
      <c r="U817" s="11">
        <f t="shared" si="79"/>
        <v>5.037648</v>
      </c>
    </row>
    <row r="818" ht="29.1" customHeight="1" spans="1:21">
      <c r="A818" s="40">
        <v>46163</v>
      </c>
      <c r="B818" s="41" t="s">
        <v>905</v>
      </c>
      <c r="C818" s="42" t="s">
        <v>1099</v>
      </c>
      <c r="D818" s="43" t="s">
        <v>1046</v>
      </c>
      <c r="E818" s="44"/>
      <c r="F818" s="44">
        <v>571299</v>
      </c>
      <c r="G818" s="44" t="str">
        <f>VLOOKUP(F818,[1]装箱单!$A:$C,3,0)</f>
        <v>自卸车</v>
      </c>
      <c r="H818" s="44">
        <v>68</v>
      </c>
      <c r="I818" s="45">
        <f t="shared" si="77"/>
        <v>68</v>
      </c>
      <c r="J818" s="45" t="s">
        <v>32</v>
      </c>
      <c r="K818" s="45" t="s">
        <v>33</v>
      </c>
      <c r="L818" s="46">
        <v>68</v>
      </c>
      <c r="M818" s="43">
        <f t="shared" si="78"/>
        <v>1.822128</v>
      </c>
      <c r="N818" s="46" t="s">
        <v>34</v>
      </c>
      <c r="O818" s="44"/>
      <c r="P818" s="48"/>
      <c r="Q818" s="8">
        <f>VLOOKUP($F818,[1]装箱单!$A:$E,5,0)</f>
        <v>42</v>
      </c>
      <c r="R818" s="8">
        <f>VLOOKUP($F818,[1]装箱单!$A:$F,6,0)</f>
        <v>22</v>
      </c>
      <c r="S818" s="8">
        <f>VLOOKUP($F818,[1]装箱单!$A:$G,7,0)</f>
        <v>29</v>
      </c>
      <c r="T818" s="10">
        <f>VLOOKUP($F818,[1]装箱单!$A:$J,10,0)</f>
        <v>0.026796</v>
      </c>
      <c r="U818" s="11">
        <f t="shared" si="79"/>
        <v>1.822128</v>
      </c>
    </row>
    <row r="819" ht="29.1" customHeight="1" spans="1:21">
      <c r="A819" s="40">
        <v>46163</v>
      </c>
      <c r="B819" s="41" t="s">
        <v>905</v>
      </c>
      <c r="C819" s="42" t="s">
        <v>1100</v>
      </c>
      <c r="D819" s="43" t="s">
        <v>1046</v>
      </c>
      <c r="E819" s="44"/>
      <c r="F819" s="44">
        <v>571299</v>
      </c>
      <c r="G819" s="44" t="str">
        <f>VLOOKUP(F819,[1]装箱单!$A:$C,3,0)</f>
        <v>自卸车</v>
      </c>
      <c r="H819" s="44">
        <v>94</v>
      </c>
      <c r="I819" s="45">
        <f t="shared" si="77"/>
        <v>94</v>
      </c>
      <c r="J819" s="45" t="s">
        <v>32</v>
      </c>
      <c r="K819" s="45" t="s">
        <v>33</v>
      </c>
      <c r="L819" s="46">
        <v>94</v>
      </c>
      <c r="M819" s="43">
        <f t="shared" si="78"/>
        <v>2.518824</v>
      </c>
      <c r="N819" s="46" t="s">
        <v>34</v>
      </c>
      <c r="O819" s="44"/>
      <c r="P819" s="48"/>
      <c r="Q819" s="8">
        <f>VLOOKUP($F819,[1]装箱单!$A:$E,5,0)</f>
        <v>42</v>
      </c>
      <c r="R819" s="8">
        <f>VLOOKUP($F819,[1]装箱单!$A:$F,6,0)</f>
        <v>22</v>
      </c>
      <c r="S819" s="8">
        <f>VLOOKUP($F819,[1]装箱单!$A:$G,7,0)</f>
        <v>29</v>
      </c>
      <c r="T819" s="10">
        <f>VLOOKUP($F819,[1]装箱单!$A:$J,10,0)</f>
        <v>0.026796</v>
      </c>
      <c r="U819" s="11">
        <f t="shared" si="79"/>
        <v>2.518824</v>
      </c>
    </row>
    <row r="820" ht="29.1" customHeight="1" spans="1:21">
      <c r="A820" s="40">
        <v>46163</v>
      </c>
      <c r="B820" s="41" t="s">
        <v>905</v>
      </c>
      <c r="C820" s="42" t="s">
        <v>1101</v>
      </c>
      <c r="D820" s="43" t="s">
        <v>1102</v>
      </c>
      <c r="E820" s="44"/>
      <c r="F820" s="44">
        <v>571299</v>
      </c>
      <c r="G820" s="44" t="str">
        <f>VLOOKUP(F820,[1]装箱单!$A:$C,3,0)</f>
        <v>自卸车</v>
      </c>
      <c r="H820" s="44">
        <v>2500</v>
      </c>
      <c r="I820" s="45">
        <f t="shared" si="77"/>
        <v>572</v>
      </c>
      <c r="J820" s="45" t="s">
        <v>32</v>
      </c>
      <c r="K820" s="45" t="s">
        <v>33</v>
      </c>
      <c r="L820" s="46">
        <v>572</v>
      </c>
      <c r="M820" s="43">
        <f t="shared" si="78"/>
        <v>15.327312</v>
      </c>
      <c r="N820" s="46" t="s">
        <v>34</v>
      </c>
      <c r="O820" s="44"/>
      <c r="P820" s="48"/>
      <c r="Q820" s="8">
        <f>VLOOKUP($F820,[1]装箱单!$A:$E,5,0)</f>
        <v>42</v>
      </c>
      <c r="R820" s="8">
        <f>VLOOKUP($F820,[1]装箱单!$A:$F,6,0)</f>
        <v>22</v>
      </c>
      <c r="S820" s="8">
        <f>VLOOKUP($F820,[1]装箱单!$A:$G,7,0)</f>
        <v>29</v>
      </c>
      <c r="T820" s="10">
        <f>VLOOKUP($F820,[1]装箱单!$A:$J,10,0)</f>
        <v>0.026796</v>
      </c>
      <c r="U820" s="11">
        <f t="shared" si="79"/>
        <v>15.327312</v>
      </c>
    </row>
    <row r="821" ht="29.1" customHeight="1" spans="1:21">
      <c r="A821" s="40"/>
      <c r="B821" s="41"/>
      <c r="C821" s="42"/>
      <c r="D821" s="43"/>
      <c r="E821" s="44"/>
      <c r="F821" s="44"/>
      <c r="G821" s="44"/>
      <c r="H821" s="44"/>
      <c r="I821" s="45"/>
      <c r="J821" s="45"/>
      <c r="K821" s="45"/>
      <c r="L821" s="46"/>
      <c r="M821" s="43">
        <f>SUM(M782:M820)</f>
        <v>133.772746</v>
      </c>
      <c r="N821" s="46"/>
      <c r="O821" s="44"/>
      <c r="P821" s="51"/>
    </row>
    <row r="822" ht="29.1" customHeight="1" spans="1:21">
      <c r="A822" s="40">
        <v>46165</v>
      </c>
      <c r="B822" s="52" t="s">
        <v>922</v>
      </c>
      <c r="C822" s="42" t="s">
        <v>1073</v>
      </c>
      <c r="D822" s="43" t="s">
        <v>945</v>
      </c>
      <c r="E822" s="44" t="s">
        <v>1103</v>
      </c>
      <c r="F822" s="44">
        <v>33477</v>
      </c>
      <c r="G822" s="44" t="str">
        <f>VLOOKUP(F822,[1]装箱单!$A:$C,3,0)</f>
        <v>搪小鸭外星史迪仔</v>
      </c>
      <c r="H822" s="44">
        <v>8</v>
      </c>
      <c r="I822" s="45">
        <v>756</v>
      </c>
      <c r="J822" s="45" t="s">
        <v>32</v>
      </c>
      <c r="K822" s="45" t="s">
        <v>33</v>
      </c>
      <c r="L822" s="50">
        <v>8</v>
      </c>
      <c r="M822" s="43"/>
      <c r="N822" s="46"/>
      <c r="O822" s="49" t="s">
        <v>1104</v>
      </c>
      <c r="P822" s="47" t="s">
        <v>1105</v>
      </c>
    </row>
    <row r="823" ht="29.1" customHeight="1" spans="1:21">
      <c r="A823" s="40">
        <v>46165</v>
      </c>
      <c r="B823" s="52" t="s">
        <v>922</v>
      </c>
      <c r="C823" s="42" t="s">
        <v>1074</v>
      </c>
      <c r="D823" s="43">
        <v>984878612</v>
      </c>
      <c r="E823" s="44" t="s">
        <v>1103</v>
      </c>
      <c r="F823" s="44">
        <v>33477</v>
      </c>
      <c r="G823" s="44" t="str">
        <f>VLOOKUP(F823,[1]装箱单!$A:$C,3,0)</f>
        <v>搪小鸭外星史迪仔</v>
      </c>
      <c r="H823" s="44"/>
      <c r="I823" s="45">
        <v>300</v>
      </c>
      <c r="J823" s="45" t="s">
        <v>32</v>
      </c>
      <c r="K823" s="45" t="s">
        <v>33</v>
      </c>
      <c r="L823" s="54"/>
      <c r="M823" s="43"/>
      <c r="N823" s="46"/>
      <c r="O823" s="53"/>
      <c r="P823" s="48"/>
    </row>
    <row r="824" ht="29.1" customHeight="1" spans="1:21">
      <c r="A824" s="40">
        <v>46165</v>
      </c>
      <c r="B824" s="52" t="s">
        <v>922</v>
      </c>
      <c r="C824" s="42" t="s">
        <v>1075</v>
      </c>
      <c r="D824" s="43">
        <v>984878621</v>
      </c>
      <c r="E824" s="44" t="s">
        <v>1103</v>
      </c>
      <c r="F824" s="44">
        <v>33477</v>
      </c>
      <c r="G824" s="44" t="str">
        <f>VLOOKUP(F824,[1]装箱单!$A:$C,3,0)</f>
        <v>搪小鸭外星史迪仔</v>
      </c>
      <c r="H824" s="44">
        <f>SUM(H822:H823)</f>
        <v>8</v>
      </c>
      <c r="I824" s="45">
        <v>400</v>
      </c>
      <c r="J824" s="45" t="s">
        <v>32</v>
      </c>
      <c r="K824" s="45" t="s">
        <v>33</v>
      </c>
      <c r="L824" s="56"/>
      <c r="M824" s="43"/>
      <c r="N824" s="46"/>
      <c r="O824" s="55"/>
      <c r="P824" s="51"/>
    </row>
    <row r="825" ht="29.1" customHeight="1" spans="1:21">
      <c r="A825" s="40">
        <v>46164</v>
      </c>
      <c r="B825" s="41" t="s">
        <v>905</v>
      </c>
      <c r="C825" s="42" t="s">
        <v>1101</v>
      </c>
      <c r="D825" s="43" t="s">
        <v>1102</v>
      </c>
      <c r="E825" s="44"/>
      <c r="F825" s="44">
        <v>571299</v>
      </c>
      <c r="G825" s="44" t="str">
        <f>VLOOKUP(F825,[1]装箱单!$A:$C,3,0)</f>
        <v>自卸车</v>
      </c>
      <c r="H825" s="44">
        <v>2500</v>
      </c>
      <c r="I825" s="45">
        <f>+L825</f>
        <v>1928</v>
      </c>
      <c r="J825" s="45" t="s">
        <v>32</v>
      </c>
      <c r="K825" s="45" t="s">
        <v>33</v>
      </c>
      <c r="L825" s="46">
        <f>2500-572</f>
        <v>1928</v>
      </c>
      <c r="M825" s="43">
        <f t="shared" ref="M825:M830" si="80">+U825</f>
        <v>51.662688</v>
      </c>
      <c r="N825" s="46" t="s">
        <v>34</v>
      </c>
      <c r="O825" s="44"/>
      <c r="P825" s="47" t="s">
        <v>183</v>
      </c>
      <c r="Q825" s="8">
        <f>VLOOKUP($F825,[1]装箱单!$A:$E,5,0)</f>
        <v>42</v>
      </c>
      <c r="R825" s="8">
        <f>VLOOKUP($F825,[1]装箱单!$A:$F,6,0)</f>
        <v>22</v>
      </c>
      <c r="S825" s="8">
        <f>VLOOKUP($F825,[1]装箱单!$A:$G,7,0)</f>
        <v>29</v>
      </c>
      <c r="T825" s="10">
        <f>VLOOKUP($F825,[1]装箱单!$A:$J,10,0)</f>
        <v>0.026796</v>
      </c>
      <c r="U825" s="11">
        <f t="shared" ref="U825:U830" si="81">+T825*L825</f>
        <v>51.662688</v>
      </c>
    </row>
    <row r="826" ht="29.1" customHeight="1" spans="1:21">
      <c r="A826" s="40">
        <v>46164</v>
      </c>
      <c r="B826" s="41" t="s">
        <v>905</v>
      </c>
      <c r="C826" s="42" t="s">
        <v>1106</v>
      </c>
      <c r="D826" s="43" t="s">
        <v>1102</v>
      </c>
      <c r="E826" s="44"/>
      <c r="F826" s="44">
        <v>571299</v>
      </c>
      <c r="G826" s="44" t="str">
        <f>VLOOKUP(F826,[1]装箱单!$A:$C,3,0)</f>
        <v>自卸车</v>
      </c>
      <c r="H826" s="44">
        <v>1000</v>
      </c>
      <c r="I826" s="45">
        <f>+L826</f>
        <v>1000</v>
      </c>
      <c r="J826" s="45" t="s">
        <v>32</v>
      </c>
      <c r="K826" s="45" t="s">
        <v>33</v>
      </c>
      <c r="L826" s="46">
        <v>1000</v>
      </c>
      <c r="M826" s="43">
        <f t="shared" si="80"/>
        <v>26.796</v>
      </c>
      <c r="N826" s="46" t="s">
        <v>34</v>
      </c>
      <c r="O826" s="44"/>
      <c r="P826" s="48"/>
      <c r="Q826" s="8">
        <f>VLOOKUP($F826,[1]装箱单!$A:$E,5,0)</f>
        <v>42</v>
      </c>
      <c r="R826" s="8">
        <f>VLOOKUP($F826,[1]装箱单!$A:$F,6,0)</f>
        <v>22</v>
      </c>
      <c r="S826" s="8">
        <f>VLOOKUP($F826,[1]装箱单!$A:$G,7,0)</f>
        <v>29</v>
      </c>
      <c r="T826" s="10">
        <f>VLOOKUP($F826,[1]装箱单!$A:$J,10,0)</f>
        <v>0.026796</v>
      </c>
      <c r="U826" s="11">
        <f t="shared" si="81"/>
        <v>26.796</v>
      </c>
    </row>
    <row r="827" ht="29.1" customHeight="1" spans="1:21">
      <c r="A827" s="40">
        <v>46164</v>
      </c>
      <c r="B827" s="41" t="s">
        <v>905</v>
      </c>
      <c r="C827" s="42" t="s">
        <v>1106</v>
      </c>
      <c r="D827" s="43" t="s">
        <v>1107</v>
      </c>
      <c r="E827" s="44" t="s">
        <v>1108</v>
      </c>
      <c r="F827" s="44">
        <v>470764</v>
      </c>
      <c r="G827" s="44" t="str">
        <f>VLOOKUP(F827,[1]装箱单!$A:$C,3,0)</f>
        <v>大型自卸车</v>
      </c>
      <c r="H827" s="44">
        <v>1500</v>
      </c>
      <c r="I827" s="45">
        <f>+L827</f>
        <v>1500</v>
      </c>
      <c r="J827" s="45" t="s">
        <v>32</v>
      </c>
      <c r="K827" s="45" t="s">
        <v>33</v>
      </c>
      <c r="L827" s="46">
        <v>1500</v>
      </c>
      <c r="M827" s="43">
        <f t="shared" si="80"/>
        <v>40.194</v>
      </c>
      <c r="N827" s="46" t="s">
        <v>34</v>
      </c>
      <c r="O827" s="44"/>
      <c r="P827" s="48"/>
      <c r="Q827" s="8">
        <f>VLOOKUP($F827,[1]装箱单!$A:$E,5,0)</f>
        <v>42</v>
      </c>
      <c r="R827" s="8">
        <f>VLOOKUP($F827,[1]装箱单!$A:$F,6,0)</f>
        <v>22</v>
      </c>
      <c r="S827" s="8">
        <f>VLOOKUP($F827,[1]装箱单!$A:$G,7,0)</f>
        <v>29</v>
      </c>
      <c r="T827" s="10">
        <f>VLOOKUP($F827,[1]装箱单!$A:$J,10,0)</f>
        <v>0.026796</v>
      </c>
      <c r="U827" s="11">
        <f t="shared" si="81"/>
        <v>40.194</v>
      </c>
    </row>
    <row r="828" ht="29.1" customHeight="1" spans="1:21">
      <c r="A828" s="40">
        <v>46164</v>
      </c>
      <c r="B828" s="41" t="s">
        <v>905</v>
      </c>
      <c r="C828" s="42" t="s">
        <v>1060</v>
      </c>
      <c r="D828" s="43" t="s">
        <v>1107</v>
      </c>
      <c r="E828" s="44">
        <v>1827287</v>
      </c>
      <c r="F828" s="44">
        <v>470764</v>
      </c>
      <c r="G828" s="44" t="str">
        <f>VLOOKUP(F828,[1]装箱单!$A:$C,3,0)</f>
        <v>大型自卸车</v>
      </c>
      <c r="H828" s="44">
        <v>200</v>
      </c>
      <c r="I828" s="45">
        <f>+L828</f>
        <v>200</v>
      </c>
      <c r="J828" s="45" t="s">
        <v>32</v>
      </c>
      <c r="K828" s="45" t="s">
        <v>33</v>
      </c>
      <c r="L828" s="46">
        <v>200</v>
      </c>
      <c r="M828" s="43">
        <f t="shared" si="80"/>
        <v>5.3592</v>
      </c>
      <c r="N828" s="46" t="s">
        <v>34</v>
      </c>
      <c r="O828" s="44"/>
      <c r="P828" s="48"/>
      <c r="Q828" s="8">
        <f>VLOOKUP($F828,[1]装箱单!$A:$E,5,0)</f>
        <v>42</v>
      </c>
      <c r="R828" s="8">
        <f>VLOOKUP($F828,[1]装箱单!$A:$F,6,0)</f>
        <v>22</v>
      </c>
      <c r="S828" s="8">
        <f>VLOOKUP($F828,[1]装箱单!$A:$G,7,0)</f>
        <v>29</v>
      </c>
      <c r="T828" s="10">
        <f>VLOOKUP($F828,[1]装箱单!$A:$J,10,0)</f>
        <v>0.026796</v>
      </c>
      <c r="U828" s="11">
        <f t="shared" si="81"/>
        <v>5.3592</v>
      </c>
    </row>
    <row r="829" ht="29.1" customHeight="1" spans="1:21">
      <c r="A829" s="40">
        <v>46164</v>
      </c>
      <c r="B829" s="41" t="s">
        <v>1109</v>
      </c>
      <c r="C829" s="42" t="s">
        <v>1110</v>
      </c>
      <c r="D829" s="43" t="s">
        <v>1111</v>
      </c>
      <c r="E829" s="44" t="s">
        <v>1112</v>
      </c>
      <c r="F829" s="44" t="s">
        <v>122</v>
      </c>
      <c r="G829" s="44" t="str">
        <f>VLOOKUP(F829,[1]装箱单!$A:$C,3,0)</f>
        <v>搪胶小鸭</v>
      </c>
      <c r="H829" s="44">
        <v>240</v>
      </c>
      <c r="I829" s="45">
        <v>8640</v>
      </c>
      <c r="J829" s="45" t="s">
        <v>32</v>
      </c>
      <c r="K829" s="45" t="s">
        <v>33</v>
      </c>
      <c r="L829" s="46">
        <f>+I829/36</f>
        <v>240</v>
      </c>
      <c r="M829" s="43">
        <f t="shared" si="80"/>
        <v>2.850574944</v>
      </c>
      <c r="N829" s="46" t="s">
        <v>34</v>
      </c>
      <c r="O829" s="44"/>
      <c r="P829" s="48"/>
      <c r="Q829" s="8">
        <f>VLOOKUP($F829,[1]装箱单!$A:$E,5,0)</f>
        <v>31.75</v>
      </c>
      <c r="R829" s="8">
        <f>VLOOKUP($F829,[1]装箱单!$A:$F,6,0)</f>
        <v>18.41</v>
      </c>
      <c r="S829" s="8">
        <f>VLOOKUP($F829,[1]装箱单!$A:$G,7,0)</f>
        <v>20.32</v>
      </c>
      <c r="T829" s="10">
        <f>VLOOKUP($F829,[1]装箱单!$A:$J,10,0)</f>
        <v>0.0118773956</v>
      </c>
      <c r="U829" s="11">
        <f t="shared" si="81"/>
        <v>2.850574944</v>
      </c>
    </row>
    <row r="830" ht="29.1" customHeight="1" spans="1:21">
      <c r="A830" s="40">
        <v>46164</v>
      </c>
      <c r="B830" s="41" t="s">
        <v>1109</v>
      </c>
      <c r="C830" s="42" t="s">
        <v>1113</v>
      </c>
      <c r="D830" s="43" t="s">
        <v>1114</v>
      </c>
      <c r="E830" s="44" t="s">
        <v>1115</v>
      </c>
      <c r="F830" s="44" t="s">
        <v>122</v>
      </c>
      <c r="G830" s="44" t="str">
        <f>VLOOKUP(F830,[1]装箱单!$A:$C,3,0)</f>
        <v>搪胶小鸭</v>
      </c>
      <c r="H830" s="44">
        <v>139</v>
      </c>
      <c r="I830" s="45">
        <v>5004</v>
      </c>
      <c r="J830" s="45" t="s">
        <v>32</v>
      </c>
      <c r="K830" s="45" t="s">
        <v>33</v>
      </c>
      <c r="L830" s="46">
        <f>+I830/36</f>
        <v>139</v>
      </c>
      <c r="M830" s="43">
        <f t="shared" si="80"/>
        <v>1.6509579884</v>
      </c>
      <c r="N830" s="46" t="s">
        <v>34</v>
      </c>
      <c r="O830" s="44"/>
      <c r="P830" s="48"/>
      <c r="Q830" s="8">
        <f>VLOOKUP($F830,[1]装箱单!$A:$E,5,0)</f>
        <v>31.75</v>
      </c>
      <c r="R830" s="8">
        <f>VLOOKUP($F830,[1]装箱单!$A:$F,6,0)</f>
        <v>18.41</v>
      </c>
      <c r="S830" s="8">
        <f>VLOOKUP($F830,[1]装箱单!$A:$G,7,0)</f>
        <v>20.32</v>
      </c>
      <c r="T830" s="10">
        <f>VLOOKUP($F830,[1]装箱单!$A:$J,10,0)</f>
        <v>0.0118773956</v>
      </c>
      <c r="U830" s="11">
        <f t="shared" si="81"/>
        <v>1.6509579884</v>
      </c>
    </row>
    <row r="831" ht="29.1" customHeight="1" spans="1:21">
      <c r="A831" s="40"/>
      <c r="B831" s="41"/>
      <c r="C831" s="42"/>
      <c r="D831" s="43"/>
      <c r="E831" s="44"/>
      <c r="F831" s="44"/>
      <c r="G831" s="44"/>
      <c r="H831" s="44"/>
      <c r="I831" s="45"/>
      <c r="J831" s="45"/>
      <c r="K831" s="45"/>
      <c r="L831" s="46"/>
      <c r="M831" s="43">
        <f>SUM(M825:M830)</f>
        <v>128.5134209324</v>
      </c>
      <c r="N831" s="46"/>
      <c r="O831" s="44"/>
      <c r="P831" s="51"/>
    </row>
    <row r="832" ht="29.1" customHeight="1" spans="1:21">
      <c r="A832" s="40">
        <v>46165</v>
      </c>
      <c r="B832" s="41" t="s">
        <v>855</v>
      </c>
      <c r="C832" s="42" t="s">
        <v>856</v>
      </c>
      <c r="D832" s="43" t="s">
        <v>857</v>
      </c>
      <c r="E832" s="139" t="s">
        <v>858</v>
      </c>
      <c r="F832" s="44" t="s">
        <v>175</v>
      </c>
      <c r="G832" s="44" t="str">
        <f>VLOOKUP(F832,[1]装箱单!$A:$C,3,0)</f>
        <v>投影米奇</v>
      </c>
      <c r="H832" s="44">
        <v>11</v>
      </c>
      <c r="I832" s="45">
        <v>44</v>
      </c>
      <c r="J832" s="45" t="s">
        <v>32</v>
      </c>
      <c r="K832" s="45" t="s">
        <v>33</v>
      </c>
      <c r="L832" s="46">
        <f t="shared" ref="L832:L837" si="82">+I832/4</f>
        <v>11</v>
      </c>
      <c r="M832" s="43">
        <f t="shared" ref="M832:M849" si="83">+U832</f>
        <v>1.10544726893975</v>
      </c>
      <c r="N832" s="46" t="s">
        <v>34</v>
      </c>
      <c r="O832" s="44"/>
      <c r="P832" s="47" t="s">
        <v>1116</v>
      </c>
      <c r="Q832" s="8">
        <f>VLOOKUP($F832,[1]装箱单!$A:$E,5,0)</f>
        <v>64.135</v>
      </c>
      <c r="R832" s="8">
        <f>VLOOKUP($F832,[1]装箱单!$A:$F,6,0)</f>
        <v>36.83</v>
      </c>
      <c r="S832" s="8">
        <f>VLOOKUP($F832,[1]装箱单!$A:$G,7,0)</f>
        <v>42.545</v>
      </c>
      <c r="T832" s="10">
        <f>VLOOKUP($F832,[1]装箱单!$A:$J,10,0)</f>
        <v>0.10049520626725</v>
      </c>
      <c r="U832" s="11">
        <f t="shared" ref="U832:U849" si="84">+T832*L832</f>
        <v>1.10544726893975</v>
      </c>
    </row>
    <row r="833" ht="29.1" customHeight="1" spans="1:21">
      <c r="A833" s="40">
        <v>46165</v>
      </c>
      <c r="B833" s="41" t="s">
        <v>855</v>
      </c>
      <c r="C833" s="42" t="s">
        <v>859</v>
      </c>
      <c r="D833" s="43" t="s">
        <v>860</v>
      </c>
      <c r="E833" s="139" t="s">
        <v>861</v>
      </c>
      <c r="F833" s="44" t="s">
        <v>175</v>
      </c>
      <c r="G833" s="44" t="str">
        <f>VLOOKUP(F833,[1]装箱单!$A:$C,3,0)</f>
        <v>投影米奇</v>
      </c>
      <c r="H833" s="44">
        <v>13</v>
      </c>
      <c r="I833" s="45">
        <v>52</v>
      </c>
      <c r="J833" s="45" t="s">
        <v>32</v>
      </c>
      <c r="K833" s="45" t="s">
        <v>33</v>
      </c>
      <c r="L833" s="46">
        <f t="shared" si="82"/>
        <v>13</v>
      </c>
      <c r="M833" s="43">
        <f t="shared" si="83"/>
        <v>1.30643768147425</v>
      </c>
      <c r="N833" s="46" t="s">
        <v>34</v>
      </c>
      <c r="O833" s="44"/>
      <c r="P833" s="48"/>
      <c r="Q833" s="8">
        <f>VLOOKUP($F833,[1]装箱单!$A:$E,5,0)</f>
        <v>64.135</v>
      </c>
      <c r="R833" s="8">
        <f>VLOOKUP($F833,[1]装箱单!$A:$F,6,0)</f>
        <v>36.83</v>
      </c>
      <c r="S833" s="8">
        <f>VLOOKUP($F833,[1]装箱单!$A:$G,7,0)</f>
        <v>42.545</v>
      </c>
      <c r="T833" s="10">
        <f>VLOOKUP($F833,[1]装箱单!$A:$J,10,0)</f>
        <v>0.10049520626725</v>
      </c>
      <c r="U833" s="11">
        <f t="shared" si="84"/>
        <v>1.30643768147425</v>
      </c>
    </row>
    <row r="834" ht="29.1" customHeight="1" spans="1:21">
      <c r="A834" s="40">
        <v>46165</v>
      </c>
      <c r="B834" s="41" t="s">
        <v>855</v>
      </c>
      <c r="C834" s="42" t="s">
        <v>862</v>
      </c>
      <c r="D834" s="43" t="s">
        <v>863</v>
      </c>
      <c r="E834" s="139" t="s">
        <v>864</v>
      </c>
      <c r="F834" s="44" t="s">
        <v>175</v>
      </c>
      <c r="G834" s="44" t="str">
        <f>VLOOKUP(F834,[1]装箱单!$A:$C,3,0)</f>
        <v>投影米奇</v>
      </c>
      <c r="H834" s="44">
        <v>17</v>
      </c>
      <c r="I834" s="45">
        <v>68</v>
      </c>
      <c r="J834" s="45" t="s">
        <v>32</v>
      </c>
      <c r="K834" s="45" t="s">
        <v>33</v>
      </c>
      <c r="L834" s="46">
        <f t="shared" si="82"/>
        <v>17</v>
      </c>
      <c r="M834" s="43">
        <f t="shared" si="83"/>
        <v>1.70841850654325</v>
      </c>
      <c r="N834" s="46" t="s">
        <v>34</v>
      </c>
      <c r="O834" s="44"/>
      <c r="P834" s="48"/>
      <c r="Q834" s="8">
        <f>VLOOKUP($F834,[1]装箱单!$A:$E,5,0)</f>
        <v>64.135</v>
      </c>
      <c r="R834" s="8">
        <f>VLOOKUP($F834,[1]装箱单!$A:$F,6,0)</f>
        <v>36.83</v>
      </c>
      <c r="S834" s="8">
        <f>VLOOKUP($F834,[1]装箱单!$A:$G,7,0)</f>
        <v>42.545</v>
      </c>
      <c r="T834" s="10">
        <f>VLOOKUP($F834,[1]装箱单!$A:$J,10,0)</f>
        <v>0.10049520626725</v>
      </c>
      <c r="U834" s="11">
        <f t="shared" si="84"/>
        <v>1.70841850654325</v>
      </c>
    </row>
    <row r="835" ht="29.1" customHeight="1" spans="1:21">
      <c r="A835" s="40">
        <v>46165</v>
      </c>
      <c r="B835" s="41" t="s">
        <v>855</v>
      </c>
      <c r="C835" s="42" t="s">
        <v>865</v>
      </c>
      <c r="D835" s="43" t="s">
        <v>866</v>
      </c>
      <c r="E835" s="139" t="s">
        <v>867</v>
      </c>
      <c r="F835" s="44" t="s">
        <v>175</v>
      </c>
      <c r="G835" s="44" t="str">
        <f>VLOOKUP(F835,[1]装箱单!$A:$C,3,0)</f>
        <v>投影米奇</v>
      </c>
      <c r="H835" s="44">
        <v>18</v>
      </c>
      <c r="I835" s="45">
        <v>72</v>
      </c>
      <c r="J835" s="45" t="s">
        <v>32</v>
      </c>
      <c r="K835" s="45" t="s">
        <v>33</v>
      </c>
      <c r="L835" s="46">
        <f t="shared" si="82"/>
        <v>18</v>
      </c>
      <c r="M835" s="43">
        <f t="shared" si="83"/>
        <v>1.8089137128105</v>
      </c>
      <c r="N835" s="46" t="s">
        <v>34</v>
      </c>
      <c r="O835" s="44"/>
      <c r="P835" s="48"/>
      <c r="Q835" s="8">
        <f>VLOOKUP($F835,[1]装箱单!$A:$E,5,0)</f>
        <v>64.135</v>
      </c>
      <c r="R835" s="8">
        <f>VLOOKUP($F835,[1]装箱单!$A:$F,6,0)</f>
        <v>36.83</v>
      </c>
      <c r="S835" s="8">
        <f>VLOOKUP($F835,[1]装箱单!$A:$G,7,0)</f>
        <v>42.545</v>
      </c>
      <c r="T835" s="10">
        <f>VLOOKUP($F835,[1]装箱单!$A:$J,10,0)</f>
        <v>0.10049520626725</v>
      </c>
      <c r="U835" s="11">
        <f t="shared" si="84"/>
        <v>1.8089137128105</v>
      </c>
    </row>
    <row r="836" ht="29.1" customHeight="1" spans="1:21">
      <c r="A836" s="40">
        <v>46165</v>
      </c>
      <c r="B836" s="41" t="s">
        <v>855</v>
      </c>
      <c r="C836" s="42" t="s">
        <v>868</v>
      </c>
      <c r="D836" s="43" t="s">
        <v>869</v>
      </c>
      <c r="E836" s="139" t="s">
        <v>870</v>
      </c>
      <c r="F836" s="44" t="s">
        <v>175</v>
      </c>
      <c r="G836" s="44" t="str">
        <f>VLOOKUP(F836,[1]装箱单!$A:$C,3,0)</f>
        <v>投影米奇</v>
      </c>
      <c r="H836" s="44">
        <v>16</v>
      </c>
      <c r="I836" s="45">
        <v>64</v>
      </c>
      <c r="J836" s="45" t="s">
        <v>32</v>
      </c>
      <c r="K836" s="45" t="s">
        <v>33</v>
      </c>
      <c r="L836" s="46">
        <f t="shared" si="82"/>
        <v>16</v>
      </c>
      <c r="M836" s="43">
        <f t="shared" si="83"/>
        <v>1.607923300276</v>
      </c>
      <c r="N836" s="46" t="s">
        <v>34</v>
      </c>
      <c r="O836" s="44"/>
      <c r="P836" s="48"/>
      <c r="Q836" s="8">
        <f>VLOOKUP($F836,[1]装箱单!$A:$E,5,0)</f>
        <v>64.135</v>
      </c>
      <c r="R836" s="8">
        <f>VLOOKUP($F836,[1]装箱单!$A:$F,6,0)</f>
        <v>36.83</v>
      </c>
      <c r="S836" s="8">
        <f>VLOOKUP($F836,[1]装箱单!$A:$G,7,0)</f>
        <v>42.545</v>
      </c>
      <c r="T836" s="10">
        <f>VLOOKUP($F836,[1]装箱单!$A:$J,10,0)</f>
        <v>0.10049520626725</v>
      </c>
      <c r="U836" s="11">
        <f t="shared" si="84"/>
        <v>1.607923300276</v>
      </c>
    </row>
    <row r="837" ht="29.1" customHeight="1" spans="1:21">
      <c r="A837" s="40">
        <v>46165</v>
      </c>
      <c r="B837" s="41" t="s">
        <v>1117</v>
      </c>
      <c r="C837" s="42" t="s">
        <v>1118</v>
      </c>
      <c r="D837" s="43" t="s">
        <v>1119</v>
      </c>
      <c r="E837" s="44" t="s">
        <v>1120</v>
      </c>
      <c r="F837" s="44" t="s">
        <v>175</v>
      </c>
      <c r="G837" s="44" t="str">
        <f>VLOOKUP(F837,[1]装箱单!$A:$C,3,0)</f>
        <v>投影米奇</v>
      </c>
      <c r="H837" s="44">
        <v>250</v>
      </c>
      <c r="I837" s="45">
        <v>1000</v>
      </c>
      <c r="J837" s="45" t="s">
        <v>32</v>
      </c>
      <c r="K837" s="45" t="s">
        <v>33</v>
      </c>
      <c r="L837" s="46">
        <f t="shared" si="82"/>
        <v>250</v>
      </c>
      <c r="M837" s="43">
        <f t="shared" si="83"/>
        <v>25.1238015668125</v>
      </c>
      <c r="N837" s="46" t="s">
        <v>34</v>
      </c>
      <c r="O837" s="44"/>
      <c r="P837" s="48"/>
      <c r="Q837" s="8">
        <f>VLOOKUP($F837,[1]装箱单!$A:$E,5,0)</f>
        <v>64.135</v>
      </c>
      <c r="R837" s="8">
        <f>VLOOKUP($F837,[1]装箱单!$A:$F,6,0)</f>
        <v>36.83</v>
      </c>
      <c r="S837" s="8">
        <f>VLOOKUP($F837,[1]装箱单!$A:$G,7,0)</f>
        <v>42.545</v>
      </c>
      <c r="T837" s="10">
        <f>VLOOKUP($F837,[1]装箱单!$A:$J,10,0)</f>
        <v>0.10049520626725</v>
      </c>
      <c r="U837" s="11">
        <f t="shared" si="84"/>
        <v>25.1238015668125</v>
      </c>
    </row>
    <row r="838" ht="29.1" customHeight="1" spans="1:21">
      <c r="A838" s="40">
        <v>46165</v>
      </c>
      <c r="B838" s="41" t="s">
        <v>1121</v>
      </c>
      <c r="C838" s="42" t="s">
        <v>1122</v>
      </c>
      <c r="D838" s="43" t="s">
        <v>1123</v>
      </c>
      <c r="E838" s="44" t="s">
        <v>1124</v>
      </c>
      <c r="F838" s="44" t="s">
        <v>894</v>
      </c>
      <c r="G838" s="44" t="str">
        <f>VLOOKUP(F838,[1]装箱单!$A:$C,3,0)</f>
        <v>摇摆米奇</v>
      </c>
      <c r="H838" s="44">
        <v>60</v>
      </c>
      <c r="I838" s="45">
        <v>120</v>
      </c>
      <c r="J838" s="45" t="s">
        <v>32</v>
      </c>
      <c r="K838" s="45" t="s">
        <v>33</v>
      </c>
      <c r="L838" s="46">
        <f>+I838/2</f>
        <v>60</v>
      </c>
      <c r="M838" s="43">
        <f t="shared" si="83"/>
        <v>3.0055923759</v>
      </c>
      <c r="N838" s="46" t="s">
        <v>34</v>
      </c>
      <c r="O838" s="44"/>
      <c r="P838" s="48"/>
      <c r="Q838" s="8">
        <f>VLOOKUP($F838,[1]装箱单!$A:$E,5,0)</f>
        <v>37.084</v>
      </c>
      <c r="R838" s="8">
        <f>VLOOKUP($F838,[1]装箱单!$A:$F,6,0)</f>
        <v>31.75</v>
      </c>
      <c r="S838" s="8">
        <f>VLOOKUP($F838,[1]装箱单!$A:$G,7,0)</f>
        <v>42.545</v>
      </c>
      <c r="T838" s="10">
        <f>VLOOKUP($F838,[1]装箱单!$A:$J,10,0)</f>
        <v>0.050093206265</v>
      </c>
      <c r="U838" s="11">
        <f t="shared" si="84"/>
        <v>3.0055923759</v>
      </c>
    </row>
    <row r="839" ht="29.1" customHeight="1" spans="1:21">
      <c r="A839" s="40">
        <v>46165</v>
      </c>
      <c r="B839" s="41" t="s">
        <v>1125</v>
      </c>
      <c r="C839" s="42" t="s">
        <v>1126</v>
      </c>
      <c r="D839" s="43" t="s">
        <v>1127</v>
      </c>
      <c r="E839" s="44" t="s">
        <v>1128</v>
      </c>
      <c r="F839" s="44" t="s">
        <v>199</v>
      </c>
      <c r="G839" s="44" t="str">
        <f>VLOOKUP(F839,[1]装箱单!$A:$C,3,0)</f>
        <v>搪胶小鸭</v>
      </c>
      <c r="H839" s="44">
        <v>620</v>
      </c>
      <c r="I839" s="45">
        <v>119040</v>
      </c>
      <c r="J839" s="45" t="s">
        <v>32</v>
      </c>
      <c r="K839" s="45" t="s">
        <v>33</v>
      </c>
      <c r="L839" s="46">
        <f>+I839/192</f>
        <v>620</v>
      </c>
      <c r="M839" s="43">
        <f t="shared" si="83"/>
        <v>23.44647552</v>
      </c>
      <c r="N839" s="46" t="s">
        <v>34</v>
      </c>
      <c r="O839" s="44"/>
      <c r="P839" s="48"/>
      <c r="Q839" s="8">
        <f>VLOOKUP($F839,[1]装箱单!$A:$E,5,0)</f>
        <v>32.7</v>
      </c>
      <c r="R839" s="8">
        <f>VLOOKUP($F839,[1]装箱单!$A:$F,6,0)</f>
        <v>27.8</v>
      </c>
      <c r="S839" s="8">
        <f>VLOOKUP($F839,[1]装箱单!$A:$G,7,0)</f>
        <v>41.6</v>
      </c>
      <c r="T839" s="10">
        <f>VLOOKUP($F839,[1]装箱单!$A:$J,10,0)</f>
        <v>0.037816896</v>
      </c>
      <c r="U839" s="11">
        <f t="shared" si="84"/>
        <v>23.44647552</v>
      </c>
    </row>
    <row r="840" ht="29.1" customHeight="1" spans="1:21">
      <c r="A840" s="40">
        <v>46165</v>
      </c>
      <c r="B840" s="41" t="s">
        <v>1129</v>
      </c>
      <c r="C840" s="42" t="s">
        <v>1130</v>
      </c>
      <c r="D840" s="43" t="s">
        <v>1131</v>
      </c>
      <c r="E840" s="44" t="s">
        <v>1132</v>
      </c>
      <c r="F840" s="44" t="s">
        <v>45</v>
      </c>
      <c r="G840" s="44" t="str">
        <f>VLOOKUP(F840,[1]装箱单!$A:$C,3,0)</f>
        <v>鸭子</v>
      </c>
      <c r="H840" s="44">
        <v>83</v>
      </c>
      <c r="I840" s="45">
        <v>1494</v>
      </c>
      <c r="J840" s="45" t="s">
        <v>32</v>
      </c>
      <c r="K840" s="45" t="s">
        <v>33</v>
      </c>
      <c r="L840" s="46">
        <f>+I840/18</f>
        <v>83</v>
      </c>
      <c r="M840" s="43">
        <f t="shared" si="83"/>
        <v>0.4808200464225</v>
      </c>
      <c r="N840" s="46" t="s">
        <v>34</v>
      </c>
      <c r="O840" s="44"/>
      <c r="P840" s="48"/>
      <c r="Q840" s="8">
        <f>VLOOKUP($F840,[1]装箱单!$A:$E,5,0)</f>
        <v>32.385</v>
      </c>
      <c r="R840" s="8">
        <f>VLOOKUP($F840,[1]装箱单!$A:$F,6,0)</f>
        <v>18.78</v>
      </c>
      <c r="S840" s="8">
        <f>VLOOKUP($F840,[1]装箱单!$A:$G,7,0)</f>
        <v>9.525</v>
      </c>
      <c r="T840" s="10">
        <f>VLOOKUP($F840,[1]装箱单!$A:$J,10,0)</f>
        <v>0.0057930126075</v>
      </c>
      <c r="U840" s="11">
        <f t="shared" si="84"/>
        <v>0.4808200464225</v>
      </c>
    </row>
    <row r="841" ht="29.1" customHeight="1" spans="1:21">
      <c r="A841" s="40">
        <v>46165</v>
      </c>
      <c r="B841" s="41" t="s">
        <v>1133</v>
      </c>
      <c r="C841" s="42" t="s">
        <v>1134</v>
      </c>
      <c r="D841" s="43" t="s">
        <v>1135</v>
      </c>
      <c r="E841" s="44" t="s">
        <v>1136</v>
      </c>
      <c r="F841" s="44" t="s">
        <v>45</v>
      </c>
      <c r="G841" s="44" t="str">
        <f>VLOOKUP(F841,[1]装箱单!$A:$C,3,0)</f>
        <v>鸭子</v>
      </c>
      <c r="H841" s="44">
        <v>1000</v>
      </c>
      <c r="I841" s="45">
        <v>18000</v>
      </c>
      <c r="J841" s="45" t="s">
        <v>32</v>
      </c>
      <c r="K841" s="45" t="s">
        <v>33</v>
      </c>
      <c r="L841" s="46">
        <f>+I841/18</f>
        <v>1000</v>
      </c>
      <c r="M841" s="43">
        <f t="shared" si="83"/>
        <v>5.7930126075</v>
      </c>
      <c r="N841" s="46" t="s">
        <v>34</v>
      </c>
      <c r="O841" s="44"/>
      <c r="P841" s="48"/>
      <c r="Q841" s="8">
        <f>VLOOKUP($F841,[1]装箱单!$A:$E,5,0)</f>
        <v>32.385</v>
      </c>
      <c r="R841" s="8">
        <f>VLOOKUP($F841,[1]装箱单!$A:$F,6,0)</f>
        <v>18.78</v>
      </c>
      <c r="S841" s="8">
        <f>VLOOKUP($F841,[1]装箱单!$A:$G,7,0)</f>
        <v>9.525</v>
      </c>
      <c r="T841" s="10">
        <f>VLOOKUP($F841,[1]装箱单!$A:$J,10,0)</f>
        <v>0.0057930126075</v>
      </c>
      <c r="U841" s="11">
        <f t="shared" si="84"/>
        <v>5.7930126075</v>
      </c>
    </row>
    <row r="842" ht="29.1" customHeight="1" spans="1:21">
      <c r="A842" s="40">
        <v>46165</v>
      </c>
      <c r="B842" s="41" t="s">
        <v>1137</v>
      </c>
      <c r="C842" s="42" t="s">
        <v>1138</v>
      </c>
      <c r="D842" s="43" t="s">
        <v>1139</v>
      </c>
      <c r="E842" s="44" t="s">
        <v>1140</v>
      </c>
      <c r="F842" s="44" t="s">
        <v>45</v>
      </c>
      <c r="G842" s="44" t="str">
        <f>VLOOKUP(F842,[1]装箱单!$A:$C,3,0)</f>
        <v>鸭子</v>
      </c>
      <c r="H842" s="44">
        <v>630</v>
      </c>
      <c r="I842" s="45">
        <v>11340</v>
      </c>
      <c r="J842" s="45" t="s">
        <v>32</v>
      </c>
      <c r="K842" s="45" t="s">
        <v>33</v>
      </c>
      <c r="L842" s="46">
        <f>+I842/18</f>
        <v>630</v>
      </c>
      <c r="M842" s="43">
        <f t="shared" si="83"/>
        <v>3.649597942725</v>
      </c>
      <c r="N842" s="46" t="s">
        <v>34</v>
      </c>
      <c r="O842" s="44" t="s">
        <v>1141</v>
      </c>
      <c r="P842" s="48"/>
      <c r="Q842" s="8">
        <f>VLOOKUP($F842,[1]装箱单!$A:$E,5,0)</f>
        <v>32.385</v>
      </c>
      <c r="R842" s="8">
        <f>VLOOKUP($F842,[1]装箱单!$A:$F,6,0)</f>
        <v>18.78</v>
      </c>
      <c r="S842" s="8">
        <f>VLOOKUP($F842,[1]装箱单!$A:$G,7,0)</f>
        <v>9.525</v>
      </c>
      <c r="T842" s="10">
        <f>VLOOKUP($F842,[1]装箱单!$A:$J,10,0)</f>
        <v>0.0057930126075</v>
      </c>
      <c r="U842" s="11">
        <f t="shared" si="84"/>
        <v>3.649597942725</v>
      </c>
    </row>
    <row r="843" ht="29.1" customHeight="1" spans="1:21">
      <c r="A843" s="40">
        <v>46165</v>
      </c>
      <c r="B843" s="41" t="s">
        <v>40</v>
      </c>
      <c r="C843" s="42" t="s">
        <v>1142</v>
      </c>
      <c r="D843" s="43" t="s">
        <v>1143</v>
      </c>
      <c r="E843" s="44" t="s">
        <v>1144</v>
      </c>
      <c r="F843" s="44" t="s">
        <v>179</v>
      </c>
      <c r="G843" s="44" t="str">
        <f>VLOOKUP(F843,[1]装箱单!$A:$C,3,0)</f>
        <v>搪胶小鸭</v>
      </c>
      <c r="H843" s="44">
        <v>450</v>
      </c>
      <c r="I843" s="45">
        <v>10800</v>
      </c>
      <c r="J843" s="45" t="s">
        <v>32</v>
      </c>
      <c r="K843" s="45" t="s">
        <v>33</v>
      </c>
      <c r="L843" s="46">
        <f>+I843/24</f>
        <v>450</v>
      </c>
      <c r="M843" s="43">
        <f t="shared" si="83"/>
        <v>5.98455</v>
      </c>
      <c r="N843" s="46" t="s">
        <v>34</v>
      </c>
      <c r="O843" s="44"/>
      <c r="P843" s="48"/>
      <c r="Q843" s="8">
        <f>VLOOKUP($F843,[1]装箱单!$A:$E,5,0)</f>
        <v>31</v>
      </c>
      <c r="R843" s="8">
        <f>VLOOKUP($F843,[1]装箱单!$A:$F,6,0)</f>
        <v>22</v>
      </c>
      <c r="S843" s="8">
        <f>VLOOKUP($F843,[1]装箱单!$A:$G,7,0)</f>
        <v>19.5</v>
      </c>
      <c r="T843" s="10">
        <f>VLOOKUP($F843,[1]装箱单!$A:$J,10,0)</f>
        <v>0.013299</v>
      </c>
      <c r="U843" s="11">
        <f t="shared" si="84"/>
        <v>5.98455</v>
      </c>
    </row>
    <row r="844" ht="29.1" customHeight="1" spans="1:21">
      <c r="A844" s="40">
        <v>46165</v>
      </c>
      <c r="B844" s="41" t="s">
        <v>40</v>
      </c>
      <c r="C844" s="42" t="s">
        <v>1145</v>
      </c>
      <c r="D844" s="43" t="s">
        <v>1146</v>
      </c>
      <c r="E844" s="44" t="s">
        <v>1147</v>
      </c>
      <c r="F844" s="44" t="s">
        <v>179</v>
      </c>
      <c r="G844" s="44" t="str">
        <f>VLOOKUP(F844,[1]装箱单!$A:$C,3,0)</f>
        <v>搪胶小鸭</v>
      </c>
      <c r="H844" s="44">
        <v>450</v>
      </c>
      <c r="I844" s="45">
        <v>10800</v>
      </c>
      <c r="J844" s="45" t="s">
        <v>32</v>
      </c>
      <c r="K844" s="45" t="s">
        <v>33</v>
      </c>
      <c r="L844" s="46">
        <f>+I844/24</f>
        <v>450</v>
      </c>
      <c r="M844" s="43">
        <f t="shared" si="83"/>
        <v>5.98455</v>
      </c>
      <c r="N844" s="46" t="s">
        <v>34</v>
      </c>
      <c r="O844" s="44"/>
      <c r="P844" s="48"/>
      <c r="Q844" s="8">
        <f>VLOOKUP($F844,[1]装箱单!$A:$E,5,0)</f>
        <v>31</v>
      </c>
      <c r="R844" s="8">
        <f>VLOOKUP($F844,[1]装箱单!$A:$F,6,0)</f>
        <v>22</v>
      </c>
      <c r="S844" s="8">
        <f>VLOOKUP($F844,[1]装箱单!$A:$G,7,0)</f>
        <v>19.5</v>
      </c>
      <c r="T844" s="10">
        <f>VLOOKUP($F844,[1]装箱单!$A:$J,10,0)</f>
        <v>0.013299</v>
      </c>
      <c r="U844" s="11">
        <f t="shared" si="84"/>
        <v>5.98455</v>
      </c>
    </row>
    <row r="845" ht="29.1" customHeight="1" spans="1:21">
      <c r="A845" s="40">
        <v>46165</v>
      </c>
      <c r="B845" s="41" t="s">
        <v>40</v>
      </c>
      <c r="C845" s="42" t="s">
        <v>1148</v>
      </c>
      <c r="D845" s="43" t="s">
        <v>1149</v>
      </c>
      <c r="E845" s="44" t="s">
        <v>1150</v>
      </c>
      <c r="F845" s="44" t="s">
        <v>179</v>
      </c>
      <c r="G845" s="44" t="str">
        <f>VLOOKUP(F845,[1]装箱单!$A:$C,3,0)</f>
        <v>搪胶小鸭</v>
      </c>
      <c r="H845" s="44">
        <v>450</v>
      </c>
      <c r="I845" s="45">
        <v>10800</v>
      </c>
      <c r="J845" s="45" t="s">
        <v>32</v>
      </c>
      <c r="K845" s="45" t="s">
        <v>33</v>
      </c>
      <c r="L845" s="46">
        <f>+I845/24</f>
        <v>450</v>
      </c>
      <c r="M845" s="43">
        <f t="shared" si="83"/>
        <v>5.98455</v>
      </c>
      <c r="N845" s="46" t="s">
        <v>34</v>
      </c>
      <c r="O845" s="44"/>
      <c r="P845" s="48"/>
      <c r="Q845" s="8">
        <f>VLOOKUP($F845,[1]装箱单!$A:$E,5,0)</f>
        <v>31</v>
      </c>
      <c r="R845" s="8">
        <f>VLOOKUP($F845,[1]装箱单!$A:$F,6,0)</f>
        <v>22</v>
      </c>
      <c r="S845" s="8">
        <f>VLOOKUP($F845,[1]装箱单!$A:$G,7,0)</f>
        <v>19.5</v>
      </c>
      <c r="T845" s="10">
        <f>VLOOKUP($F845,[1]装箱单!$A:$J,10,0)</f>
        <v>0.013299</v>
      </c>
      <c r="U845" s="11">
        <f t="shared" si="84"/>
        <v>5.98455</v>
      </c>
    </row>
    <row r="846" ht="29.1" customHeight="1" spans="1:21">
      <c r="A846" s="40">
        <v>46165</v>
      </c>
      <c r="B846" s="41" t="s">
        <v>40</v>
      </c>
      <c r="C846" s="42" t="s">
        <v>1151</v>
      </c>
      <c r="D846" s="43" t="s">
        <v>1152</v>
      </c>
      <c r="E846" s="44" t="s">
        <v>1153</v>
      </c>
      <c r="F846" s="44" t="s">
        <v>179</v>
      </c>
      <c r="G846" s="44" t="str">
        <f>VLOOKUP(F846,[1]装箱单!$A:$C,3,0)</f>
        <v>搪胶小鸭</v>
      </c>
      <c r="H846" s="44">
        <v>540</v>
      </c>
      <c r="I846" s="45">
        <v>12960</v>
      </c>
      <c r="J846" s="45" t="s">
        <v>32</v>
      </c>
      <c r="K846" s="45" t="s">
        <v>33</v>
      </c>
      <c r="L846" s="46">
        <f>+I846/24</f>
        <v>540</v>
      </c>
      <c r="M846" s="43">
        <f t="shared" si="83"/>
        <v>7.18146</v>
      </c>
      <c r="N846" s="46" t="s">
        <v>34</v>
      </c>
      <c r="O846" s="44"/>
      <c r="P846" s="48"/>
      <c r="Q846" s="8">
        <f>VLOOKUP($F846,[1]装箱单!$A:$E,5,0)</f>
        <v>31</v>
      </c>
      <c r="R846" s="8">
        <f>VLOOKUP($F846,[1]装箱单!$A:$F,6,0)</f>
        <v>22</v>
      </c>
      <c r="S846" s="8">
        <f>VLOOKUP($F846,[1]装箱单!$A:$G,7,0)</f>
        <v>19.5</v>
      </c>
      <c r="T846" s="10">
        <f>VLOOKUP($F846,[1]装箱单!$A:$J,10,0)</f>
        <v>0.013299</v>
      </c>
      <c r="U846" s="11">
        <f t="shared" si="84"/>
        <v>7.18146</v>
      </c>
    </row>
    <row r="847" ht="29.1" customHeight="1" spans="1:21">
      <c r="A847" s="40">
        <v>46165</v>
      </c>
      <c r="B847" s="41" t="s">
        <v>40</v>
      </c>
      <c r="C847" s="42" t="s">
        <v>1154</v>
      </c>
      <c r="D847" s="43" t="s">
        <v>1155</v>
      </c>
      <c r="E847" s="44" t="s">
        <v>1156</v>
      </c>
      <c r="F847" s="44" t="s">
        <v>179</v>
      </c>
      <c r="G847" s="44" t="str">
        <f>VLOOKUP(F847,[1]装箱单!$A:$C,3,0)</f>
        <v>搪胶小鸭</v>
      </c>
      <c r="H847" s="44">
        <v>450</v>
      </c>
      <c r="I847" s="45">
        <v>10800</v>
      </c>
      <c r="J847" s="45" t="s">
        <v>32</v>
      </c>
      <c r="K847" s="45" t="s">
        <v>33</v>
      </c>
      <c r="L847" s="46">
        <f>+I847/24</f>
        <v>450</v>
      </c>
      <c r="M847" s="43">
        <f t="shared" si="83"/>
        <v>5.98455</v>
      </c>
      <c r="N847" s="46" t="s">
        <v>34</v>
      </c>
      <c r="O847" s="44"/>
      <c r="P847" s="48"/>
      <c r="Q847" s="8">
        <f>VLOOKUP($F847,[1]装箱单!$A:$E,5,0)</f>
        <v>31</v>
      </c>
      <c r="R847" s="8">
        <f>VLOOKUP($F847,[1]装箱单!$A:$F,6,0)</f>
        <v>22</v>
      </c>
      <c r="S847" s="8">
        <f>VLOOKUP($F847,[1]装箱单!$A:$G,7,0)</f>
        <v>19.5</v>
      </c>
      <c r="T847" s="10">
        <f>VLOOKUP($F847,[1]装箱单!$A:$J,10,0)</f>
        <v>0.013299</v>
      </c>
      <c r="U847" s="11">
        <f t="shared" si="84"/>
        <v>5.98455</v>
      </c>
    </row>
    <row r="848" ht="29.1" customHeight="1" spans="1:21">
      <c r="A848" s="40">
        <v>46165</v>
      </c>
      <c r="B848" s="41" t="s">
        <v>1157</v>
      </c>
      <c r="C848" s="42" t="s">
        <v>1158</v>
      </c>
      <c r="D848" s="43" t="s">
        <v>1159</v>
      </c>
      <c r="E848" s="44" t="s">
        <v>1160</v>
      </c>
      <c r="F848" s="44" t="s">
        <v>1161</v>
      </c>
      <c r="G848" s="44" t="str">
        <f>VLOOKUP(F848,[1]装箱单!$A:$C,3,0)</f>
        <v>搪胶小鸭</v>
      </c>
      <c r="H848" s="44">
        <v>67</v>
      </c>
      <c r="I848" s="45">
        <v>1206</v>
      </c>
      <c r="J848" s="45" t="s">
        <v>32</v>
      </c>
      <c r="K848" s="45" t="s">
        <v>33</v>
      </c>
      <c r="L848" s="46">
        <f>+I848/18</f>
        <v>67</v>
      </c>
      <c r="M848" s="43">
        <f t="shared" si="83"/>
        <v>0.391962183816</v>
      </c>
      <c r="N848" s="46" t="s">
        <v>34</v>
      </c>
      <c r="O848" s="44"/>
      <c r="P848" s="48"/>
      <c r="Q848" s="8">
        <f>VLOOKUP($F848,[1]装箱单!$A:$E,5,0)</f>
        <v>32.385</v>
      </c>
      <c r="R848" s="8">
        <f>VLOOKUP($F848,[1]装箱单!$A:$F,6,0)</f>
        <v>17.78</v>
      </c>
      <c r="S848" s="8">
        <f>VLOOKUP($F848,[1]装箱单!$A:$G,7,0)</f>
        <v>10.16</v>
      </c>
      <c r="T848" s="10">
        <f>VLOOKUP($F848,[1]装箱单!$A:$J,10,0)</f>
        <v>0.005850181848</v>
      </c>
      <c r="U848" s="11">
        <f t="shared" si="84"/>
        <v>0.391962183816</v>
      </c>
    </row>
    <row r="849" ht="29.1" customHeight="1" spans="1:21">
      <c r="A849" s="40">
        <v>46165</v>
      </c>
      <c r="B849" s="41" t="s">
        <v>146</v>
      </c>
      <c r="C849" s="42" t="s">
        <v>1162</v>
      </c>
      <c r="D849" s="43" t="s">
        <v>1163</v>
      </c>
      <c r="E849" s="44">
        <v>2592511</v>
      </c>
      <c r="F849" s="44">
        <v>46496</v>
      </c>
      <c r="G849" s="44" t="str">
        <f>VLOOKUP(F849,[1]装箱单!$A:$C,3,0)</f>
        <v>米妮系列</v>
      </c>
      <c r="H849" s="44">
        <v>2303</v>
      </c>
      <c r="I849" s="45">
        <f>+L849*2</f>
        <v>3864</v>
      </c>
      <c r="J849" s="45" t="s">
        <v>32</v>
      </c>
      <c r="K849" s="45" t="s">
        <v>33</v>
      </c>
      <c r="L849" s="46">
        <v>1932</v>
      </c>
      <c r="M849" s="43">
        <f t="shared" si="83"/>
        <v>43.210567237824</v>
      </c>
      <c r="N849" s="46" t="s">
        <v>34</v>
      </c>
      <c r="O849" s="44"/>
      <c r="P849" s="48"/>
      <c r="Q849" s="8">
        <f>VLOOKUP($F849,[1]装箱单!$A:$E,5,0)</f>
        <v>40.01</v>
      </c>
      <c r="R849" s="8">
        <f>VLOOKUP($F849,[1]装箱单!$A:$F,6,0)</f>
        <v>26.67</v>
      </c>
      <c r="S849" s="8">
        <f>VLOOKUP($F849,[1]装箱单!$A:$G,7,0)</f>
        <v>20.96</v>
      </c>
      <c r="T849" s="10">
        <f>VLOOKUP($F849,[1]装箱单!$A:$J,10,0)</f>
        <v>0.022365718032</v>
      </c>
      <c r="U849" s="11">
        <f t="shared" si="84"/>
        <v>43.210567237824</v>
      </c>
    </row>
    <row r="850" ht="29.1" customHeight="1" spans="1:21">
      <c r="A850" s="40"/>
      <c r="B850" s="41"/>
      <c r="C850" s="42"/>
      <c r="D850" s="43"/>
      <c r="E850" s="44"/>
      <c r="F850" s="44"/>
      <c r="G850" s="44"/>
      <c r="H850" s="44"/>
      <c r="I850" s="45"/>
      <c r="J850" s="45"/>
      <c r="K850" s="45"/>
      <c r="L850" s="46"/>
      <c r="M850" s="43">
        <f>SUM(M832:M849)</f>
        <v>143.758629951044</v>
      </c>
      <c r="N850" s="46"/>
      <c r="O850" s="44"/>
      <c r="P850" s="51"/>
    </row>
    <row r="851" ht="29.1" customHeight="1" spans="1:21">
      <c r="A851" s="40">
        <v>46168</v>
      </c>
      <c r="B851" s="41" t="s">
        <v>52</v>
      </c>
      <c r="C851" s="42">
        <v>46141</v>
      </c>
      <c r="D851" s="43" t="s">
        <v>920</v>
      </c>
      <c r="E851" s="44"/>
      <c r="F851" s="44">
        <v>570975</v>
      </c>
      <c r="G851" s="44" t="str">
        <f>VLOOKUP(F851,[1]装箱单!$A:$C,3,0)</f>
        <v>棒球</v>
      </c>
      <c r="H851" s="44">
        <f>+I851/1</f>
        <v>5000</v>
      </c>
      <c r="I851" s="45">
        <f>+L851*1</f>
        <v>5000</v>
      </c>
      <c r="J851" s="45" t="s">
        <v>32</v>
      </c>
      <c r="K851" s="45" t="s">
        <v>33</v>
      </c>
      <c r="L851" s="46">
        <v>5000</v>
      </c>
      <c r="M851" s="43">
        <f>+U851</f>
        <v>95.88174372</v>
      </c>
      <c r="N851" s="46" t="s">
        <v>34</v>
      </c>
      <c r="O851" s="44"/>
      <c r="P851" s="47" t="s">
        <v>477</v>
      </c>
      <c r="Q851" s="8">
        <f>VLOOKUP($F851,[1]装箱单!$A:$E,5,0)</f>
        <v>30.48</v>
      </c>
      <c r="R851" s="8">
        <f>VLOOKUP($F851,[1]装箱单!$A:$F,6,0)</f>
        <v>11.795</v>
      </c>
      <c r="S851" s="8">
        <f>VLOOKUP($F851,[1]装箱单!$A:$G,7,0)</f>
        <v>53.34</v>
      </c>
      <c r="T851" s="10">
        <f>VLOOKUP($F851,[1]装箱单!$A:$J,10,0)</f>
        <v>0.019176348744</v>
      </c>
      <c r="U851" s="11">
        <f>+T851*L851</f>
        <v>95.88174372</v>
      </c>
    </row>
    <row r="852" ht="29.1" customHeight="1" spans="1:21">
      <c r="A852" s="40">
        <v>46168</v>
      </c>
      <c r="B852" s="41" t="s">
        <v>52</v>
      </c>
      <c r="C852" s="42">
        <v>45867</v>
      </c>
      <c r="D852" s="43" t="s">
        <v>1164</v>
      </c>
      <c r="E852" s="44"/>
      <c r="F852" s="44">
        <v>320399</v>
      </c>
      <c r="G852" s="44" t="str">
        <f>VLOOKUP(F852,[1]装箱单!$A:$C,3,0)</f>
        <v>猫家族</v>
      </c>
      <c r="H852" s="44">
        <f>+I852/4</f>
        <v>750</v>
      </c>
      <c r="I852" s="45">
        <f>+L852*4</f>
        <v>3000</v>
      </c>
      <c r="J852" s="45" t="s">
        <v>47</v>
      </c>
      <c r="K852" s="45" t="s">
        <v>33</v>
      </c>
      <c r="L852" s="46">
        <v>750</v>
      </c>
      <c r="M852" s="43">
        <f>+U852</f>
        <v>7.7175</v>
      </c>
      <c r="N852" s="46" t="s">
        <v>34</v>
      </c>
      <c r="O852" s="44"/>
      <c r="P852" s="48"/>
      <c r="Q852" s="8">
        <f>VLOOKUP($F852,[1]装箱单!$A:$E,5,0)</f>
        <v>24.5</v>
      </c>
      <c r="R852" s="8">
        <f>VLOOKUP($F852,[1]装箱单!$A:$F,6,0)</f>
        <v>21</v>
      </c>
      <c r="S852" s="8">
        <f>VLOOKUP($F852,[1]装箱单!$A:$G,7,0)</f>
        <v>20</v>
      </c>
      <c r="T852" s="10">
        <f>VLOOKUP($F852,[1]装箱单!$A:$J,10,0)</f>
        <v>0.01029</v>
      </c>
      <c r="U852" s="11">
        <f>+T852*L852</f>
        <v>7.7175</v>
      </c>
    </row>
    <row r="853" ht="29.1" customHeight="1" spans="1:21">
      <c r="A853" s="40">
        <v>46168</v>
      </c>
      <c r="B853" s="41" t="s">
        <v>52</v>
      </c>
      <c r="C853" s="42">
        <v>45867</v>
      </c>
      <c r="D853" s="43" t="s">
        <v>1165</v>
      </c>
      <c r="E853" s="44"/>
      <c r="F853" s="44">
        <v>320398</v>
      </c>
      <c r="G853" s="44" t="str">
        <f>VLOOKUP(F853,[1]装箱单!$A:$C,3,0)</f>
        <v>兔子家族</v>
      </c>
      <c r="H853" s="44">
        <v>750</v>
      </c>
      <c r="I853" s="45">
        <f>+L853*4</f>
        <v>3000</v>
      </c>
      <c r="J853" s="45" t="s">
        <v>47</v>
      </c>
      <c r="K853" s="45" t="s">
        <v>33</v>
      </c>
      <c r="L853" s="46">
        <v>750</v>
      </c>
      <c r="M853" s="43">
        <f>+U853</f>
        <v>7.7175</v>
      </c>
      <c r="N853" s="46" t="s">
        <v>34</v>
      </c>
      <c r="O853" s="44"/>
      <c r="P853" s="48"/>
      <c r="Q853" s="8">
        <f>VLOOKUP($F853,[1]装箱单!$A:$E,5,0)</f>
        <v>24.5</v>
      </c>
      <c r="R853" s="8">
        <f>VLOOKUP($F853,[1]装箱单!$A:$F,6,0)</f>
        <v>21</v>
      </c>
      <c r="S853" s="8">
        <f>VLOOKUP($F853,[1]装箱单!$A:$G,7,0)</f>
        <v>20</v>
      </c>
      <c r="T853" s="10">
        <f>VLOOKUP($F853,[1]装箱单!$A:$J,10,0)</f>
        <v>0.01029</v>
      </c>
      <c r="U853" s="11">
        <f>+T853*L853</f>
        <v>7.7175</v>
      </c>
    </row>
    <row r="854" ht="29.1" customHeight="1" spans="1:21">
      <c r="A854" s="40">
        <v>46168</v>
      </c>
      <c r="B854" s="41" t="s">
        <v>146</v>
      </c>
      <c r="C854" s="42" t="s">
        <v>1162</v>
      </c>
      <c r="D854" s="43" t="s">
        <v>1163</v>
      </c>
      <c r="E854" s="44">
        <v>2592511</v>
      </c>
      <c r="F854" s="44">
        <v>46496</v>
      </c>
      <c r="G854" s="44" t="str">
        <f>VLOOKUP(F854,[1]装箱单!$A:$C,3,0)</f>
        <v>米妮系列</v>
      </c>
      <c r="H854" s="44">
        <v>2303</v>
      </c>
      <c r="I854" s="45">
        <f>+L854*2</f>
        <v>742</v>
      </c>
      <c r="J854" s="45" t="s">
        <v>32</v>
      </c>
      <c r="K854" s="45" t="s">
        <v>33</v>
      </c>
      <c r="L854" s="46">
        <f>2303-1932</f>
        <v>371</v>
      </c>
      <c r="M854" s="43">
        <f>+U854</f>
        <v>8.297681389872</v>
      </c>
      <c r="N854" s="46" t="s">
        <v>34</v>
      </c>
      <c r="O854" s="44"/>
      <c r="P854" s="48"/>
      <c r="Q854" s="8">
        <f>VLOOKUP($F854,[1]装箱单!$A:$E,5,0)</f>
        <v>40.01</v>
      </c>
      <c r="R854" s="8">
        <f>VLOOKUP($F854,[1]装箱单!$A:$F,6,0)</f>
        <v>26.67</v>
      </c>
      <c r="S854" s="8">
        <f>VLOOKUP($F854,[1]装箱单!$A:$G,7,0)</f>
        <v>20.96</v>
      </c>
      <c r="T854" s="10">
        <f>VLOOKUP($F854,[1]装箱单!$A:$J,10,0)</f>
        <v>0.022365718032</v>
      </c>
      <c r="U854" s="11">
        <f>+T854*L854</f>
        <v>8.297681389872</v>
      </c>
    </row>
    <row r="855" ht="29.1" customHeight="1" spans="1:21">
      <c r="A855" s="40">
        <v>46168</v>
      </c>
      <c r="B855" s="41" t="s">
        <v>146</v>
      </c>
      <c r="C855" s="42" t="s">
        <v>1166</v>
      </c>
      <c r="D855" s="43" t="s">
        <v>1167</v>
      </c>
      <c r="E855" s="44">
        <v>2592512</v>
      </c>
      <c r="F855" s="44">
        <v>46462</v>
      </c>
      <c r="G855" s="44" t="str">
        <f>VLOOKUP(F855,[1]装箱单!$A:$C,3,0)</f>
        <v>史迪仔系列</v>
      </c>
      <c r="H855" s="44">
        <v>2897</v>
      </c>
      <c r="I855" s="45">
        <f>+L855*2</f>
        <v>160</v>
      </c>
      <c r="J855" s="45" t="s">
        <v>32</v>
      </c>
      <c r="K855" s="45" t="s">
        <v>33</v>
      </c>
      <c r="L855" s="46">
        <v>80</v>
      </c>
      <c r="M855" s="43">
        <f>+U855</f>
        <v>1.78925744256</v>
      </c>
      <c r="N855" s="46" t="s">
        <v>34</v>
      </c>
      <c r="O855" s="44"/>
      <c r="P855" s="48"/>
      <c r="Q855" s="8">
        <f>VLOOKUP($F855,[1]装箱单!$A:$E,5,0)</f>
        <v>40.01</v>
      </c>
      <c r="R855" s="8">
        <f>VLOOKUP($F855,[1]装箱单!$A:$F,6,0)</f>
        <v>26.67</v>
      </c>
      <c r="S855" s="8">
        <f>VLOOKUP($F855,[1]装箱单!$A:$G,7,0)</f>
        <v>20.96</v>
      </c>
      <c r="T855" s="10">
        <f>VLOOKUP($F855,[1]装箱单!$A:$J,10,0)</f>
        <v>0.022365718032</v>
      </c>
      <c r="U855" s="11">
        <f>+T855*L855</f>
        <v>1.78925744256</v>
      </c>
    </row>
    <row r="856" ht="29.1" customHeight="1" spans="1:21">
      <c r="A856" s="40"/>
      <c r="B856" s="41"/>
      <c r="C856" s="42"/>
      <c r="D856" s="43"/>
      <c r="E856" s="44"/>
      <c r="F856" s="44"/>
      <c r="G856" s="44"/>
      <c r="H856" s="44"/>
      <c r="I856" s="45"/>
      <c r="J856" s="45"/>
      <c r="K856" s="45"/>
      <c r="L856" s="46"/>
      <c r="M856" s="43">
        <f>SUM(M851:M855)</f>
        <v>121.403682552432</v>
      </c>
      <c r="N856" s="46"/>
      <c r="O856" s="44"/>
      <c r="P856" s="51"/>
    </row>
    <row r="857" ht="29.1" customHeight="1" spans="1:21">
      <c r="A857" s="40">
        <v>46169</v>
      </c>
      <c r="B857" s="41" t="s">
        <v>1168</v>
      </c>
      <c r="C857" s="42" t="s">
        <v>1169</v>
      </c>
      <c r="D857" s="43" t="s">
        <v>1170</v>
      </c>
      <c r="E857" s="44"/>
      <c r="F857" s="44">
        <v>320915</v>
      </c>
      <c r="G857" s="44" t="str">
        <f>VLOOKUP(F857,[1]装箱单!$A:$C,3,0)</f>
        <v>圣装伙伴</v>
      </c>
      <c r="H857" s="44">
        <v>750</v>
      </c>
      <c r="I857" s="45">
        <f>+L857*4</f>
        <v>3000</v>
      </c>
      <c r="J857" s="45" t="s">
        <v>47</v>
      </c>
      <c r="K857" s="45" t="s">
        <v>33</v>
      </c>
      <c r="L857" s="46">
        <v>750</v>
      </c>
      <c r="M857" s="43">
        <f>+U857</f>
        <v>11.8125</v>
      </c>
      <c r="N857" s="46" t="s">
        <v>34</v>
      </c>
      <c r="O857" s="44"/>
      <c r="P857" s="47" t="s">
        <v>137</v>
      </c>
      <c r="Q857" s="8">
        <f>VLOOKUP($F857,[1]装箱单!$A:$E,5,0)</f>
        <v>31.5</v>
      </c>
      <c r="R857" s="8">
        <f>VLOOKUP($F857,[1]装箱单!$A:$F,6,0)</f>
        <v>25</v>
      </c>
      <c r="S857" s="8">
        <f>VLOOKUP($F857,[1]装箱单!$A:$G,7,0)</f>
        <v>20</v>
      </c>
      <c r="T857" s="10">
        <f>VLOOKUP($F857,[1]装箱单!$A:$J,10,0)</f>
        <v>0.01575</v>
      </c>
      <c r="U857" s="11">
        <f>+T857*L857</f>
        <v>11.8125</v>
      </c>
    </row>
    <row r="858" ht="29.1" customHeight="1" spans="1:21">
      <c r="A858" s="40">
        <v>46169</v>
      </c>
      <c r="B858" s="41" t="s">
        <v>1168</v>
      </c>
      <c r="C858" s="42" t="s">
        <v>1169</v>
      </c>
      <c r="D858" s="43" t="s">
        <v>1170</v>
      </c>
      <c r="E858" s="44"/>
      <c r="F858" s="44">
        <v>320403</v>
      </c>
      <c r="G858" s="44" t="str">
        <f>VLOOKUP(F858,[1]装箱单!$A:$C,3,0)</f>
        <v>各种角色公仔组合</v>
      </c>
      <c r="H858" s="44">
        <v>625</v>
      </c>
      <c r="I858" s="45">
        <f>+L858*16</f>
        <v>10000</v>
      </c>
      <c r="J858" s="45" t="s">
        <v>32</v>
      </c>
      <c r="K858" s="45" t="s">
        <v>33</v>
      </c>
      <c r="L858" s="46">
        <v>625</v>
      </c>
      <c r="M858" s="43">
        <f>+U858</f>
        <v>4.791875</v>
      </c>
      <c r="N858" s="46" t="s">
        <v>34</v>
      </c>
      <c r="O858" s="44"/>
      <c r="P858" s="48"/>
      <c r="Q858" s="8">
        <f>VLOOKUP($F858,[1]装箱单!$A:$E,5,0)</f>
        <v>22</v>
      </c>
      <c r="R858" s="8">
        <f>VLOOKUP($F858,[1]装箱单!$A:$F,6,0)</f>
        <v>17</v>
      </c>
      <c r="S858" s="8">
        <f>VLOOKUP($F858,[1]装箱单!$A:$G,7,0)</f>
        <v>20.5</v>
      </c>
      <c r="T858" s="10">
        <f>VLOOKUP($F858,[1]装箱单!$A:$J,10,0)</f>
        <v>0.007667</v>
      </c>
      <c r="U858" s="11">
        <f>+T858*L858</f>
        <v>4.791875</v>
      </c>
    </row>
    <row r="859" ht="29.1" customHeight="1" spans="1:21">
      <c r="A859" s="40">
        <v>46169</v>
      </c>
      <c r="B859" s="41" t="s">
        <v>146</v>
      </c>
      <c r="C859" s="42" t="s">
        <v>1166</v>
      </c>
      <c r="D859" s="43" t="s">
        <v>1167</v>
      </c>
      <c r="E859" s="44">
        <v>2592512</v>
      </c>
      <c r="F859" s="44">
        <v>46462</v>
      </c>
      <c r="G859" s="44" t="str">
        <f>VLOOKUP(F859,[1]装箱单!$A:$C,3,0)</f>
        <v>史迪仔系列</v>
      </c>
      <c r="H859" s="44">
        <v>2897</v>
      </c>
      <c r="I859" s="45">
        <f>+L859*2</f>
        <v>5634</v>
      </c>
      <c r="J859" s="45" t="s">
        <v>32</v>
      </c>
      <c r="K859" s="45" t="s">
        <v>33</v>
      </c>
      <c r="L859" s="46">
        <f>2897-80</f>
        <v>2817</v>
      </c>
      <c r="M859" s="43">
        <f>+U859</f>
        <v>63.004227696144</v>
      </c>
      <c r="N859" s="46" t="s">
        <v>34</v>
      </c>
      <c r="O859" s="44"/>
      <c r="P859" s="48"/>
      <c r="Q859" s="8">
        <f>VLOOKUP($F859,[1]装箱单!$A:$E,5,0)</f>
        <v>40.01</v>
      </c>
      <c r="R859" s="8">
        <f>VLOOKUP($F859,[1]装箱单!$A:$F,6,0)</f>
        <v>26.67</v>
      </c>
      <c r="S859" s="8">
        <f>VLOOKUP($F859,[1]装箱单!$A:$G,7,0)</f>
        <v>20.96</v>
      </c>
      <c r="T859" s="10">
        <f>VLOOKUP($F859,[1]装箱单!$A:$J,10,0)</f>
        <v>0.022365718032</v>
      </c>
      <c r="U859" s="11">
        <f>+T859*L859</f>
        <v>63.004227696144</v>
      </c>
    </row>
    <row r="860" ht="29.1" customHeight="1" spans="1:21">
      <c r="A860" s="40">
        <v>46169</v>
      </c>
      <c r="B860" s="41" t="s">
        <v>146</v>
      </c>
      <c r="C860" s="42" t="s">
        <v>1171</v>
      </c>
      <c r="D860" s="43" t="s">
        <v>1172</v>
      </c>
      <c r="E860" s="44">
        <v>2592513</v>
      </c>
      <c r="F860" s="44">
        <v>46132</v>
      </c>
      <c r="G860" s="44" t="str">
        <f>VLOOKUP(F860,[1]装箱单!$A:$C,3,0)</f>
        <v>赛车总动员系列</v>
      </c>
      <c r="H860" s="44">
        <v>2518</v>
      </c>
      <c r="I860" s="45">
        <f>+L860*2</f>
        <v>4178</v>
      </c>
      <c r="J860" s="45" t="s">
        <v>32</v>
      </c>
      <c r="K860" s="45" t="s">
        <v>33</v>
      </c>
      <c r="L860" s="46">
        <v>2089</v>
      </c>
      <c r="M860" s="43">
        <f>+U860</f>
        <v>46.721984968848</v>
      </c>
      <c r="N860" s="46" t="s">
        <v>34</v>
      </c>
      <c r="O860" s="44"/>
      <c r="P860" s="48"/>
      <c r="Q860" s="8">
        <f>VLOOKUP($F860,[1]装箱单!$A:$E,5,0)</f>
        <v>40.01</v>
      </c>
      <c r="R860" s="8">
        <f>VLOOKUP($F860,[1]装箱单!$A:$F,6,0)</f>
        <v>26.67</v>
      </c>
      <c r="S860" s="8">
        <f>VLOOKUP($F860,[1]装箱单!$A:$G,7,0)</f>
        <v>20.96</v>
      </c>
      <c r="T860" s="10">
        <f>VLOOKUP($F860,[1]装箱单!$A:$J,10,0)</f>
        <v>0.022365718032</v>
      </c>
      <c r="U860" s="11">
        <f>+T860*L860</f>
        <v>46.721984968848</v>
      </c>
    </row>
    <row r="861" ht="29.1" customHeight="1" spans="1:21">
      <c r="A861" s="40">
        <v>46169</v>
      </c>
      <c r="B861" s="41"/>
      <c r="C861" s="42"/>
      <c r="D861" s="43"/>
      <c r="E861" s="44"/>
      <c r="F861" s="44"/>
      <c r="G861" s="44" t="s">
        <v>1173</v>
      </c>
      <c r="H861" s="44"/>
      <c r="I861" s="45">
        <v>32</v>
      </c>
      <c r="J861" s="45" t="s">
        <v>133</v>
      </c>
      <c r="K861" s="45" t="s">
        <v>218</v>
      </c>
      <c r="L861" s="46">
        <v>2</v>
      </c>
      <c r="M861" s="43"/>
      <c r="N861" s="46"/>
      <c r="O861" s="44"/>
      <c r="P861" s="48"/>
    </row>
    <row r="862" ht="29.1" customHeight="1" spans="1:21">
      <c r="A862" s="40"/>
      <c r="B862" s="41"/>
      <c r="C862" s="42"/>
      <c r="D862" s="43"/>
      <c r="E862" s="44"/>
      <c r="F862" s="44"/>
      <c r="G862" s="44"/>
      <c r="H862" s="44"/>
      <c r="I862" s="45"/>
      <c r="J862" s="45"/>
      <c r="K862" s="45"/>
      <c r="L862" s="46"/>
      <c r="M862" s="43">
        <f>SUM(M857:M860)</f>
        <v>126.330587664992</v>
      </c>
      <c r="N862" s="46"/>
      <c r="O862" s="44"/>
      <c r="P862" s="51"/>
    </row>
    <row r="863" ht="29.1" customHeight="1" spans="1:21">
      <c r="A863" s="40">
        <v>46170</v>
      </c>
      <c r="B863" s="41" t="s">
        <v>146</v>
      </c>
      <c r="C863" s="42" t="s">
        <v>1171</v>
      </c>
      <c r="D863" s="43" t="s">
        <v>1172</v>
      </c>
      <c r="E863" s="44">
        <v>2592513</v>
      </c>
      <c r="F863" s="44">
        <v>46132</v>
      </c>
      <c r="G863" s="44" t="str">
        <f>VLOOKUP(F863,[1]装箱单!$A:$C,3,0)</f>
        <v>赛车总动员系列</v>
      </c>
      <c r="H863" s="44">
        <v>2518</v>
      </c>
      <c r="I863" s="45">
        <f>+L863*2</f>
        <v>858</v>
      </c>
      <c r="J863" s="45" t="s">
        <v>32</v>
      </c>
      <c r="K863" s="45" t="s">
        <v>33</v>
      </c>
      <c r="L863" s="46">
        <f>2518-2089</f>
        <v>429</v>
      </c>
      <c r="M863" s="43">
        <f t="shared" ref="M863:M871" si="85">+U863</f>
        <v>9.594893035728</v>
      </c>
      <c r="N863" s="46" t="s">
        <v>34</v>
      </c>
      <c r="O863" s="44"/>
      <c r="P863" s="47" t="s">
        <v>1116</v>
      </c>
      <c r="Q863" s="8">
        <f>VLOOKUP($F863,[1]装箱单!$A:$E,5,0)</f>
        <v>40.01</v>
      </c>
      <c r="R863" s="8">
        <f>VLOOKUP($F863,[1]装箱单!$A:$F,6,0)</f>
        <v>26.67</v>
      </c>
      <c r="S863" s="8">
        <f>VLOOKUP($F863,[1]装箱单!$A:$G,7,0)</f>
        <v>20.96</v>
      </c>
      <c r="T863" s="10">
        <f>VLOOKUP($F863,[1]装箱单!$A:$J,10,0)</f>
        <v>0.022365718032</v>
      </c>
      <c r="U863" s="11">
        <f t="shared" ref="U863:U871" si="86">+T863*L863</f>
        <v>9.594893035728</v>
      </c>
    </row>
    <row r="864" ht="29.1" customHeight="1" spans="1:21">
      <c r="A864" s="40">
        <v>46170</v>
      </c>
      <c r="B864" s="41" t="s">
        <v>146</v>
      </c>
      <c r="C864" s="42" t="s">
        <v>1174</v>
      </c>
      <c r="D864" s="43" t="s">
        <v>1175</v>
      </c>
      <c r="E864" s="44">
        <v>2592509</v>
      </c>
      <c r="F864" s="44">
        <v>46092</v>
      </c>
      <c r="G864" s="44" t="str">
        <f>VLOOKUP(F864,[1]装箱单!$A:$C,3,0)</f>
        <v>玩具总动员系列</v>
      </c>
      <c r="H864" s="44">
        <v>3003</v>
      </c>
      <c r="I864" s="45">
        <f>+L864*2</f>
        <v>6006</v>
      </c>
      <c r="J864" s="45" t="s">
        <v>32</v>
      </c>
      <c r="K864" s="45" t="s">
        <v>33</v>
      </c>
      <c r="L864" s="46">
        <v>3003</v>
      </c>
      <c r="M864" s="43">
        <f t="shared" si="85"/>
        <v>67.164251250096</v>
      </c>
      <c r="N864" s="46" t="s">
        <v>34</v>
      </c>
      <c r="O864" s="44"/>
      <c r="P864" s="48"/>
      <c r="Q864" s="8">
        <f>VLOOKUP($F864,[1]装箱单!$A:$E,5,0)</f>
        <v>40.01</v>
      </c>
      <c r="R864" s="8">
        <f>VLOOKUP($F864,[1]装箱单!$A:$F,6,0)</f>
        <v>26.67</v>
      </c>
      <c r="S864" s="8">
        <f>VLOOKUP($F864,[1]装箱单!$A:$G,7,0)</f>
        <v>20.96</v>
      </c>
      <c r="T864" s="10">
        <f>VLOOKUP($F864,[1]装箱单!$A:$J,10,0)</f>
        <v>0.022365718032</v>
      </c>
      <c r="U864" s="11">
        <f t="shared" si="86"/>
        <v>67.164251250096</v>
      </c>
    </row>
    <row r="865" ht="29.1" customHeight="1" spans="1:26">
      <c r="A865" s="40">
        <v>46170</v>
      </c>
      <c r="B865" s="41" t="s">
        <v>1176</v>
      </c>
      <c r="C865" s="42" t="s">
        <v>1177</v>
      </c>
      <c r="D865" s="43" t="s">
        <v>1178</v>
      </c>
      <c r="E865" s="44">
        <v>47949970</v>
      </c>
      <c r="F865" s="44" t="s">
        <v>80</v>
      </c>
      <c r="G865" s="44" t="str">
        <f>VLOOKUP(F865,[1]装箱单!$A:$C,3,0)</f>
        <v>钥匙扣系列</v>
      </c>
      <c r="H865" s="44">
        <f>+I865/18</f>
        <v>48</v>
      </c>
      <c r="I865" s="45">
        <v>864</v>
      </c>
      <c r="J865" s="45" t="s">
        <v>32</v>
      </c>
      <c r="K865" s="45" t="s">
        <v>33</v>
      </c>
      <c r="L865" s="46">
        <v>48</v>
      </c>
      <c r="M865" s="43">
        <f t="shared" si="85"/>
        <v>0.720596736</v>
      </c>
      <c r="N865" s="46" t="s">
        <v>34</v>
      </c>
      <c r="O865" s="44"/>
      <c r="P865" s="48"/>
      <c r="Q865" s="8">
        <f>VLOOKUP($F865,[1]装箱单!$A:$E,5,0)</f>
        <v>42.48</v>
      </c>
      <c r="R865" s="8">
        <f>VLOOKUP($F865,[1]装箱单!$A:$F,6,0)</f>
        <v>22.8</v>
      </c>
      <c r="S865" s="8">
        <f>VLOOKUP($F865,[1]装箱单!$A:$G,7,0)</f>
        <v>15.5</v>
      </c>
      <c r="T865" s="10">
        <f>VLOOKUP($F865,[1]装箱单!$A:$J,10,0)</f>
        <v>0.015012432</v>
      </c>
      <c r="U865" s="11">
        <f t="shared" si="86"/>
        <v>0.720596736</v>
      </c>
    </row>
    <row r="866" ht="29.1" customHeight="1" spans="1:26">
      <c r="A866" s="40">
        <v>46170</v>
      </c>
      <c r="B866" s="41" t="s">
        <v>1176</v>
      </c>
      <c r="C866" s="42" t="s">
        <v>1179</v>
      </c>
      <c r="D866" s="43" t="s">
        <v>1180</v>
      </c>
      <c r="E866" s="44">
        <v>47949971</v>
      </c>
      <c r="F866" s="44" t="s">
        <v>80</v>
      </c>
      <c r="G866" s="44" t="str">
        <f>VLOOKUP(F866,[1]装箱单!$A:$C,3,0)</f>
        <v>钥匙扣系列</v>
      </c>
      <c r="H866" s="44">
        <f>+I866/18</f>
        <v>42</v>
      </c>
      <c r="I866" s="45">
        <v>756</v>
      </c>
      <c r="J866" s="45" t="s">
        <v>32</v>
      </c>
      <c r="K866" s="45" t="s">
        <v>33</v>
      </c>
      <c r="L866" s="46">
        <v>42</v>
      </c>
      <c r="M866" s="43">
        <f t="shared" si="85"/>
        <v>0.630522144</v>
      </c>
      <c r="N866" s="46" t="s">
        <v>34</v>
      </c>
      <c r="O866" s="44"/>
      <c r="P866" s="48"/>
      <c r="Q866" s="8">
        <f>VLOOKUP($F866,[1]装箱单!$A:$E,5,0)</f>
        <v>42.48</v>
      </c>
      <c r="R866" s="8">
        <f>VLOOKUP($F866,[1]装箱单!$A:$F,6,0)</f>
        <v>22.8</v>
      </c>
      <c r="S866" s="8">
        <f>VLOOKUP($F866,[1]装箱单!$A:$G,7,0)</f>
        <v>15.5</v>
      </c>
      <c r="T866" s="10">
        <f>VLOOKUP($F866,[1]装箱单!$A:$J,10,0)</f>
        <v>0.015012432</v>
      </c>
      <c r="U866" s="11">
        <f t="shared" si="86"/>
        <v>0.630522144</v>
      </c>
    </row>
    <row r="867" ht="29.1" customHeight="1" spans="1:26">
      <c r="A867" s="40">
        <v>46170</v>
      </c>
      <c r="B867" s="41" t="s">
        <v>1176</v>
      </c>
      <c r="C867" s="42" t="s">
        <v>1181</v>
      </c>
      <c r="D867" s="43" t="s">
        <v>1182</v>
      </c>
      <c r="E867" s="44">
        <v>47949972</v>
      </c>
      <c r="F867" s="44" t="s">
        <v>80</v>
      </c>
      <c r="G867" s="44" t="str">
        <f>VLOOKUP(F867,[1]装箱单!$A:$C,3,0)</f>
        <v>钥匙扣系列</v>
      </c>
      <c r="H867" s="44">
        <f>+I867/18</f>
        <v>34</v>
      </c>
      <c r="I867" s="45">
        <v>612</v>
      </c>
      <c r="J867" s="45" t="s">
        <v>32</v>
      </c>
      <c r="K867" s="45" t="s">
        <v>33</v>
      </c>
      <c r="L867" s="46">
        <v>34</v>
      </c>
      <c r="M867" s="43">
        <f t="shared" si="85"/>
        <v>0.510422688</v>
      </c>
      <c r="N867" s="46" t="s">
        <v>34</v>
      </c>
      <c r="O867" s="44"/>
      <c r="P867" s="48"/>
      <c r="Q867" s="8">
        <f>VLOOKUP($F867,[1]装箱单!$A:$E,5,0)</f>
        <v>42.48</v>
      </c>
      <c r="R867" s="8">
        <f>VLOOKUP($F867,[1]装箱单!$A:$F,6,0)</f>
        <v>22.8</v>
      </c>
      <c r="S867" s="8">
        <f>VLOOKUP($F867,[1]装箱单!$A:$G,7,0)</f>
        <v>15.5</v>
      </c>
      <c r="T867" s="10">
        <f>VLOOKUP($F867,[1]装箱单!$A:$J,10,0)</f>
        <v>0.015012432</v>
      </c>
      <c r="U867" s="11">
        <f t="shared" si="86"/>
        <v>0.510422688</v>
      </c>
    </row>
    <row r="868" ht="29.1" customHeight="1" spans="1:26">
      <c r="A868" s="40">
        <v>46170</v>
      </c>
      <c r="B868" s="41" t="s">
        <v>1176</v>
      </c>
      <c r="C868" s="42" t="s">
        <v>1183</v>
      </c>
      <c r="D868" s="43" t="s">
        <v>1184</v>
      </c>
      <c r="E868" s="44">
        <v>47949973</v>
      </c>
      <c r="F868" s="44" t="s">
        <v>80</v>
      </c>
      <c r="G868" s="44" t="str">
        <f>VLOOKUP(F868,[1]装箱单!$A:$C,3,0)</f>
        <v>钥匙扣系列</v>
      </c>
      <c r="H868" s="44">
        <f>+I868/18</f>
        <v>15</v>
      </c>
      <c r="I868" s="45">
        <v>270</v>
      </c>
      <c r="J868" s="45" t="s">
        <v>32</v>
      </c>
      <c r="K868" s="45" t="s">
        <v>33</v>
      </c>
      <c r="L868" s="46">
        <v>15</v>
      </c>
      <c r="M868" s="43">
        <f t="shared" si="85"/>
        <v>0.22518648</v>
      </c>
      <c r="N868" s="46" t="s">
        <v>34</v>
      </c>
      <c r="O868" s="44"/>
      <c r="P868" s="48"/>
      <c r="Q868" s="8">
        <f>VLOOKUP($F868,[1]装箱单!$A:$E,5,0)</f>
        <v>42.48</v>
      </c>
      <c r="R868" s="8">
        <f>VLOOKUP($F868,[1]装箱单!$A:$F,6,0)</f>
        <v>22.8</v>
      </c>
      <c r="S868" s="8">
        <f>VLOOKUP($F868,[1]装箱单!$A:$G,7,0)</f>
        <v>15.5</v>
      </c>
      <c r="T868" s="10">
        <f>VLOOKUP($F868,[1]装箱单!$A:$J,10,0)</f>
        <v>0.015012432</v>
      </c>
      <c r="U868" s="11">
        <f t="shared" si="86"/>
        <v>0.22518648</v>
      </c>
    </row>
    <row r="869" ht="29.1" customHeight="1" spans="1:26">
      <c r="A869" s="40">
        <v>46170</v>
      </c>
      <c r="B869" s="41" t="s">
        <v>331</v>
      </c>
      <c r="C869" s="42" t="s">
        <v>1185</v>
      </c>
      <c r="D869" s="43" t="s">
        <v>1186</v>
      </c>
      <c r="E869" s="44" t="s">
        <v>1187</v>
      </c>
      <c r="F869" s="44" t="s">
        <v>51</v>
      </c>
      <c r="G869" s="44" t="str">
        <f>VLOOKUP(F869,[1]装箱单!$A:$C,3,0)</f>
        <v>鸭子</v>
      </c>
      <c r="H869" s="44">
        <v>1642</v>
      </c>
      <c r="I869" s="45">
        <f>+L869*48</f>
        <v>57312</v>
      </c>
      <c r="J869" s="45" t="s">
        <v>32</v>
      </c>
      <c r="K869" s="45" t="s">
        <v>33</v>
      </c>
      <c r="L869" s="46">
        <v>1194</v>
      </c>
      <c r="M869" s="43">
        <f t="shared" si="85"/>
        <v>48.802568562</v>
      </c>
      <c r="N869" s="46" t="s">
        <v>34</v>
      </c>
      <c r="O869" s="44"/>
      <c r="P869" s="48"/>
      <c r="Q869" s="8">
        <f>VLOOKUP($F869,[1]装箱单!$A:$E,5,0)</f>
        <v>37.15</v>
      </c>
      <c r="R869" s="8">
        <f>VLOOKUP($F869,[1]装箱单!$A:$F,6,0)</f>
        <v>33</v>
      </c>
      <c r="S869" s="8">
        <f>VLOOKUP($F869,[1]装箱单!$A:$G,7,0)</f>
        <v>33.34</v>
      </c>
      <c r="T869" s="10">
        <f>VLOOKUP($F869,[1]装箱单!$A:$J,10,0)</f>
        <v>0.040873173</v>
      </c>
      <c r="U869" s="11">
        <f t="shared" si="86"/>
        <v>48.802568562</v>
      </c>
    </row>
    <row r="870" ht="29.1" customHeight="1" spans="1:26">
      <c r="A870" s="40">
        <v>46170</v>
      </c>
      <c r="B870" s="41" t="s">
        <v>1001</v>
      </c>
      <c r="C870" s="42" t="s">
        <v>1188</v>
      </c>
      <c r="D870" s="43" t="s">
        <v>1189</v>
      </c>
      <c r="E870" s="44">
        <v>8188486</v>
      </c>
      <c r="F870" s="44">
        <v>33610</v>
      </c>
      <c r="G870" s="44" t="str">
        <f>VLOOKUP(F870,[1]装箱单!$A:$C,3,0)</f>
        <v>搪果鸭</v>
      </c>
      <c r="H870" s="44">
        <v>638</v>
      </c>
      <c r="I870" s="45">
        <f>+L870*12</f>
        <v>7656</v>
      </c>
      <c r="J870" s="45" t="s">
        <v>32</v>
      </c>
      <c r="K870" s="45" t="s">
        <v>33</v>
      </c>
      <c r="L870" s="46">
        <v>638</v>
      </c>
      <c r="M870" s="43">
        <f t="shared" si="85"/>
        <v>2.925774852</v>
      </c>
      <c r="N870" s="46" t="s">
        <v>34</v>
      </c>
      <c r="O870" s="44"/>
      <c r="P870" s="48"/>
      <c r="Q870" s="8">
        <f>VLOOKUP($F870,[1]装箱单!$A:$E,5,0)</f>
        <v>22.7</v>
      </c>
      <c r="R870" s="8">
        <f>VLOOKUP($F870,[1]装箱单!$A:$F,6,0)</f>
        <v>18.2</v>
      </c>
      <c r="S870" s="8">
        <f>VLOOKUP($F870,[1]装箱单!$A:$G,7,0)</f>
        <v>11.1</v>
      </c>
      <c r="T870" s="10">
        <f>VLOOKUP($F870,[1]装箱单!$A:$J,10,0)</f>
        <v>0.004585854</v>
      </c>
      <c r="U870" s="11">
        <f t="shared" si="86"/>
        <v>2.925774852</v>
      </c>
    </row>
    <row r="871" ht="29.1" customHeight="1" spans="1:26">
      <c r="A871" s="40">
        <v>46170</v>
      </c>
      <c r="B871" s="41" t="s">
        <v>1190</v>
      </c>
      <c r="C871" s="42" t="s">
        <v>1158</v>
      </c>
      <c r="D871" s="43" t="s">
        <v>1159</v>
      </c>
      <c r="E871" s="44" t="s">
        <v>1160</v>
      </c>
      <c r="F871" s="44" t="s">
        <v>279</v>
      </c>
      <c r="G871" s="44" t="str">
        <f>VLOOKUP(F871,[1]装箱单!$A:$C,3,0)</f>
        <v>假日小鸭</v>
      </c>
      <c r="H871" s="44">
        <v>67</v>
      </c>
      <c r="I871" s="45">
        <f>+L871*18</f>
        <v>1206</v>
      </c>
      <c r="J871" s="45" t="s">
        <v>32</v>
      </c>
      <c r="K871" s="45" t="s">
        <v>33</v>
      </c>
      <c r="L871" s="46">
        <v>67</v>
      </c>
      <c r="M871" s="43">
        <f t="shared" si="85"/>
        <v>0.3881318447025</v>
      </c>
      <c r="N871" s="46" t="s">
        <v>34</v>
      </c>
      <c r="O871" s="44"/>
      <c r="P871" s="48"/>
      <c r="Q871" s="8">
        <f>VLOOKUP($F871,[1]装箱单!$A:$E,5,0)</f>
        <v>32.385</v>
      </c>
      <c r="R871" s="8">
        <f>VLOOKUP($F871,[1]装箱单!$A:$F,6,0)</f>
        <v>18.78</v>
      </c>
      <c r="S871" s="8">
        <f>VLOOKUP($F871,[1]装箱单!$A:$G,7,0)</f>
        <v>9.525</v>
      </c>
      <c r="T871" s="10">
        <f>VLOOKUP($F871,[1]装箱单!$A:$J,10,0)</f>
        <v>0.0057930126075</v>
      </c>
      <c r="U871" s="11">
        <f t="shared" si="86"/>
        <v>0.3881318447025</v>
      </c>
    </row>
    <row r="872" ht="29.1" customHeight="1" spans="1:26">
      <c r="A872" s="40"/>
      <c r="B872" s="41"/>
      <c r="C872" s="42"/>
      <c r="D872" s="43"/>
      <c r="E872" s="44"/>
      <c r="F872" s="44"/>
      <c r="G872" s="44"/>
      <c r="H872" s="44"/>
      <c r="I872" s="45"/>
      <c r="J872" s="45"/>
      <c r="K872" s="45"/>
      <c r="L872" s="46"/>
      <c r="M872" s="43">
        <f>SUM(M863:M871)</f>
        <v>130.962347592526</v>
      </c>
      <c r="N872" s="46"/>
      <c r="O872" s="44"/>
      <c r="P872" s="51"/>
    </row>
    <row r="873" customFormat="1" ht="29.1" customHeight="1" spans="1:26">
      <c r="A873" s="62">
        <v>46171</v>
      </c>
      <c r="B873" s="88" t="s">
        <v>922</v>
      </c>
      <c r="C873" s="64" t="s">
        <v>1191</v>
      </c>
      <c r="D873" s="65" t="s">
        <v>1192</v>
      </c>
      <c r="E873" s="67"/>
      <c r="F873" s="66">
        <v>33476</v>
      </c>
      <c r="G873" s="67" t="s">
        <v>925</v>
      </c>
      <c r="H873" s="89">
        <v>19</v>
      </c>
      <c r="I873" s="68">
        <v>800</v>
      </c>
      <c r="J873" s="68" t="s">
        <v>32</v>
      </c>
      <c r="K873" s="68" t="s">
        <v>33</v>
      </c>
      <c r="L873" s="69"/>
      <c r="M873" s="65"/>
      <c r="N873" s="69"/>
      <c r="O873" s="89" t="s">
        <v>1193</v>
      </c>
      <c r="P873" s="70" t="s">
        <v>1105</v>
      </c>
      <c r="Q873" s="71"/>
      <c r="R873" s="71"/>
      <c r="S873" s="71"/>
      <c r="T873" s="72"/>
      <c r="U873" s="73"/>
      <c r="V873" s="12"/>
      <c r="W873" s="1"/>
      <c r="X873" s="1"/>
      <c r="Y873" s="1"/>
      <c r="Z873" s="1"/>
    </row>
    <row r="874" customFormat="1" ht="29.1" customHeight="1" spans="1:26">
      <c r="A874" s="62">
        <v>46171</v>
      </c>
      <c r="B874" s="88" t="s">
        <v>922</v>
      </c>
      <c r="C874" s="64" t="s">
        <v>1194</v>
      </c>
      <c r="D874" s="65" t="s">
        <v>1192</v>
      </c>
      <c r="E874" s="67"/>
      <c r="F874" s="66">
        <v>33476</v>
      </c>
      <c r="G874" s="67" t="s">
        <v>925</v>
      </c>
      <c r="H874" s="91"/>
      <c r="I874" s="68">
        <v>680</v>
      </c>
      <c r="J874" s="68" t="s">
        <v>32</v>
      </c>
      <c r="K874" s="68" t="s">
        <v>33</v>
      </c>
      <c r="L874" s="69"/>
      <c r="M874" s="65"/>
      <c r="N874" s="69"/>
      <c r="O874" s="91"/>
      <c r="P874" s="74"/>
      <c r="Q874" s="71"/>
      <c r="R874" s="71"/>
      <c r="S874" s="71"/>
      <c r="T874" s="72"/>
      <c r="U874" s="73"/>
      <c r="V874" s="12"/>
      <c r="W874" s="1"/>
      <c r="X874" s="1"/>
      <c r="Y874" s="1"/>
      <c r="Z874" s="1"/>
    </row>
    <row r="875" customFormat="1" ht="29.1" customHeight="1" spans="1:26">
      <c r="A875" s="62">
        <v>46171</v>
      </c>
      <c r="B875" s="88" t="s">
        <v>922</v>
      </c>
      <c r="C875" s="64" t="s">
        <v>1194</v>
      </c>
      <c r="D875" s="65" t="s">
        <v>1195</v>
      </c>
      <c r="E875" s="67"/>
      <c r="F875" s="66">
        <v>33416</v>
      </c>
      <c r="G875" s="67" t="s">
        <v>1196</v>
      </c>
      <c r="H875" s="89">
        <v>14</v>
      </c>
      <c r="I875" s="68">
        <v>680</v>
      </c>
      <c r="J875" s="68" t="s">
        <v>32</v>
      </c>
      <c r="K875" s="68" t="s">
        <v>33</v>
      </c>
      <c r="L875" s="69"/>
      <c r="M875" s="65"/>
      <c r="N875" s="69"/>
      <c r="O875" s="89" t="s">
        <v>1197</v>
      </c>
      <c r="P875" s="74"/>
      <c r="Q875" s="71"/>
      <c r="R875" s="71"/>
      <c r="S875" s="71"/>
      <c r="T875" s="72"/>
      <c r="U875" s="73"/>
      <c r="V875" s="12"/>
      <c r="W875" s="1"/>
      <c r="X875" s="1"/>
      <c r="Y875" s="1"/>
      <c r="Z875" s="1"/>
    </row>
    <row r="876" customFormat="1" ht="29.1" customHeight="1" spans="1:26">
      <c r="A876" s="62">
        <v>46171</v>
      </c>
      <c r="B876" s="88" t="s">
        <v>922</v>
      </c>
      <c r="C876" s="64" t="s">
        <v>1191</v>
      </c>
      <c r="D876" s="65" t="s">
        <v>1192</v>
      </c>
      <c r="E876" s="67"/>
      <c r="F876" s="66">
        <v>33416</v>
      </c>
      <c r="G876" s="67" t="s">
        <v>1196</v>
      </c>
      <c r="H876" s="87"/>
      <c r="I876" s="68">
        <v>800</v>
      </c>
      <c r="J876" s="68" t="s">
        <v>32</v>
      </c>
      <c r="K876" s="68" t="s">
        <v>33</v>
      </c>
      <c r="L876" s="69"/>
      <c r="M876" s="65"/>
      <c r="N876" s="69"/>
      <c r="O876" s="87"/>
      <c r="P876" s="74"/>
      <c r="Q876" s="71"/>
      <c r="R876" s="71"/>
      <c r="S876" s="71"/>
      <c r="T876" s="72"/>
      <c r="U876" s="73"/>
      <c r="V876" s="12"/>
      <c r="W876" s="1"/>
      <c r="X876" s="1"/>
      <c r="Y876" s="1"/>
      <c r="Z876" s="1"/>
    </row>
    <row r="877" customFormat="1" ht="29.1" customHeight="1" spans="1:26">
      <c r="A877" s="62">
        <v>46171</v>
      </c>
      <c r="B877" s="88" t="s">
        <v>922</v>
      </c>
      <c r="C877" s="64" t="s">
        <v>1194</v>
      </c>
      <c r="D877" s="65" t="s">
        <v>1195</v>
      </c>
      <c r="E877" s="67"/>
      <c r="F877" s="66">
        <v>33477</v>
      </c>
      <c r="G877" s="67" t="s">
        <v>1198</v>
      </c>
      <c r="H877" s="89">
        <v>3</v>
      </c>
      <c r="I877" s="68">
        <v>500</v>
      </c>
      <c r="J877" s="136" t="s">
        <v>32</v>
      </c>
      <c r="K877" s="68" t="s">
        <v>33</v>
      </c>
      <c r="L877" s="137"/>
      <c r="M877" s="138"/>
      <c r="N877" s="137"/>
      <c r="O877" s="89" t="s">
        <v>1199</v>
      </c>
      <c r="P877" s="75"/>
      <c r="Q877" s="71"/>
      <c r="R877" s="71"/>
      <c r="S877" s="71"/>
      <c r="T877" s="72"/>
      <c r="U877" s="73"/>
      <c r="V877" s="12"/>
      <c r="W877" s="1"/>
      <c r="X877" s="1"/>
      <c r="Y877" s="1"/>
      <c r="Z877" s="1"/>
    </row>
    <row r="878" ht="29.1" customHeight="1" spans="1:26">
      <c r="A878" s="40">
        <v>46172</v>
      </c>
      <c r="B878" s="41" t="s">
        <v>77</v>
      </c>
      <c r="C878" s="42" t="s">
        <v>1200</v>
      </c>
      <c r="D878" s="43" t="s">
        <v>1201</v>
      </c>
      <c r="E878" s="44" t="s">
        <v>1202</v>
      </c>
      <c r="F878" s="44" t="s">
        <v>120</v>
      </c>
      <c r="G878" s="44" t="str">
        <f>VLOOKUP(F878,[1]装箱单!$A:$C,3,0)</f>
        <v>搪胶小鸭</v>
      </c>
      <c r="H878" s="44">
        <v>231</v>
      </c>
      <c r="I878" s="45">
        <f>+L878*36</f>
        <v>8316</v>
      </c>
      <c r="J878" s="45" t="s">
        <v>32</v>
      </c>
      <c r="K878" s="45" t="s">
        <v>33</v>
      </c>
      <c r="L878" s="46">
        <v>231</v>
      </c>
      <c r="M878" s="43">
        <f t="shared" ref="M878:M896" si="87">+U878</f>
        <v>2.85061702926</v>
      </c>
      <c r="N878" s="46" t="s">
        <v>34</v>
      </c>
      <c r="O878" s="44" t="s">
        <v>1203</v>
      </c>
      <c r="P878" s="47" t="s">
        <v>53</v>
      </c>
      <c r="Q878" s="8">
        <f>VLOOKUP($F878,[1]装箱单!$A:$E,5,0)</f>
        <v>33.02</v>
      </c>
      <c r="R878" s="8">
        <f>VLOOKUP($F878,[1]装箱单!$A:$F,6,0)</f>
        <v>18.41</v>
      </c>
      <c r="S878" s="8">
        <f>VLOOKUP($F878,[1]装箱单!$A:$G,7,0)</f>
        <v>20.3</v>
      </c>
      <c r="T878" s="10">
        <f>VLOOKUP($F878,[1]装箱单!$A:$J,10,0)</f>
        <v>0.01234033346</v>
      </c>
      <c r="U878" s="11">
        <f t="shared" ref="U878:U896" si="88">+T878*L878</f>
        <v>2.85061702926</v>
      </c>
    </row>
    <row r="879" ht="29.1" customHeight="1" spans="1:26">
      <c r="A879" s="40">
        <v>46172</v>
      </c>
      <c r="B879" s="41" t="s">
        <v>77</v>
      </c>
      <c r="C879" s="42" t="s">
        <v>1200</v>
      </c>
      <c r="D879" s="43" t="s">
        <v>1201</v>
      </c>
      <c r="E879" s="44" t="s">
        <v>1202</v>
      </c>
      <c r="F879" s="44" t="s">
        <v>120</v>
      </c>
      <c r="G879" s="44" t="str">
        <f>VLOOKUP(F879,[1]装箱单!$A:$C,3,0)</f>
        <v>搪胶小鸭</v>
      </c>
      <c r="H879" s="44">
        <v>196</v>
      </c>
      <c r="I879" s="45">
        <f>+L879*36</f>
        <v>7056</v>
      </c>
      <c r="J879" s="45" t="s">
        <v>32</v>
      </c>
      <c r="K879" s="45" t="s">
        <v>33</v>
      </c>
      <c r="L879" s="46">
        <v>196</v>
      </c>
      <c r="M879" s="43">
        <f t="shared" si="87"/>
        <v>2.41870535816</v>
      </c>
      <c r="N879" s="46" t="s">
        <v>34</v>
      </c>
      <c r="O879" s="44" t="s">
        <v>1204</v>
      </c>
      <c r="P879" s="48"/>
      <c r="Q879" s="8">
        <f>VLOOKUP($F879,[1]装箱单!$A:$E,5,0)</f>
        <v>33.02</v>
      </c>
      <c r="R879" s="8">
        <f>VLOOKUP($F879,[1]装箱单!$A:$F,6,0)</f>
        <v>18.41</v>
      </c>
      <c r="S879" s="8">
        <f>VLOOKUP($F879,[1]装箱单!$A:$G,7,0)</f>
        <v>20.3</v>
      </c>
      <c r="T879" s="10">
        <f>VLOOKUP($F879,[1]装箱单!$A:$J,10,0)</f>
        <v>0.01234033346</v>
      </c>
      <c r="U879" s="11">
        <f t="shared" si="88"/>
        <v>2.41870535816</v>
      </c>
    </row>
    <row r="880" ht="29.1" customHeight="1" spans="1:26">
      <c r="A880" s="40">
        <v>46172</v>
      </c>
      <c r="B880" s="41" t="s">
        <v>77</v>
      </c>
      <c r="C880" s="42" t="s">
        <v>1205</v>
      </c>
      <c r="D880" s="43" t="s">
        <v>1206</v>
      </c>
      <c r="E880" s="44" t="s">
        <v>1207</v>
      </c>
      <c r="F880" s="44" t="s">
        <v>120</v>
      </c>
      <c r="G880" s="44" t="str">
        <f>VLOOKUP(F880,[1]装箱单!$A:$C,3,0)</f>
        <v>搪胶小鸭</v>
      </c>
      <c r="H880" s="44">
        <v>231</v>
      </c>
      <c r="I880" s="45">
        <f>+L880*36</f>
        <v>8316</v>
      </c>
      <c r="J880" s="45" t="s">
        <v>32</v>
      </c>
      <c r="K880" s="45" t="s">
        <v>33</v>
      </c>
      <c r="L880" s="46">
        <v>231</v>
      </c>
      <c r="M880" s="43">
        <f t="shared" si="87"/>
        <v>2.85061702926</v>
      </c>
      <c r="N880" s="46" t="s">
        <v>34</v>
      </c>
      <c r="O880" s="44" t="s">
        <v>1203</v>
      </c>
      <c r="P880" s="48"/>
      <c r="Q880" s="8">
        <f>VLOOKUP($F880,[1]装箱单!$A:$E,5,0)</f>
        <v>33.02</v>
      </c>
      <c r="R880" s="8">
        <f>VLOOKUP($F880,[1]装箱单!$A:$F,6,0)</f>
        <v>18.41</v>
      </c>
      <c r="S880" s="8">
        <f>VLOOKUP($F880,[1]装箱单!$A:$G,7,0)</f>
        <v>20.3</v>
      </c>
      <c r="T880" s="10">
        <f>VLOOKUP($F880,[1]装箱单!$A:$J,10,0)</f>
        <v>0.01234033346</v>
      </c>
      <c r="U880" s="11">
        <f t="shared" si="88"/>
        <v>2.85061702926</v>
      </c>
    </row>
    <row r="881" ht="29.1" customHeight="1" spans="1:21">
      <c r="A881" s="40">
        <v>46172</v>
      </c>
      <c r="B881" s="41" t="s">
        <v>77</v>
      </c>
      <c r="C881" s="42" t="s">
        <v>1205</v>
      </c>
      <c r="D881" s="43" t="s">
        <v>1206</v>
      </c>
      <c r="E881" s="44" t="s">
        <v>1207</v>
      </c>
      <c r="F881" s="44" t="s">
        <v>120</v>
      </c>
      <c r="G881" s="44" t="str">
        <f>VLOOKUP(F881,[1]装箱单!$A:$C,3,0)</f>
        <v>搪胶小鸭</v>
      </c>
      <c r="H881" s="44">
        <v>196</v>
      </c>
      <c r="I881" s="45">
        <f>+L881*36</f>
        <v>7056</v>
      </c>
      <c r="J881" s="45" t="s">
        <v>32</v>
      </c>
      <c r="K881" s="45" t="s">
        <v>33</v>
      </c>
      <c r="L881" s="46">
        <v>196</v>
      </c>
      <c r="M881" s="43">
        <f t="shared" si="87"/>
        <v>2.41870535816</v>
      </c>
      <c r="N881" s="46" t="s">
        <v>34</v>
      </c>
      <c r="O881" s="44" t="s">
        <v>1204</v>
      </c>
      <c r="P881" s="48"/>
      <c r="Q881" s="8">
        <f>VLOOKUP($F881,[1]装箱单!$A:$E,5,0)</f>
        <v>33.02</v>
      </c>
      <c r="R881" s="8">
        <f>VLOOKUP($F881,[1]装箱单!$A:$F,6,0)</f>
        <v>18.41</v>
      </c>
      <c r="S881" s="8">
        <f>VLOOKUP($F881,[1]装箱单!$A:$G,7,0)</f>
        <v>20.3</v>
      </c>
      <c r="T881" s="10">
        <f>VLOOKUP($F881,[1]装箱单!$A:$J,10,0)</f>
        <v>0.01234033346</v>
      </c>
      <c r="U881" s="11">
        <f t="shared" si="88"/>
        <v>2.41870535816</v>
      </c>
    </row>
    <row r="882" ht="29.1" customHeight="1" spans="1:21">
      <c r="A882" s="40">
        <v>46172</v>
      </c>
      <c r="B882" s="41" t="s">
        <v>1208</v>
      </c>
      <c r="C882" s="42" t="s">
        <v>1122</v>
      </c>
      <c r="D882" s="43" t="s">
        <v>1123</v>
      </c>
      <c r="E882" s="44">
        <v>740</v>
      </c>
      <c r="F882" s="44">
        <v>46496</v>
      </c>
      <c r="G882" s="44" t="str">
        <f>VLOOKUP(F882,[1]装箱单!$A:$C,3,0)</f>
        <v>米妮系列</v>
      </c>
      <c r="H882" s="44">
        <v>150</v>
      </c>
      <c r="I882" s="45">
        <f>+L882*2</f>
        <v>300</v>
      </c>
      <c r="J882" s="45" t="s">
        <v>32</v>
      </c>
      <c r="K882" s="45" t="s">
        <v>33</v>
      </c>
      <c r="L882" s="46">
        <v>150</v>
      </c>
      <c r="M882" s="43">
        <f t="shared" si="87"/>
        <v>3.3548577048</v>
      </c>
      <c r="N882" s="46" t="s">
        <v>34</v>
      </c>
      <c r="O882" s="44"/>
      <c r="P882" s="48"/>
      <c r="Q882" s="8">
        <f>VLOOKUP($F882,[1]装箱单!$A:$E,5,0)</f>
        <v>40.01</v>
      </c>
      <c r="R882" s="8">
        <f>VLOOKUP($F882,[1]装箱单!$A:$F,6,0)</f>
        <v>26.67</v>
      </c>
      <c r="S882" s="8">
        <f>VLOOKUP($F882,[1]装箱单!$A:$G,7,0)</f>
        <v>20.96</v>
      </c>
      <c r="T882" s="10">
        <f>VLOOKUP($F882,[1]装箱单!$A:$J,10,0)</f>
        <v>0.022365718032</v>
      </c>
      <c r="U882" s="11">
        <f t="shared" si="88"/>
        <v>3.3548577048</v>
      </c>
    </row>
    <row r="883" ht="29.1" customHeight="1" spans="1:21">
      <c r="A883" s="40">
        <v>46172</v>
      </c>
      <c r="B883" s="41" t="s">
        <v>1208</v>
      </c>
      <c r="C883" s="42" t="s">
        <v>1122</v>
      </c>
      <c r="D883" s="43" t="s">
        <v>1123</v>
      </c>
      <c r="E883" s="44">
        <v>740</v>
      </c>
      <c r="F883" s="44">
        <v>46132</v>
      </c>
      <c r="G883" s="44" t="str">
        <f>VLOOKUP(F883,[1]装箱单!$A:$C,3,0)</f>
        <v>赛车总动员系列</v>
      </c>
      <c r="H883" s="44">
        <v>180</v>
      </c>
      <c r="I883" s="45">
        <f>+L883*2</f>
        <v>360</v>
      </c>
      <c r="J883" s="45" t="s">
        <v>32</v>
      </c>
      <c r="K883" s="45" t="s">
        <v>33</v>
      </c>
      <c r="L883" s="46">
        <v>180</v>
      </c>
      <c r="M883" s="43">
        <f t="shared" si="87"/>
        <v>4.02582924576</v>
      </c>
      <c r="N883" s="46" t="s">
        <v>34</v>
      </c>
      <c r="O883" s="44"/>
      <c r="P883" s="48"/>
      <c r="Q883" s="8">
        <f>VLOOKUP($F883,[1]装箱单!$A:$E,5,0)</f>
        <v>40.01</v>
      </c>
      <c r="R883" s="8">
        <f>VLOOKUP($F883,[1]装箱单!$A:$F,6,0)</f>
        <v>26.67</v>
      </c>
      <c r="S883" s="8">
        <f>VLOOKUP($F883,[1]装箱单!$A:$G,7,0)</f>
        <v>20.96</v>
      </c>
      <c r="T883" s="10">
        <f>VLOOKUP($F883,[1]装箱单!$A:$J,10,0)</f>
        <v>0.022365718032</v>
      </c>
      <c r="U883" s="11">
        <f t="shared" si="88"/>
        <v>4.02582924576</v>
      </c>
    </row>
    <row r="884" ht="29.1" customHeight="1" spans="1:21">
      <c r="A884" s="40">
        <v>46172</v>
      </c>
      <c r="B884" s="41" t="s">
        <v>1208</v>
      </c>
      <c r="C884" s="42" t="s">
        <v>1122</v>
      </c>
      <c r="D884" s="43" t="s">
        <v>1123</v>
      </c>
      <c r="E884" s="44">
        <v>740</v>
      </c>
      <c r="F884" s="44">
        <v>46099</v>
      </c>
      <c r="G884" s="44" t="str">
        <f>VLOOKUP(F884,[1]装箱单!$A:$C,3,0)</f>
        <v>米奇老鼠系列</v>
      </c>
      <c r="H884" s="44">
        <v>200</v>
      </c>
      <c r="I884" s="45">
        <f>+L884*2</f>
        <v>400</v>
      </c>
      <c r="J884" s="45" t="s">
        <v>32</v>
      </c>
      <c r="K884" s="45" t="s">
        <v>33</v>
      </c>
      <c r="L884" s="46">
        <v>200</v>
      </c>
      <c r="M884" s="43">
        <f t="shared" si="87"/>
        <v>4.4731436064</v>
      </c>
      <c r="N884" s="46" t="s">
        <v>34</v>
      </c>
      <c r="O884" s="44"/>
      <c r="P884" s="48"/>
      <c r="Q884" s="8">
        <f>VLOOKUP($F884,[1]装箱单!$A:$E,5,0)</f>
        <v>40.01</v>
      </c>
      <c r="R884" s="8">
        <f>VLOOKUP($F884,[1]装箱单!$A:$F,6,0)</f>
        <v>26.67</v>
      </c>
      <c r="S884" s="8">
        <f>VLOOKUP($F884,[1]装箱单!$A:$G,7,0)</f>
        <v>20.96</v>
      </c>
      <c r="T884" s="10">
        <f>VLOOKUP($F884,[1]装箱单!$A:$J,10,0)</f>
        <v>0.022365718032</v>
      </c>
      <c r="U884" s="11">
        <f t="shared" si="88"/>
        <v>4.4731436064</v>
      </c>
    </row>
    <row r="885" ht="29.1" customHeight="1" spans="1:21">
      <c r="A885" s="40">
        <v>46172</v>
      </c>
      <c r="B885" s="41" t="s">
        <v>1208</v>
      </c>
      <c r="C885" s="42" t="s">
        <v>1122</v>
      </c>
      <c r="D885" s="43" t="s">
        <v>1123</v>
      </c>
      <c r="E885" s="44">
        <v>740</v>
      </c>
      <c r="F885" s="44">
        <v>46092</v>
      </c>
      <c r="G885" s="44" t="str">
        <f>VLOOKUP(F885,[1]装箱单!$A:$C,3,0)</f>
        <v>玩具总动员系列</v>
      </c>
      <c r="H885" s="44">
        <v>290</v>
      </c>
      <c r="I885" s="45">
        <f>+L885*2</f>
        <v>580</v>
      </c>
      <c r="J885" s="45" t="s">
        <v>32</v>
      </c>
      <c r="K885" s="45" t="s">
        <v>33</v>
      </c>
      <c r="L885" s="46">
        <v>290</v>
      </c>
      <c r="M885" s="43">
        <f t="shared" si="87"/>
        <v>6.48605822928</v>
      </c>
      <c r="N885" s="46" t="s">
        <v>34</v>
      </c>
      <c r="O885" s="44"/>
      <c r="P885" s="48"/>
      <c r="Q885" s="8">
        <f>VLOOKUP($F885,[1]装箱单!$A:$E,5,0)</f>
        <v>40.01</v>
      </c>
      <c r="R885" s="8">
        <f>VLOOKUP($F885,[1]装箱单!$A:$F,6,0)</f>
        <v>26.67</v>
      </c>
      <c r="S885" s="8">
        <f>VLOOKUP($F885,[1]装箱单!$A:$G,7,0)</f>
        <v>20.96</v>
      </c>
      <c r="T885" s="10">
        <f>VLOOKUP($F885,[1]装箱单!$A:$J,10,0)</f>
        <v>0.022365718032</v>
      </c>
      <c r="U885" s="11">
        <f t="shared" si="88"/>
        <v>6.48605822928</v>
      </c>
    </row>
    <row r="886" ht="29.1" customHeight="1" spans="1:21">
      <c r="A886" s="40">
        <v>46172</v>
      </c>
      <c r="B886" s="41" t="s">
        <v>40</v>
      </c>
      <c r="C886" s="42" t="s">
        <v>1209</v>
      </c>
      <c r="D886" s="43" t="s">
        <v>1210</v>
      </c>
      <c r="E886" s="44" t="s">
        <v>1211</v>
      </c>
      <c r="F886" s="44" t="s">
        <v>179</v>
      </c>
      <c r="G886" s="44" t="str">
        <f>VLOOKUP(F886,[1]装箱单!$A:$C,3,0)</f>
        <v>搪胶小鸭</v>
      </c>
      <c r="H886" s="44">
        <v>630</v>
      </c>
      <c r="I886" s="45">
        <f t="shared" ref="I886:I892" si="89">+L886*24</f>
        <v>15120</v>
      </c>
      <c r="J886" s="45" t="s">
        <v>32</v>
      </c>
      <c r="K886" s="45" t="s">
        <v>33</v>
      </c>
      <c r="L886" s="46">
        <v>630</v>
      </c>
      <c r="M886" s="43">
        <f t="shared" si="87"/>
        <v>8.37837</v>
      </c>
      <c r="N886" s="46" t="s">
        <v>34</v>
      </c>
      <c r="O886" s="44"/>
      <c r="P886" s="48"/>
      <c r="Q886" s="8">
        <f>VLOOKUP($F886,[1]装箱单!$A:$E,5,0)</f>
        <v>31</v>
      </c>
      <c r="R886" s="8">
        <f>VLOOKUP($F886,[1]装箱单!$A:$F,6,0)</f>
        <v>22</v>
      </c>
      <c r="S886" s="8">
        <f>VLOOKUP($F886,[1]装箱单!$A:$G,7,0)</f>
        <v>19.5</v>
      </c>
      <c r="T886" s="10">
        <f>VLOOKUP($F886,[1]装箱单!$A:$J,10,0)</f>
        <v>0.013299</v>
      </c>
      <c r="U886" s="11">
        <f t="shared" si="88"/>
        <v>8.37837</v>
      </c>
    </row>
    <row r="887" ht="29.1" customHeight="1" spans="1:21">
      <c r="A887" s="40">
        <v>46172</v>
      </c>
      <c r="B887" s="41" t="s">
        <v>40</v>
      </c>
      <c r="C887" s="42" t="s">
        <v>1212</v>
      </c>
      <c r="D887" s="43" t="s">
        <v>1213</v>
      </c>
      <c r="E887" s="44" t="s">
        <v>1214</v>
      </c>
      <c r="F887" s="44" t="s">
        <v>179</v>
      </c>
      <c r="G887" s="44" t="str">
        <f>VLOOKUP(F887,[1]装箱单!$A:$C,3,0)</f>
        <v>搪胶小鸭</v>
      </c>
      <c r="H887" s="44">
        <v>720</v>
      </c>
      <c r="I887" s="45">
        <f t="shared" si="89"/>
        <v>17280</v>
      </c>
      <c r="J887" s="45" t="s">
        <v>32</v>
      </c>
      <c r="K887" s="45" t="s">
        <v>33</v>
      </c>
      <c r="L887" s="46">
        <v>720</v>
      </c>
      <c r="M887" s="43">
        <f t="shared" si="87"/>
        <v>9.57528</v>
      </c>
      <c r="N887" s="46" t="s">
        <v>34</v>
      </c>
      <c r="O887" s="44"/>
      <c r="P887" s="48"/>
      <c r="Q887" s="8">
        <f>VLOOKUP($F887,[1]装箱单!$A:$E,5,0)</f>
        <v>31</v>
      </c>
      <c r="R887" s="8">
        <f>VLOOKUP($F887,[1]装箱单!$A:$F,6,0)</f>
        <v>22</v>
      </c>
      <c r="S887" s="8">
        <f>VLOOKUP($F887,[1]装箱单!$A:$G,7,0)</f>
        <v>19.5</v>
      </c>
      <c r="T887" s="10">
        <f>VLOOKUP($F887,[1]装箱单!$A:$J,10,0)</f>
        <v>0.013299</v>
      </c>
      <c r="U887" s="11">
        <f t="shared" si="88"/>
        <v>9.57528</v>
      </c>
    </row>
    <row r="888" ht="29.1" customHeight="1" spans="1:21">
      <c r="A888" s="40">
        <v>46172</v>
      </c>
      <c r="B888" s="41" t="s">
        <v>40</v>
      </c>
      <c r="C888" s="42" t="s">
        <v>1215</v>
      </c>
      <c r="D888" s="43" t="s">
        <v>1216</v>
      </c>
      <c r="E888" s="44" t="s">
        <v>1217</v>
      </c>
      <c r="F888" s="44" t="s">
        <v>179</v>
      </c>
      <c r="G888" s="44" t="str">
        <f>VLOOKUP(F888,[1]装箱单!$A:$C,3,0)</f>
        <v>搪胶小鸭</v>
      </c>
      <c r="H888" s="44">
        <v>360</v>
      </c>
      <c r="I888" s="45">
        <f t="shared" si="89"/>
        <v>8640</v>
      </c>
      <c r="J888" s="45" t="s">
        <v>32</v>
      </c>
      <c r="K888" s="45" t="s">
        <v>33</v>
      </c>
      <c r="L888" s="46">
        <v>360</v>
      </c>
      <c r="M888" s="43">
        <f t="shared" si="87"/>
        <v>4.78764</v>
      </c>
      <c r="N888" s="46" t="s">
        <v>34</v>
      </c>
      <c r="O888" s="44"/>
      <c r="P888" s="48"/>
      <c r="Q888" s="8">
        <f>VLOOKUP($F888,[1]装箱单!$A:$E,5,0)</f>
        <v>31</v>
      </c>
      <c r="R888" s="8">
        <f>VLOOKUP($F888,[1]装箱单!$A:$F,6,0)</f>
        <v>22</v>
      </c>
      <c r="S888" s="8">
        <f>VLOOKUP($F888,[1]装箱单!$A:$G,7,0)</f>
        <v>19.5</v>
      </c>
      <c r="T888" s="10">
        <f>VLOOKUP($F888,[1]装箱单!$A:$J,10,0)</f>
        <v>0.013299</v>
      </c>
      <c r="U888" s="11">
        <f t="shared" si="88"/>
        <v>4.78764</v>
      </c>
    </row>
    <row r="889" ht="29.1" customHeight="1" spans="1:21">
      <c r="A889" s="40">
        <v>46172</v>
      </c>
      <c r="B889" s="41" t="s">
        <v>40</v>
      </c>
      <c r="C889" s="42" t="s">
        <v>1218</v>
      </c>
      <c r="D889" s="43" t="s">
        <v>1219</v>
      </c>
      <c r="E889" s="44" t="s">
        <v>1220</v>
      </c>
      <c r="F889" s="44" t="s">
        <v>179</v>
      </c>
      <c r="G889" s="44" t="str">
        <f>VLOOKUP(F889,[1]装箱单!$A:$C,3,0)</f>
        <v>搪胶小鸭</v>
      </c>
      <c r="H889" s="44">
        <v>540</v>
      </c>
      <c r="I889" s="45">
        <f t="shared" si="89"/>
        <v>12960</v>
      </c>
      <c r="J889" s="45" t="s">
        <v>32</v>
      </c>
      <c r="K889" s="45" t="s">
        <v>33</v>
      </c>
      <c r="L889" s="46">
        <v>540</v>
      </c>
      <c r="M889" s="43">
        <f t="shared" si="87"/>
        <v>7.18146</v>
      </c>
      <c r="N889" s="46" t="s">
        <v>34</v>
      </c>
      <c r="O889" s="44"/>
      <c r="P889" s="48"/>
      <c r="Q889" s="8">
        <f>VLOOKUP($F889,[1]装箱单!$A:$E,5,0)</f>
        <v>31</v>
      </c>
      <c r="R889" s="8">
        <f>VLOOKUP($F889,[1]装箱单!$A:$F,6,0)</f>
        <v>22</v>
      </c>
      <c r="S889" s="8">
        <f>VLOOKUP($F889,[1]装箱单!$A:$G,7,0)</f>
        <v>19.5</v>
      </c>
      <c r="T889" s="10">
        <f>VLOOKUP($F889,[1]装箱单!$A:$J,10,0)</f>
        <v>0.013299</v>
      </c>
      <c r="U889" s="11">
        <f t="shared" si="88"/>
        <v>7.18146</v>
      </c>
    </row>
    <row r="890" ht="29.1" customHeight="1" spans="1:21">
      <c r="A890" s="40">
        <v>46172</v>
      </c>
      <c r="B890" s="41" t="s">
        <v>40</v>
      </c>
      <c r="C890" s="42" t="s">
        <v>1221</v>
      </c>
      <c r="D890" s="43" t="s">
        <v>1222</v>
      </c>
      <c r="E890" s="44" t="s">
        <v>1223</v>
      </c>
      <c r="F890" s="44" t="s">
        <v>179</v>
      </c>
      <c r="G890" s="44" t="str">
        <f>VLOOKUP(F890,[1]装箱单!$A:$C,3,0)</f>
        <v>搪胶小鸭</v>
      </c>
      <c r="H890" s="44">
        <v>630</v>
      </c>
      <c r="I890" s="45">
        <f t="shared" si="89"/>
        <v>15120</v>
      </c>
      <c r="J890" s="45" t="s">
        <v>32</v>
      </c>
      <c r="K890" s="45" t="s">
        <v>33</v>
      </c>
      <c r="L890" s="46">
        <v>630</v>
      </c>
      <c r="M890" s="43">
        <f t="shared" si="87"/>
        <v>8.37837</v>
      </c>
      <c r="N890" s="46" t="s">
        <v>34</v>
      </c>
      <c r="O890" s="44"/>
      <c r="P890" s="48"/>
      <c r="Q890" s="8">
        <f>VLOOKUP($F890,[1]装箱单!$A:$E,5,0)</f>
        <v>31</v>
      </c>
      <c r="R890" s="8">
        <f>VLOOKUP($F890,[1]装箱单!$A:$F,6,0)</f>
        <v>22</v>
      </c>
      <c r="S890" s="8">
        <f>VLOOKUP($F890,[1]装箱单!$A:$G,7,0)</f>
        <v>19.5</v>
      </c>
      <c r="T890" s="10">
        <f>VLOOKUP($F890,[1]装箱单!$A:$J,10,0)</f>
        <v>0.013299</v>
      </c>
      <c r="U890" s="11">
        <f t="shared" si="88"/>
        <v>8.37837</v>
      </c>
    </row>
    <row r="891" ht="29.1" customHeight="1" spans="1:21">
      <c r="A891" s="40">
        <v>46172</v>
      </c>
      <c r="B891" s="41" t="s">
        <v>40</v>
      </c>
      <c r="C891" s="42" t="s">
        <v>1224</v>
      </c>
      <c r="D891" s="43" t="s">
        <v>1225</v>
      </c>
      <c r="E891" s="139" t="s">
        <v>1226</v>
      </c>
      <c r="F891" s="44" t="s">
        <v>179</v>
      </c>
      <c r="G891" s="44" t="str">
        <f>VLOOKUP(F891,[1]装箱单!$A:$C,3,0)</f>
        <v>搪胶小鸭</v>
      </c>
      <c r="H891" s="44">
        <v>270</v>
      </c>
      <c r="I891" s="45">
        <f t="shared" si="89"/>
        <v>6480</v>
      </c>
      <c r="J891" s="45" t="s">
        <v>32</v>
      </c>
      <c r="K891" s="45" t="s">
        <v>33</v>
      </c>
      <c r="L891" s="46">
        <v>270</v>
      </c>
      <c r="M891" s="43">
        <f t="shared" si="87"/>
        <v>3.59073</v>
      </c>
      <c r="N891" s="46" t="s">
        <v>34</v>
      </c>
      <c r="O891" s="44"/>
      <c r="P891" s="48"/>
      <c r="Q891" s="8">
        <f>VLOOKUP($F891,[1]装箱单!$A:$E,5,0)</f>
        <v>31</v>
      </c>
      <c r="R891" s="8">
        <f>VLOOKUP($F891,[1]装箱单!$A:$F,6,0)</f>
        <v>22</v>
      </c>
      <c r="S891" s="8">
        <f>VLOOKUP($F891,[1]装箱单!$A:$G,7,0)</f>
        <v>19.5</v>
      </c>
      <c r="T891" s="10">
        <f>VLOOKUP($F891,[1]装箱单!$A:$J,10,0)</f>
        <v>0.013299</v>
      </c>
      <c r="U891" s="11">
        <f t="shared" si="88"/>
        <v>3.59073</v>
      </c>
    </row>
    <row r="892" ht="29.1" customHeight="1" spans="1:21">
      <c r="A892" s="40">
        <v>46172</v>
      </c>
      <c r="B892" s="41" t="s">
        <v>40</v>
      </c>
      <c r="C892" s="42" t="s">
        <v>1227</v>
      </c>
      <c r="D892" s="43" t="s">
        <v>1228</v>
      </c>
      <c r="E892" s="44" t="s">
        <v>1229</v>
      </c>
      <c r="F892" s="44" t="s">
        <v>179</v>
      </c>
      <c r="G892" s="44" t="str">
        <f>VLOOKUP(F892,[1]装箱单!$A:$C,3,0)</f>
        <v>搪胶小鸭</v>
      </c>
      <c r="H892" s="44">
        <v>450</v>
      </c>
      <c r="I892" s="45">
        <f t="shared" si="89"/>
        <v>10800</v>
      </c>
      <c r="J892" s="45" t="s">
        <v>32</v>
      </c>
      <c r="K892" s="45" t="s">
        <v>33</v>
      </c>
      <c r="L892" s="46">
        <v>450</v>
      </c>
      <c r="M892" s="43">
        <f t="shared" si="87"/>
        <v>5.98455</v>
      </c>
      <c r="N892" s="46" t="s">
        <v>34</v>
      </c>
      <c r="O892" s="44"/>
      <c r="P892" s="48"/>
      <c r="Q892" s="8">
        <f>VLOOKUP($F892,[1]装箱单!$A:$E,5,0)</f>
        <v>31</v>
      </c>
      <c r="R892" s="8">
        <f>VLOOKUP($F892,[1]装箱单!$A:$F,6,0)</f>
        <v>22</v>
      </c>
      <c r="S892" s="8">
        <f>VLOOKUP($F892,[1]装箱单!$A:$G,7,0)</f>
        <v>19.5</v>
      </c>
      <c r="T892" s="10">
        <f>VLOOKUP($F892,[1]装箱单!$A:$J,10,0)</f>
        <v>0.013299</v>
      </c>
      <c r="U892" s="11">
        <f t="shared" si="88"/>
        <v>5.98455</v>
      </c>
    </row>
    <row r="893" ht="29.1" customHeight="1" spans="1:21">
      <c r="A893" s="40">
        <v>46172</v>
      </c>
      <c r="B893" s="41" t="s">
        <v>77</v>
      </c>
      <c r="C893" s="42" t="s">
        <v>1230</v>
      </c>
      <c r="D893" s="43" t="s">
        <v>1231</v>
      </c>
      <c r="E893" s="44" t="s">
        <v>1232</v>
      </c>
      <c r="F893" s="44" t="s">
        <v>111</v>
      </c>
      <c r="G893" s="44" t="str">
        <f>VLOOKUP(F893,[1]装箱单!$A:$C,3,0)</f>
        <v>鸭子</v>
      </c>
      <c r="H893" s="44">
        <v>329</v>
      </c>
      <c r="I893" s="45">
        <f>+L893*18</f>
        <v>5922</v>
      </c>
      <c r="J893" s="45" t="s">
        <v>32</v>
      </c>
      <c r="K893" s="45" t="s">
        <v>33</v>
      </c>
      <c r="L893" s="46">
        <v>329</v>
      </c>
      <c r="M893" s="43">
        <f t="shared" si="87"/>
        <v>1.9059011478675</v>
      </c>
      <c r="N893" s="46" t="s">
        <v>34</v>
      </c>
      <c r="O893" s="44" t="s">
        <v>1233</v>
      </c>
      <c r="P893" s="48"/>
      <c r="Q893" s="8">
        <f>VLOOKUP($F893,[1]装箱单!$A:$E,5,0)</f>
        <v>32.385</v>
      </c>
      <c r="R893" s="8">
        <f>VLOOKUP($F893,[1]装箱单!$A:$F,6,0)</f>
        <v>18.78</v>
      </c>
      <c r="S893" s="8">
        <f>VLOOKUP($F893,[1]装箱单!$A:$G,7,0)</f>
        <v>9.525</v>
      </c>
      <c r="T893" s="10">
        <f>VLOOKUP($F893,[1]装箱单!$A:$J,10,0)</f>
        <v>0.0057930126075</v>
      </c>
      <c r="U893" s="11">
        <f t="shared" si="88"/>
        <v>1.9059011478675</v>
      </c>
    </row>
    <row r="894" ht="29.1" customHeight="1" spans="1:21">
      <c r="A894" s="40">
        <v>46172</v>
      </c>
      <c r="B894" s="41" t="s">
        <v>77</v>
      </c>
      <c r="C894" s="42" t="s">
        <v>1230</v>
      </c>
      <c r="D894" s="43" t="s">
        <v>1231</v>
      </c>
      <c r="E894" s="44" t="s">
        <v>1232</v>
      </c>
      <c r="F894" s="44" t="s">
        <v>45</v>
      </c>
      <c r="G894" s="44" t="str">
        <f>VLOOKUP(F894,[1]装箱单!$A:$C,3,0)</f>
        <v>鸭子</v>
      </c>
      <c r="H894" s="44">
        <v>7028</v>
      </c>
      <c r="I894" s="45">
        <f>+L894*18</f>
        <v>51534</v>
      </c>
      <c r="J894" s="45" t="s">
        <v>32</v>
      </c>
      <c r="K894" s="45" t="s">
        <v>33</v>
      </c>
      <c r="L894" s="46">
        <v>2863</v>
      </c>
      <c r="M894" s="43">
        <f t="shared" si="87"/>
        <v>16.5853950952725</v>
      </c>
      <c r="N894" s="46" t="s">
        <v>34</v>
      </c>
      <c r="O894" s="44"/>
      <c r="P894" s="48"/>
      <c r="Q894" s="8">
        <f>VLOOKUP($F894,[1]装箱单!$A:$E,5,0)</f>
        <v>32.385</v>
      </c>
      <c r="R894" s="8">
        <f>VLOOKUP($F894,[1]装箱单!$A:$F,6,0)</f>
        <v>18.78</v>
      </c>
      <c r="S894" s="8">
        <f>VLOOKUP($F894,[1]装箱单!$A:$G,7,0)</f>
        <v>9.525</v>
      </c>
      <c r="T894" s="10">
        <f>VLOOKUP($F894,[1]装箱单!$A:$J,10,0)</f>
        <v>0.0057930126075</v>
      </c>
      <c r="U894" s="11">
        <f t="shared" si="88"/>
        <v>16.5853950952725</v>
      </c>
    </row>
    <row r="895" ht="29.1" customHeight="1" spans="1:21">
      <c r="A895" s="40">
        <v>46172</v>
      </c>
      <c r="B895" s="41" t="s">
        <v>737</v>
      </c>
      <c r="C895" s="42" t="s">
        <v>738</v>
      </c>
      <c r="D895" s="43" t="s">
        <v>739</v>
      </c>
      <c r="E895" s="44" t="s">
        <v>740</v>
      </c>
      <c r="F895" s="44" t="s">
        <v>279</v>
      </c>
      <c r="G895" s="44" t="str">
        <f>VLOOKUP(F895,[1]装箱单!$A:$C,3,0)</f>
        <v>假日小鸭</v>
      </c>
      <c r="H895" s="44">
        <v>334</v>
      </c>
      <c r="I895" s="45">
        <v>6012</v>
      </c>
      <c r="J895" s="45" t="s">
        <v>32</v>
      </c>
      <c r="K895" s="45" t="s">
        <v>33</v>
      </c>
      <c r="L895" s="46">
        <f>+I895/18</f>
        <v>334</v>
      </c>
      <c r="M895" s="43">
        <f t="shared" si="87"/>
        <v>1.934866210905</v>
      </c>
      <c r="N895" s="46" t="s">
        <v>34</v>
      </c>
      <c r="O895" s="44"/>
      <c r="P895" s="48"/>
      <c r="Q895" s="8">
        <f>VLOOKUP($F895,[1]装箱单!$A:$E,5,0)</f>
        <v>32.385</v>
      </c>
      <c r="R895" s="8">
        <f>VLOOKUP($F895,[1]装箱单!$A:$F,6,0)</f>
        <v>18.78</v>
      </c>
      <c r="S895" s="8">
        <f>VLOOKUP($F895,[1]装箱单!$A:$G,7,0)</f>
        <v>9.525</v>
      </c>
      <c r="T895" s="10">
        <f>VLOOKUP($F895,[1]装箱单!$A:$J,10,0)</f>
        <v>0.0057930126075</v>
      </c>
      <c r="U895" s="11">
        <f t="shared" si="88"/>
        <v>1.934866210905</v>
      </c>
    </row>
    <row r="896" ht="29.1" customHeight="1" spans="1:21">
      <c r="A896" s="40">
        <v>46172</v>
      </c>
      <c r="B896" s="41" t="s">
        <v>331</v>
      </c>
      <c r="C896" s="42" t="s">
        <v>1185</v>
      </c>
      <c r="D896" s="43" t="s">
        <v>1186</v>
      </c>
      <c r="E896" s="44" t="s">
        <v>1187</v>
      </c>
      <c r="F896" s="44" t="s">
        <v>51</v>
      </c>
      <c r="G896" s="44" t="str">
        <f>VLOOKUP(F896,[1]装箱单!$A:$C,3,0)</f>
        <v>鸭子</v>
      </c>
      <c r="H896" s="44">
        <v>1642</v>
      </c>
      <c r="I896" s="45">
        <f>+L896*2</f>
        <v>896</v>
      </c>
      <c r="J896" s="45" t="s">
        <v>32</v>
      </c>
      <c r="K896" s="45" t="s">
        <v>33</v>
      </c>
      <c r="L896" s="46">
        <f>1642-1194</f>
        <v>448</v>
      </c>
      <c r="M896" s="43">
        <f t="shared" si="87"/>
        <v>18.311181504</v>
      </c>
      <c r="N896" s="46" t="s">
        <v>34</v>
      </c>
      <c r="O896" s="44"/>
      <c r="P896" s="48"/>
      <c r="Q896" s="8">
        <f>VLOOKUP($F896,[1]装箱单!$A:$E,5,0)</f>
        <v>37.15</v>
      </c>
      <c r="R896" s="8">
        <f>VLOOKUP($F896,[1]装箱单!$A:$F,6,0)</f>
        <v>33</v>
      </c>
      <c r="S896" s="8">
        <f>VLOOKUP($F896,[1]装箱单!$A:$G,7,0)</f>
        <v>33.34</v>
      </c>
      <c r="T896" s="10">
        <f>VLOOKUP($F896,[1]装箱单!$A:$J,10,0)</f>
        <v>0.040873173</v>
      </c>
      <c r="U896" s="11">
        <f t="shared" si="88"/>
        <v>18.311181504</v>
      </c>
    </row>
    <row r="897" ht="29.1" customHeight="1" spans="1:21">
      <c r="A897" s="40"/>
      <c r="B897" s="41"/>
      <c r="C897" s="42"/>
      <c r="D897" s="43"/>
      <c r="E897" s="44"/>
      <c r="F897" s="44"/>
      <c r="G897" s="44"/>
      <c r="H897" s="44"/>
      <c r="I897" s="45"/>
      <c r="J897" s="45"/>
      <c r="K897" s="45"/>
      <c r="L897" s="46"/>
      <c r="M897" s="43">
        <f>SUM(M878:M896)</f>
        <v>115.492277519125</v>
      </c>
      <c r="N897" s="46"/>
      <c r="O897" s="44"/>
      <c r="P897" s="51"/>
    </row>
    <row r="898" ht="29.1" customHeight="1" spans="1:21">
      <c r="A898" s="40">
        <v>46175</v>
      </c>
      <c r="B898" s="41" t="s">
        <v>890</v>
      </c>
      <c r="C898" s="42" t="s">
        <v>1234</v>
      </c>
      <c r="D898" s="43" t="s">
        <v>1235</v>
      </c>
      <c r="E898" s="44">
        <v>4400545904</v>
      </c>
      <c r="F898" s="44">
        <v>46496</v>
      </c>
      <c r="G898" s="44" t="str">
        <f>VLOOKUP(F898,[1]装箱单!$A:$C,3,0)</f>
        <v>米妮系列</v>
      </c>
      <c r="H898" s="44">
        <v>1232</v>
      </c>
      <c r="I898" s="45">
        <f>+L898*2</f>
        <v>2464</v>
      </c>
      <c r="J898" s="45" t="s">
        <v>47</v>
      </c>
      <c r="K898" s="45" t="s">
        <v>33</v>
      </c>
      <c r="L898" s="46">
        <v>1232</v>
      </c>
      <c r="M898" s="43">
        <f>+U898</f>
        <v>27.554564615424</v>
      </c>
      <c r="N898" s="46" t="s">
        <v>34</v>
      </c>
      <c r="O898" s="44"/>
      <c r="P898" s="47" t="s">
        <v>982</v>
      </c>
      <c r="Q898" s="8">
        <f>VLOOKUP($F898,[1]装箱单!$A:$E,5,0)</f>
        <v>40.01</v>
      </c>
      <c r="R898" s="8">
        <f>VLOOKUP($F898,[1]装箱单!$A:$F,6,0)</f>
        <v>26.67</v>
      </c>
      <c r="S898" s="8">
        <f>VLOOKUP($F898,[1]装箱单!$A:$G,7,0)</f>
        <v>20.96</v>
      </c>
      <c r="T898" s="10">
        <f>VLOOKUP($F898,[1]装箱单!$A:$J,10,0)</f>
        <v>0.022365718032</v>
      </c>
      <c r="U898" s="11">
        <f>+T898*L898</f>
        <v>27.554564615424</v>
      </c>
    </row>
    <row r="899" ht="29.1" customHeight="1" spans="1:21">
      <c r="A899" s="40">
        <v>46175</v>
      </c>
      <c r="B899" s="41" t="s">
        <v>1133</v>
      </c>
      <c r="C899" s="42" t="s">
        <v>1236</v>
      </c>
      <c r="D899" s="43" t="s">
        <v>1237</v>
      </c>
      <c r="E899" s="44" t="s">
        <v>1238</v>
      </c>
      <c r="F899" s="44">
        <v>46132</v>
      </c>
      <c r="G899" s="44" t="str">
        <f>VLOOKUP(F899,[1]装箱单!$A:$C,3,0)</f>
        <v>赛车总动员系列</v>
      </c>
      <c r="H899" s="44">
        <v>1737</v>
      </c>
      <c r="I899" s="45">
        <f>+L899*2</f>
        <v>3474</v>
      </c>
      <c r="J899" s="45" t="s">
        <v>47</v>
      </c>
      <c r="K899" s="45" t="s">
        <v>33</v>
      </c>
      <c r="L899" s="46">
        <v>1737</v>
      </c>
      <c r="M899" s="43">
        <f>+U899</f>
        <v>38.849252221584</v>
      </c>
      <c r="N899" s="46" t="s">
        <v>34</v>
      </c>
      <c r="O899" s="44"/>
      <c r="P899" s="48"/>
      <c r="Q899" s="8">
        <f>VLOOKUP($F899,[1]装箱单!$A:$E,5,0)</f>
        <v>40.01</v>
      </c>
      <c r="R899" s="8">
        <f>VLOOKUP($F899,[1]装箱单!$A:$F,6,0)</f>
        <v>26.67</v>
      </c>
      <c r="S899" s="8">
        <f>VLOOKUP($F899,[1]装箱单!$A:$G,7,0)</f>
        <v>20.96</v>
      </c>
      <c r="T899" s="10">
        <f>VLOOKUP($F899,[1]装箱单!$A:$J,10,0)</f>
        <v>0.022365718032</v>
      </c>
      <c r="U899" s="11">
        <f>+T899*L899</f>
        <v>38.849252221584</v>
      </c>
    </row>
    <row r="900" ht="29.1" customHeight="1" spans="1:21">
      <c r="A900" s="40">
        <v>46175</v>
      </c>
      <c r="B900" s="41" t="s">
        <v>1133</v>
      </c>
      <c r="C900" s="42" t="s">
        <v>1239</v>
      </c>
      <c r="D900" s="43" t="s">
        <v>1237</v>
      </c>
      <c r="E900" s="139" t="s">
        <v>1240</v>
      </c>
      <c r="F900" s="44">
        <v>46132</v>
      </c>
      <c r="G900" s="44" t="str">
        <f>VLOOKUP(F900,[1]装箱单!$A:$C,3,0)</f>
        <v>赛车总动员系列</v>
      </c>
      <c r="H900" s="44">
        <v>1737</v>
      </c>
      <c r="I900" s="45">
        <f>+L900*2</f>
        <v>3474</v>
      </c>
      <c r="J900" s="45" t="s">
        <v>47</v>
      </c>
      <c r="K900" s="45" t="s">
        <v>33</v>
      </c>
      <c r="L900" s="46">
        <v>1737</v>
      </c>
      <c r="M900" s="43">
        <f>+U900</f>
        <v>38.849252221584</v>
      </c>
      <c r="N900" s="46" t="s">
        <v>34</v>
      </c>
      <c r="O900" s="44"/>
      <c r="P900" s="48"/>
      <c r="Q900" s="8">
        <f>VLOOKUP($F900,[1]装箱单!$A:$E,5,0)</f>
        <v>40.01</v>
      </c>
      <c r="R900" s="8">
        <f>VLOOKUP($F900,[1]装箱单!$A:$F,6,0)</f>
        <v>26.67</v>
      </c>
      <c r="S900" s="8">
        <f>VLOOKUP($F900,[1]装箱单!$A:$G,7,0)</f>
        <v>20.96</v>
      </c>
      <c r="T900" s="10">
        <f>VLOOKUP($F900,[1]装箱单!$A:$J,10,0)</f>
        <v>0.022365718032</v>
      </c>
      <c r="U900" s="11">
        <f>+T900*L900</f>
        <v>38.849252221584</v>
      </c>
    </row>
    <row r="901" ht="29.1" customHeight="1" spans="1:21">
      <c r="A901" s="40">
        <v>46175</v>
      </c>
      <c r="B901" s="41" t="s">
        <v>77</v>
      </c>
      <c r="C901" s="42" t="s">
        <v>1241</v>
      </c>
      <c r="D901" s="43" t="s">
        <v>1242</v>
      </c>
      <c r="E901" s="44" t="s">
        <v>1243</v>
      </c>
      <c r="F901" s="44" t="s">
        <v>754</v>
      </c>
      <c r="G901" s="44" t="str">
        <f>VLOOKUP(F901,[1]装箱单!$A:$C,3,0)</f>
        <v>搪胶小鸭</v>
      </c>
      <c r="H901" s="44">
        <v>375</v>
      </c>
      <c r="I901" s="45">
        <v>3000</v>
      </c>
      <c r="J901" s="45" t="s">
        <v>32</v>
      </c>
      <c r="K901" s="45" t="s">
        <v>33</v>
      </c>
      <c r="L901" s="46">
        <v>375</v>
      </c>
      <c r="M901" s="43">
        <f>+U901</f>
        <v>2.95527375</v>
      </c>
      <c r="N901" s="46" t="s">
        <v>34</v>
      </c>
      <c r="O901" s="44"/>
      <c r="P901" s="48"/>
      <c r="Q901" s="8">
        <f>VLOOKUP($F901,[1]装箱单!$A:$E,5,0)</f>
        <v>33</v>
      </c>
      <c r="R901" s="8">
        <f>VLOOKUP($F901,[1]装箱单!$A:$F,6,0)</f>
        <v>16.7</v>
      </c>
      <c r="S901" s="8">
        <f>VLOOKUP($F901,[1]装箱单!$A:$G,7,0)</f>
        <v>14.3</v>
      </c>
      <c r="T901" s="10">
        <f>VLOOKUP($F901,[1]装箱单!$A:$J,10,0)</f>
        <v>0.00788073</v>
      </c>
      <c r="U901" s="11">
        <f>+T901*L901</f>
        <v>2.95527375</v>
      </c>
    </row>
    <row r="902" ht="29.1" customHeight="1" spans="1:21">
      <c r="A902" s="40">
        <v>46175</v>
      </c>
      <c r="B902" s="41" t="s">
        <v>77</v>
      </c>
      <c r="C902" s="42" t="s">
        <v>1230</v>
      </c>
      <c r="D902" s="43" t="s">
        <v>1231</v>
      </c>
      <c r="E902" s="44" t="s">
        <v>1232</v>
      </c>
      <c r="F902" s="44" t="s">
        <v>45</v>
      </c>
      <c r="G902" s="44" t="str">
        <f>VLOOKUP(F902,[1]装箱单!$A:$C,3,0)</f>
        <v>鸭子</v>
      </c>
      <c r="H902" s="44">
        <v>7028</v>
      </c>
      <c r="I902" s="45">
        <f>+L902*18</f>
        <v>74970</v>
      </c>
      <c r="J902" s="45" t="s">
        <v>32</v>
      </c>
      <c r="K902" s="45" t="s">
        <v>33</v>
      </c>
      <c r="L902" s="46">
        <f>7028-2863</f>
        <v>4165</v>
      </c>
      <c r="M902" s="43">
        <f>+U902</f>
        <v>24.1278975102375</v>
      </c>
      <c r="N902" s="46" t="s">
        <v>34</v>
      </c>
      <c r="O902" s="44"/>
      <c r="P902" s="48"/>
      <c r="Q902" s="8">
        <f>VLOOKUP($F902,[1]装箱单!$A:$E,5,0)</f>
        <v>32.385</v>
      </c>
      <c r="R902" s="8">
        <f>VLOOKUP($F902,[1]装箱单!$A:$F,6,0)</f>
        <v>18.78</v>
      </c>
      <c r="S902" s="8">
        <f>VLOOKUP($F902,[1]装箱单!$A:$G,7,0)</f>
        <v>9.525</v>
      </c>
      <c r="T902" s="10">
        <f>VLOOKUP($F902,[1]装箱单!$A:$J,10,0)</f>
        <v>0.0057930126075</v>
      </c>
      <c r="U902" s="11">
        <f>+T902*L902</f>
        <v>24.1278975102375</v>
      </c>
    </row>
    <row r="903" ht="29.1" customHeight="1" spans="1:21">
      <c r="A903" s="40"/>
      <c r="B903" s="41"/>
      <c r="C903" s="42"/>
      <c r="D903" s="43"/>
      <c r="E903" s="44"/>
      <c r="F903" s="44"/>
      <c r="G903" s="44"/>
      <c r="H903" s="49"/>
      <c r="I903" s="45"/>
      <c r="J903" s="45"/>
      <c r="K903" s="45"/>
      <c r="L903" s="50"/>
      <c r="M903" s="43">
        <f>SUM(M898:M902)</f>
        <v>132.33624031883</v>
      </c>
      <c r="N903" s="46"/>
      <c r="O903" s="49"/>
      <c r="P903" s="51"/>
    </row>
    <row r="904" ht="29.1" customHeight="1" spans="1:21">
      <c r="A904" s="40">
        <v>46178</v>
      </c>
      <c r="B904" s="41" t="s">
        <v>27</v>
      </c>
      <c r="C904" s="42" t="s">
        <v>1244</v>
      </c>
      <c r="D904" s="43" t="s">
        <v>1245</v>
      </c>
      <c r="E904" s="44" t="s">
        <v>1246</v>
      </c>
      <c r="F904" s="44" t="s">
        <v>30</v>
      </c>
      <c r="G904" s="44" t="str">
        <f>VLOOKUP(F904,[1]装箱单!$A:$C,3,0)</f>
        <v>摇摆米奇</v>
      </c>
      <c r="H904" s="44">
        <v>100</v>
      </c>
      <c r="I904" s="45">
        <f>+L904*3</f>
        <v>300</v>
      </c>
      <c r="J904" s="45" t="s">
        <v>32</v>
      </c>
      <c r="K904" s="45" t="s">
        <v>33</v>
      </c>
      <c r="L904" s="46">
        <v>100</v>
      </c>
      <c r="M904" s="43">
        <f>+U904</f>
        <v>7.5620155211</v>
      </c>
      <c r="N904" s="46" t="s">
        <v>34</v>
      </c>
      <c r="O904" s="44"/>
      <c r="P904" s="47" t="s">
        <v>982</v>
      </c>
      <c r="Q904" s="8">
        <f>VLOOKUP($F904,[1]装箱单!$A:$E,5,0)</f>
        <v>48.26</v>
      </c>
      <c r="R904" s="8">
        <f>VLOOKUP($F904,[1]装箱单!$A:$F,6,0)</f>
        <v>36.83</v>
      </c>
      <c r="S904" s="8">
        <f>VLOOKUP($F904,[1]装箱单!$A:$G,7,0)</f>
        <v>42.545</v>
      </c>
      <c r="T904" s="10">
        <f>VLOOKUP($F904,[1]装箱单!$A:$J,10,0)</f>
        <v>0.075620155211</v>
      </c>
      <c r="U904" s="11">
        <f>+T904*L904</f>
        <v>7.5620155211</v>
      </c>
    </row>
    <row r="905" ht="29.1" customHeight="1" spans="1:21">
      <c r="A905" s="40">
        <v>46178</v>
      </c>
      <c r="B905" s="41" t="s">
        <v>1247</v>
      </c>
      <c r="C905" s="42" t="s">
        <v>1248</v>
      </c>
      <c r="D905" s="43" t="s">
        <v>1249</v>
      </c>
      <c r="E905" s="44" t="s">
        <v>1250</v>
      </c>
      <c r="F905" s="44">
        <v>28458</v>
      </c>
      <c r="G905" s="44" t="str">
        <f>VLOOKUP(F905,[1]装箱单!$A:$C,3,0)</f>
        <v>五款硅胶手感球</v>
      </c>
      <c r="H905" s="44">
        <v>600</v>
      </c>
      <c r="I905" s="45">
        <f>+L905*3</f>
        <v>600</v>
      </c>
      <c r="J905" s="45" t="s">
        <v>47</v>
      </c>
      <c r="K905" s="45" t="s">
        <v>33</v>
      </c>
      <c r="L905" s="46">
        <v>200</v>
      </c>
      <c r="M905" s="43">
        <f>+U905</f>
        <v>4.1660716788</v>
      </c>
      <c r="N905" s="46" t="s">
        <v>34</v>
      </c>
      <c r="O905" s="44"/>
      <c r="P905" s="48"/>
      <c r="Q905" s="8">
        <f>VLOOKUP($F905,[1]装箱单!$A:$E,5,0)</f>
        <v>26.99</v>
      </c>
      <c r="R905" s="8">
        <f>VLOOKUP($F905,[1]装箱单!$A:$F,6,0)</f>
        <v>27.31</v>
      </c>
      <c r="S905" s="8">
        <f>VLOOKUP($F905,[1]装箱单!$A:$G,7,0)</f>
        <v>28.26</v>
      </c>
      <c r="T905" s="10">
        <f>VLOOKUP($F905,[1]装箱单!$A:$J,10,0)</f>
        <v>0.020830358394</v>
      </c>
      <c r="U905" s="11">
        <f>+T905*L905</f>
        <v>4.1660716788</v>
      </c>
    </row>
    <row r="906" ht="29.1" customHeight="1" spans="1:21">
      <c r="A906" s="40">
        <v>46178</v>
      </c>
      <c r="B906" s="41" t="s">
        <v>1247</v>
      </c>
      <c r="C906" s="42" t="s">
        <v>1248</v>
      </c>
      <c r="D906" s="43" t="s">
        <v>1249</v>
      </c>
      <c r="E906" s="44" t="s">
        <v>1250</v>
      </c>
      <c r="F906" s="44">
        <v>28472</v>
      </c>
      <c r="G906" s="44" t="str">
        <f>VLOOKUP(F906,[1]装箱单!$A:$C,3,0)</f>
        <v>狮子</v>
      </c>
      <c r="H906" s="44">
        <v>600</v>
      </c>
      <c r="I906" s="45">
        <v>600</v>
      </c>
      <c r="J906" s="45" t="s">
        <v>32</v>
      </c>
      <c r="K906" s="45" t="s">
        <v>33</v>
      </c>
      <c r="L906" s="46">
        <v>600</v>
      </c>
      <c r="M906" s="43">
        <f>+U906</f>
        <v>11.016</v>
      </c>
      <c r="N906" s="46" t="s">
        <v>34</v>
      </c>
      <c r="O906" s="44"/>
      <c r="P906" s="48"/>
      <c r="Q906" s="8">
        <f>VLOOKUP($F906,[1]装箱单!$A:$E,5,0)</f>
        <v>30</v>
      </c>
      <c r="R906" s="8">
        <f>VLOOKUP($F906,[1]装箱单!$A:$F,6,0)</f>
        <v>17</v>
      </c>
      <c r="S906" s="8">
        <f>VLOOKUP($F906,[1]装箱单!$A:$G,7,0)</f>
        <v>36</v>
      </c>
      <c r="T906" s="10">
        <f>VLOOKUP($F906,[1]装箱单!$A:$J,10,0)</f>
        <v>0.01836</v>
      </c>
      <c r="U906" s="11">
        <f>+T906*L906</f>
        <v>11.016</v>
      </c>
    </row>
    <row r="907" ht="29.1" customHeight="1" spans="1:21">
      <c r="A907" s="40">
        <v>46178</v>
      </c>
      <c r="B907" s="41" t="s">
        <v>1247</v>
      </c>
      <c r="C907" s="42" t="s">
        <v>1248</v>
      </c>
      <c r="D907" s="43" t="s">
        <v>1249</v>
      </c>
      <c r="E907" s="44">
        <v>29556931</v>
      </c>
      <c r="F907" s="44">
        <v>28483</v>
      </c>
      <c r="G907" s="44" t="str">
        <f>VLOOKUP(F907,[1]装箱单!$A:$C,3,0)</f>
        <v>振动球</v>
      </c>
      <c r="H907" s="44">
        <v>600</v>
      </c>
      <c r="I907" s="45">
        <v>600</v>
      </c>
      <c r="J907" s="45" t="s">
        <v>32</v>
      </c>
      <c r="K907" s="45" t="s">
        <v>33</v>
      </c>
      <c r="L907" s="46">
        <v>600</v>
      </c>
      <c r="M907" s="43">
        <f>+U907</f>
        <v>3.463614</v>
      </c>
      <c r="N907" s="46" t="s">
        <v>34</v>
      </c>
      <c r="O907" s="44"/>
      <c r="P907" s="48"/>
      <c r="Q907" s="8">
        <f>VLOOKUP($F907,[1]装箱单!$A:$E,5,0)</f>
        <v>16.83</v>
      </c>
      <c r="R907" s="8">
        <f>VLOOKUP($F907,[1]装箱单!$A:$F,6,0)</f>
        <v>17.15</v>
      </c>
      <c r="S907" s="8">
        <f>VLOOKUP($F907,[1]装箱单!$A:$G,7,0)</f>
        <v>20</v>
      </c>
      <c r="T907" s="10">
        <f>VLOOKUP($F907,[1]装箱单!$A:$J,10,0)</f>
        <v>0.00577269</v>
      </c>
      <c r="U907" s="11">
        <f>+T907*L907</f>
        <v>3.463614</v>
      </c>
    </row>
    <row r="908" ht="29.1" customHeight="1" spans="1:21">
      <c r="A908" s="40">
        <v>46178</v>
      </c>
      <c r="B908" s="52" t="s">
        <v>922</v>
      </c>
      <c r="C908" s="42" t="s">
        <v>1251</v>
      </c>
      <c r="D908" s="43" t="s">
        <v>1252</v>
      </c>
      <c r="E908" s="44">
        <v>984878580</v>
      </c>
      <c r="F908" s="44">
        <v>46857</v>
      </c>
      <c r="G908" s="44" t="str">
        <f>VLOOKUP(F908,[1]装箱单!$A:$C,3,0)</f>
        <v>33477外星史迪仔</v>
      </c>
      <c r="H908" s="49" t="s">
        <v>1253</v>
      </c>
      <c r="I908" s="45">
        <v>550</v>
      </c>
      <c r="J908" s="45" t="s">
        <v>32</v>
      </c>
      <c r="K908" s="45" t="s">
        <v>33</v>
      </c>
      <c r="L908" s="50">
        <v>67</v>
      </c>
      <c r="M908" s="43"/>
      <c r="N908" s="46" t="s">
        <v>34</v>
      </c>
      <c r="O908" s="49">
        <v>4650</v>
      </c>
      <c r="P908" s="48"/>
    </row>
    <row r="909" ht="29.1" customHeight="1" spans="1:21">
      <c r="A909" s="40">
        <v>46178</v>
      </c>
      <c r="B909" s="52" t="s">
        <v>922</v>
      </c>
      <c r="C909" s="42" t="s">
        <v>1254</v>
      </c>
      <c r="D909" s="43" t="s">
        <v>1255</v>
      </c>
      <c r="E909" s="44">
        <v>984878461</v>
      </c>
      <c r="F909" s="44">
        <v>46857</v>
      </c>
      <c r="G909" s="44" t="str">
        <f>VLOOKUP(F909,[1]装箱单!$A:$C,3,0)</f>
        <v>33477外星史迪仔</v>
      </c>
      <c r="H909" s="53"/>
      <c r="I909" s="45">
        <v>770</v>
      </c>
      <c r="J909" s="45" t="s">
        <v>32</v>
      </c>
      <c r="K909" s="45" t="s">
        <v>33</v>
      </c>
      <c r="L909" s="54"/>
      <c r="M909" s="43"/>
      <c r="N909" s="46" t="s">
        <v>34</v>
      </c>
      <c r="O909" s="53"/>
      <c r="P909" s="48"/>
    </row>
    <row r="910" ht="29.1" customHeight="1" spans="1:21">
      <c r="A910" s="40">
        <v>46178</v>
      </c>
      <c r="B910" s="52" t="s">
        <v>922</v>
      </c>
      <c r="C910" s="42" t="s">
        <v>1256</v>
      </c>
      <c r="D910" s="43" t="s">
        <v>1257</v>
      </c>
      <c r="E910" s="44">
        <v>984878548</v>
      </c>
      <c r="F910" s="44">
        <v>46857</v>
      </c>
      <c r="G910" s="44" t="str">
        <f>VLOOKUP(F910,[1]装箱单!$A:$C,3,0)</f>
        <v>33477外星史迪仔</v>
      </c>
      <c r="H910" s="53"/>
      <c r="I910" s="45">
        <v>550</v>
      </c>
      <c r="J910" s="45" t="s">
        <v>32</v>
      </c>
      <c r="K910" s="45" t="s">
        <v>33</v>
      </c>
      <c r="L910" s="54"/>
      <c r="M910" s="43"/>
      <c r="N910" s="46" t="s">
        <v>34</v>
      </c>
      <c r="O910" s="53"/>
      <c r="P910" s="48"/>
    </row>
    <row r="911" ht="29.1" customHeight="1" spans="1:21">
      <c r="A911" s="40">
        <v>46178</v>
      </c>
      <c r="B911" s="52" t="s">
        <v>922</v>
      </c>
      <c r="C911" s="42" t="s">
        <v>1085</v>
      </c>
      <c r="D911" s="43" t="s">
        <v>1086</v>
      </c>
      <c r="E911" s="44">
        <v>984878611</v>
      </c>
      <c r="F911" s="44">
        <v>46857</v>
      </c>
      <c r="G911" s="44" t="str">
        <f>VLOOKUP(F911,[1]装箱单!$A:$C,3,0)</f>
        <v>33477外星史迪仔</v>
      </c>
      <c r="H911" s="53"/>
      <c r="I911" s="45">
        <f>550-26</f>
        <v>524</v>
      </c>
      <c r="J911" s="45" t="s">
        <v>32</v>
      </c>
      <c r="K911" s="45" t="s">
        <v>33</v>
      </c>
      <c r="L911" s="54"/>
      <c r="M911" s="43">
        <v>1</v>
      </c>
      <c r="N911" s="46" t="s">
        <v>34</v>
      </c>
      <c r="O911" s="53"/>
      <c r="P911" s="48"/>
    </row>
    <row r="912" ht="29.1" customHeight="1" spans="1:21">
      <c r="A912" s="40">
        <v>46178</v>
      </c>
      <c r="B912" s="52" t="s">
        <v>922</v>
      </c>
      <c r="C912" s="42" t="s">
        <v>1258</v>
      </c>
      <c r="D912" s="43" t="s">
        <v>1259</v>
      </c>
      <c r="E912" s="42" t="s">
        <v>1260</v>
      </c>
      <c r="F912" s="44">
        <v>46886</v>
      </c>
      <c r="G912" s="44" t="str">
        <f>VLOOKUP(F912,[1]装箱单!$A:$C,3,0)</f>
        <v>33477外星史迪仔</v>
      </c>
      <c r="H912" s="53"/>
      <c r="I912" s="45">
        <v>1000</v>
      </c>
      <c r="J912" s="45" t="s">
        <v>32</v>
      </c>
      <c r="K912" s="45" t="s">
        <v>33</v>
      </c>
      <c r="L912" s="54"/>
      <c r="M912" s="43"/>
      <c r="N912" s="46" t="s">
        <v>34</v>
      </c>
      <c r="O912" s="53"/>
      <c r="P912" s="48"/>
    </row>
    <row r="913" ht="29.1" customHeight="1" spans="1:16">
      <c r="A913" s="40">
        <v>46178</v>
      </c>
      <c r="B913" s="52" t="s">
        <v>922</v>
      </c>
      <c r="C913" s="42" t="s">
        <v>1261</v>
      </c>
      <c r="D913" s="43" t="s">
        <v>1262</v>
      </c>
      <c r="E913" s="42" t="s">
        <v>1263</v>
      </c>
      <c r="F913" s="44">
        <v>46886</v>
      </c>
      <c r="G913" s="44" t="str">
        <f>VLOOKUP(F913,[1]装箱单!$A:$C,3,0)</f>
        <v>33477外星史迪仔</v>
      </c>
      <c r="H913" s="53"/>
      <c r="I913" s="45">
        <v>300</v>
      </c>
      <c r="J913" s="45" t="s">
        <v>32</v>
      </c>
      <c r="K913" s="45" t="s">
        <v>33</v>
      </c>
      <c r="L913" s="54"/>
      <c r="M913" s="43"/>
      <c r="N913" s="46" t="s">
        <v>34</v>
      </c>
      <c r="O913" s="53"/>
      <c r="P913" s="48"/>
    </row>
    <row r="914" ht="29.1" customHeight="1" spans="1:16">
      <c r="A914" s="40">
        <v>46178</v>
      </c>
      <c r="B914" s="52" t="s">
        <v>922</v>
      </c>
      <c r="C914" s="42" t="s">
        <v>1264</v>
      </c>
      <c r="D914" s="43" t="s">
        <v>1265</v>
      </c>
      <c r="E914" s="44">
        <v>2000009967</v>
      </c>
      <c r="F914" s="44">
        <v>46886</v>
      </c>
      <c r="G914" s="44" t="str">
        <f>VLOOKUP(F914,[1]装箱单!$A:$C,3,0)</f>
        <v>33477外星史迪仔</v>
      </c>
      <c r="H914" s="55"/>
      <c r="I914" s="45">
        <f>1136-180</f>
        <v>956</v>
      </c>
      <c r="J914" s="45" t="s">
        <v>32</v>
      </c>
      <c r="K914" s="45" t="s">
        <v>33</v>
      </c>
      <c r="L914" s="56"/>
      <c r="M914" s="43"/>
      <c r="N914" s="46" t="s">
        <v>34</v>
      </c>
      <c r="O914" s="55"/>
      <c r="P914" s="48"/>
    </row>
    <row r="915" ht="29.1" customHeight="1" spans="1:16">
      <c r="A915" s="40">
        <v>46178</v>
      </c>
      <c r="B915" s="52" t="s">
        <v>922</v>
      </c>
      <c r="C915" s="42" t="s">
        <v>1251</v>
      </c>
      <c r="D915" s="43" t="s">
        <v>1252</v>
      </c>
      <c r="E915" s="44">
        <v>984878580</v>
      </c>
      <c r="F915" s="44">
        <v>46897</v>
      </c>
      <c r="G915" s="44" t="str">
        <f>VLOOKUP(F915,[1]装箱单!$A:$C,3,0)</f>
        <v>33476天使</v>
      </c>
      <c r="H915" s="49" t="s">
        <v>1266</v>
      </c>
      <c r="I915" s="45">
        <v>300</v>
      </c>
      <c r="J915" s="45" t="s">
        <v>32</v>
      </c>
      <c r="K915" s="45" t="s">
        <v>33</v>
      </c>
      <c r="L915" s="50">
        <v>37</v>
      </c>
      <c r="M915" s="43"/>
      <c r="N915" s="46" t="s">
        <v>34</v>
      </c>
      <c r="O915" s="49">
        <v>2900</v>
      </c>
      <c r="P915" s="48"/>
    </row>
    <row r="916" ht="29.1" customHeight="1" spans="1:16">
      <c r="A916" s="40">
        <v>46178</v>
      </c>
      <c r="B916" s="52" t="s">
        <v>922</v>
      </c>
      <c r="C916" s="42" t="s">
        <v>1254</v>
      </c>
      <c r="D916" s="43" t="s">
        <v>1255</v>
      </c>
      <c r="E916" s="44">
        <v>984878461</v>
      </c>
      <c r="F916" s="44">
        <v>46897</v>
      </c>
      <c r="G916" s="44" t="str">
        <f>VLOOKUP(F916,[1]装箱单!$A:$C,3,0)</f>
        <v>33476天使</v>
      </c>
      <c r="H916" s="53"/>
      <c r="I916" s="45">
        <v>400</v>
      </c>
      <c r="J916" s="45" t="s">
        <v>32</v>
      </c>
      <c r="K916" s="45" t="s">
        <v>33</v>
      </c>
      <c r="L916" s="54"/>
      <c r="M916" s="43"/>
      <c r="N916" s="46" t="s">
        <v>34</v>
      </c>
      <c r="O916" s="53"/>
      <c r="P916" s="48"/>
    </row>
    <row r="917" ht="29.1" customHeight="1" spans="1:16">
      <c r="A917" s="40">
        <v>46178</v>
      </c>
      <c r="B917" s="52" t="s">
        <v>922</v>
      </c>
      <c r="C917" s="42" t="s">
        <v>1256</v>
      </c>
      <c r="D917" s="43" t="s">
        <v>1257</v>
      </c>
      <c r="E917" s="44">
        <v>984878548</v>
      </c>
      <c r="F917" s="44">
        <v>46897</v>
      </c>
      <c r="G917" s="44" t="str">
        <f>VLOOKUP(F917,[1]装箱单!$A:$C,3,0)</f>
        <v>33476天使</v>
      </c>
      <c r="H917" s="53"/>
      <c r="I917" s="45">
        <v>300</v>
      </c>
      <c r="J917" s="45" t="s">
        <v>32</v>
      </c>
      <c r="K917" s="45" t="s">
        <v>33</v>
      </c>
      <c r="L917" s="54"/>
      <c r="M917" s="43"/>
      <c r="N917" s="46" t="s">
        <v>34</v>
      </c>
      <c r="O917" s="53"/>
      <c r="P917" s="48"/>
    </row>
    <row r="918" ht="29.1" customHeight="1" spans="1:16">
      <c r="A918" s="40">
        <v>46178</v>
      </c>
      <c r="B918" s="52" t="s">
        <v>922</v>
      </c>
      <c r="C918" s="42" t="s">
        <v>1082</v>
      </c>
      <c r="D918" s="43" t="s">
        <v>1083</v>
      </c>
      <c r="E918" s="44">
        <v>984878589</v>
      </c>
      <c r="F918" s="44">
        <v>46897</v>
      </c>
      <c r="G918" s="44" t="str">
        <f>VLOOKUP(F918,[1]装箱单!$A:$C,3,0)</f>
        <v>33476天使</v>
      </c>
      <c r="H918" s="53"/>
      <c r="I918" s="45">
        <v>300</v>
      </c>
      <c r="J918" s="45" t="s">
        <v>32</v>
      </c>
      <c r="K918" s="45" t="s">
        <v>33</v>
      </c>
      <c r="L918" s="54"/>
      <c r="M918" s="43"/>
      <c r="N918" s="46" t="s">
        <v>34</v>
      </c>
      <c r="O918" s="53"/>
      <c r="P918" s="48"/>
    </row>
    <row r="919" ht="29.1" customHeight="1" spans="1:16">
      <c r="A919" s="40">
        <v>46178</v>
      </c>
      <c r="B919" s="52" t="s">
        <v>922</v>
      </c>
      <c r="C919" s="42" t="s">
        <v>1085</v>
      </c>
      <c r="D919" s="43" t="s">
        <v>1086</v>
      </c>
      <c r="E919" s="44">
        <v>984878611</v>
      </c>
      <c r="F919" s="44">
        <v>46897</v>
      </c>
      <c r="G919" s="44" t="str">
        <f>VLOOKUP(F919,[1]装箱单!$A:$C,3,0)</f>
        <v>33476天使</v>
      </c>
      <c r="H919" s="53"/>
      <c r="I919" s="45">
        <v>300</v>
      </c>
      <c r="J919" s="45" t="s">
        <v>32</v>
      </c>
      <c r="K919" s="45" t="s">
        <v>33</v>
      </c>
      <c r="L919" s="54"/>
      <c r="M919" s="43"/>
      <c r="N919" s="46" t="s">
        <v>34</v>
      </c>
      <c r="O919" s="53"/>
      <c r="P919" s="48"/>
    </row>
    <row r="920" ht="29.1" customHeight="1" spans="1:16">
      <c r="A920" s="40">
        <v>46178</v>
      </c>
      <c r="B920" s="52" t="s">
        <v>922</v>
      </c>
      <c r="C920" s="42" t="s">
        <v>1076</v>
      </c>
      <c r="D920" s="43" t="s">
        <v>1077</v>
      </c>
      <c r="E920" s="44">
        <v>984878332</v>
      </c>
      <c r="F920" s="44">
        <v>46897</v>
      </c>
      <c r="G920" s="44" t="str">
        <f>VLOOKUP(F920,[1]装箱单!$A:$C,3,0)</f>
        <v>33476天使</v>
      </c>
      <c r="H920" s="53"/>
      <c r="I920" s="45">
        <v>200</v>
      </c>
      <c r="J920" s="45" t="s">
        <v>32</v>
      </c>
      <c r="K920" s="45" t="s">
        <v>33</v>
      </c>
      <c r="L920" s="54"/>
      <c r="M920" s="43"/>
      <c r="N920" s="46" t="s">
        <v>34</v>
      </c>
      <c r="O920" s="53"/>
      <c r="P920" s="48"/>
    </row>
    <row r="921" ht="29.1" customHeight="1" spans="1:16">
      <c r="A921" s="40">
        <v>46178</v>
      </c>
      <c r="B921" s="52" t="s">
        <v>922</v>
      </c>
      <c r="C921" s="42" t="s">
        <v>1079</v>
      </c>
      <c r="D921" s="43" t="s">
        <v>1080</v>
      </c>
      <c r="E921" s="44">
        <v>984878334</v>
      </c>
      <c r="F921" s="44">
        <v>46897</v>
      </c>
      <c r="G921" s="44" t="str">
        <f>VLOOKUP(F921,[1]装箱单!$A:$C,3,0)</f>
        <v>33476天使</v>
      </c>
      <c r="H921" s="53"/>
      <c r="I921" s="45">
        <v>200</v>
      </c>
      <c r="J921" s="45" t="s">
        <v>32</v>
      </c>
      <c r="K921" s="45" t="s">
        <v>33</v>
      </c>
      <c r="L921" s="54"/>
      <c r="M921" s="43"/>
      <c r="N921" s="46" t="s">
        <v>34</v>
      </c>
      <c r="O921" s="53"/>
      <c r="P921" s="48"/>
    </row>
    <row r="922" ht="29.1" customHeight="1" spans="1:16">
      <c r="A922" s="40">
        <v>46178</v>
      </c>
      <c r="B922" s="52" t="s">
        <v>922</v>
      </c>
      <c r="C922" s="42" t="s">
        <v>1258</v>
      </c>
      <c r="D922" s="43" t="s">
        <v>1259</v>
      </c>
      <c r="E922" s="44" t="s">
        <v>1260</v>
      </c>
      <c r="F922" s="44" t="s">
        <v>1267</v>
      </c>
      <c r="G922" s="44" t="str">
        <f>VLOOKUP(F922,[1]装箱单!$A:$C,3,0)</f>
        <v>33476天使</v>
      </c>
      <c r="H922" s="55"/>
      <c r="I922" s="45">
        <v>900</v>
      </c>
      <c r="J922" s="45" t="s">
        <v>32</v>
      </c>
      <c r="K922" s="45" t="s">
        <v>33</v>
      </c>
      <c r="L922" s="56"/>
      <c r="M922" s="43"/>
      <c r="N922" s="46" t="s">
        <v>34</v>
      </c>
      <c r="O922" s="55"/>
      <c r="P922" s="48"/>
    </row>
    <row r="923" ht="29.1" customHeight="1" spans="1:16">
      <c r="A923" s="40">
        <v>46178</v>
      </c>
      <c r="B923" s="52" t="s">
        <v>922</v>
      </c>
      <c r="C923" s="42" t="s">
        <v>1258</v>
      </c>
      <c r="D923" s="43" t="s">
        <v>1259</v>
      </c>
      <c r="E923" s="44" t="s">
        <v>1260</v>
      </c>
      <c r="F923" s="44" t="s">
        <v>1268</v>
      </c>
      <c r="G923" s="44" t="str">
        <f>VLOOKUP(F923,[1]装箱单!$A:$C,3,0)</f>
        <v>33416史迪仔</v>
      </c>
      <c r="H923" s="44" t="s">
        <v>1269</v>
      </c>
      <c r="I923" s="45">
        <v>900</v>
      </c>
      <c r="J923" s="45" t="s">
        <v>32</v>
      </c>
      <c r="K923" s="45" t="s">
        <v>33</v>
      </c>
      <c r="L923" s="46">
        <v>10</v>
      </c>
      <c r="M923" s="43"/>
      <c r="N923" s="46" t="s">
        <v>34</v>
      </c>
      <c r="O923" s="44">
        <v>900</v>
      </c>
      <c r="P923" s="48"/>
    </row>
    <row r="924" ht="29.1" customHeight="1" spans="1:16">
      <c r="A924" s="40">
        <v>46178</v>
      </c>
      <c r="B924" s="52" t="s">
        <v>922</v>
      </c>
      <c r="C924" s="42" t="s">
        <v>1270</v>
      </c>
      <c r="D924" s="43" t="s">
        <v>1271</v>
      </c>
      <c r="E924" s="44">
        <v>117403871</v>
      </c>
      <c r="F924" s="44">
        <v>46862</v>
      </c>
      <c r="G924" s="44" t="str">
        <f>VLOOKUP(F924,[1]装箱单!$A:$C,3,0)</f>
        <v>荧光杰克</v>
      </c>
      <c r="H924" s="49" t="s">
        <v>1272</v>
      </c>
      <c r="I924" s="45">
        <v>2640</v>
      </c>
      <c r="J924" s="45" t="s">
        <v>32</v>
      </c>
      <c r="K924" s="45" t="s">
        <v>33</v>
      </c>
      <c r="L924" s="50">
        <v>96</v>
      </c>
      <c r="M924" s="43"/>
      <c r="N924" s="46" t="s">
        <v>34</v>
      </c>
      <c r="O924" s="49">
        <v>7773</v>
      </c>
      <c r="P924" s="48"/>
    </row>
    <row r="925" ht="29.1" customHeight="1" spans="1:16">
      <c r="A925" s="40">
        <v>46178</v>
      </c>
      <c r="B925" s="52" t="s">
        <v>922</v>
      </c>
      <c r="C925" s="42" t="s">
        <v>1273</v>
      </c>
      <c r="D925" s="43" t="s">
        <v>1274</v>
      </c>
      <c r="E925" s="44">
        <v>117405873</v>
      </c>
      <c r="F925" s="44">
        <v>46862</v>
      </c>
      <c r="G925" s="44" t="str">
        <f>VLOOKUP(F925,[1]装箱单!$A:$C,3,0)</f>
        <v>荧光杰克</v>
      </c>
      <c r="H925" s="53"/>
      <c r="I925" s="45">
        <v>2640</v>
      </c>
      <c r="J925" s="45" t="s">
        <v>32</v>
      </c>
      <c r="K925" s="45" t="s">
        <v>33</v>
      </c>
      <c r="L925" s="54"/>
      <c r="M925" s="43"/>
      <c r="N925" s="46" t="s">
        <v>34</v>
      </c>
      <c r="O925" s="53"/>
      <c r="P925" s="48"/>
    </row>
    <row r="926" ht="29.1" customHeight="1" spans="1:16">
      <c r="A926" s="40">
        <v>46178</v>
      </c>
      <c r="B926" s="52" t="s">
        <v>922</v>
      </c>
      <c r="C926" s="42" t="s">
        <v>1275</v>
      </c>
      <c r="D926" s="43" t="s">
        <v>1276</v>
      </c>
      <c r="E926" s="44" t="s">
        <v>945</v>
      </c>
      <c r="F926" s="44">
        <v>46862</v>
      </c>
      <c r="G926" s="44" t="str">
        <f>VLOOKUP(F926,[1]装箱单!$A:$C,3,0)</f>
        <v>荧光杰克</v>
      </c>
      <c r="H926" s="53"/>
      <c r="I926" s="45">
        <v>840</v>
      </c>
      <c r="J926" s="45" t="s">
        <v>32</v>
      </c>
      <c r="K926" s="45" t="s">
        <v>33</v>
      </c>
      <c r="L926" s="54"/>
      <c r="M926" s="43">
        <v>1</v>
      </c>
      <c r="N926" s="46" t="s">
        <v>34</v>
      </c>
      <c r="O926" s="53"/>
      <c r="P926" s="48"/>
    </row>
    <row r="927" ht="29.1" customHeight="1" spans="1:16">
      <c r="A927" s="40">
        <v>46178</v>
      </c>
      <c r="B927" s="52" t="s">
        <v>922</v>
      </c>
      <c r="C927" s="42" t="s">
        <v>1277</v>
      </c>
      <c r="D927" s="43" t="s">
        <v>1278</v>
      </c>
      <c r="E927" s="44">
        <v>7000995354</v>
      </c>
      <c r="F927" s="44">
        <v>46862</v>
      </c>
      <c r="G927" s="44" t="str">
        <f>VLOOKUP(F927,[1]装箱单!$A:$C,3,0)</f>
        <v>荧光杰克</v>
      </c>
      <c r="H927" s="53"/>
      <c r="I927" s="45">
        <v>500</v>
      </c>
      <c r="J927" s="45" t="s">
        <v>32</v>
      </c>
      <c r="K927" s="45" t="s">
        <v>33</v>
      </c>
      <c r="L927" s="54"/>
      <c r="M927" s="43"/>
      <c r="N927" s="46" t="s">
        <v>34</v>
      </c>
      <c r="O927" s="53"/>
      <c r="P927" s="48"/>
    </row>
    <row r="928" ht="29.1" customHeight="1" spans="1:16">
      <c r="A928" s="40">
        <v>46178</v>
      </c>
      <c r="B928" s="52" t="s">
        <v>922</v>
      </c>
      <c r="C928" s="42" t="s">
        <v>1279</v>
      </c>
      <c r="D928" s="43" t="s">
        <v>1280</v>
      </c>
      <c r="E928" s="44">
        <v>7000995356</v>
      </c>
      <c r="F928" s="44">
        <v>46862</v>
      </c>
      <c r="G928" s="44" t="str">
        <f>VLOOKUP(F928,[1]装箱单!$A:$C,3,0)</f>
        <v>荧光杰克</v>
      </c>
      <c r="H928" s="53"/>
      <c r="I928" s="45">
        <v>500</v>
      </c>
      <c r="J928" s="45" t="s">
        <v>32</v>
      </c>
      <c r="K928" s="45" t="s">
        <v>33</v>
      </c>
      <c r="L928" s="54"/>
      <c r="M928" s="43"/>
      <c r="N928" s="46" t="s">
        <v>34</v>
      </c>
      <c r="O928" s="53"/>
      <c r="P928" s="48"/>
    </row>
    <row r="929" ht="29.1" customHeight="1" spans="1:21">
      <c r="A929" s="40">
        <v>46178</v>
      </c>
      <c r="B929" s="52" t="s">
        <v>922</v>
      </c>
      <c r="C929" s="42" t="s">
        <v>1281</v>
      </c>
      <c r="D929" s="43" t="s">
        <v>1282</v>
      </c>
      <c r="E929" s="44">
        <v>7000995357</v>
      </c>
      <c r="F929" s="44">
        <v>46862</v>
      </c>
      <c r="G929" s="44" t="str">
        <f>VLOOKUP(F929,[1]装箱单!$A:$C,3,0)</f>
        <v>荧光杰克</v>
      </c>
      <c r="H929" s="55"/>
      <c r="I929" s="45">
        <v>653</v>
      </c>
      <c r="J929" s="45" t="s">
        <v>32</v>
      </c>
      <c r="K929" s="45" t="s">
        <v>33</v>
      </c>
      <c r="L929" s="56"/>
      <c r="M929" s="43"/>
      <c r="N929" s="46" t="s">
        <v>34</v>
      </c>
      <c r="O929" s="55"/>
      <c r="P929" s="48"/>
    </row>
    <row r="930" ht="29.1" customHeight="1" spans="1:21">
      <c r="A930" s="40">
        <v>46178</v>
      </c>
      <c r="B930" s="41" t="s">
        <v>1247</v>
      </c>
      <c r="C930" s="42" t="s">
        <v>1248</v>
      </c>
      <c r="D930" s="43" t="s">
        <v>1249</v>
      </c>
      <c r="E930" s="44" t="s">
        <v>1250</v>
      </c>
      <c r="F930" s="44">
        <v>28481</v>
      </c>
      <c r="G930" s="44" t="str">
        <f>VLOOKUP(F930,[1]装箱单!$A:$C,3,0)</f>
        <v>骰子</v>
      </c>
      <c r="H930" s="44">
        <f>+I930/4</f>
        <v>150</v>
      </c>
      <c r="I930" s="45">
        <f>+L930*4</f>
        <v>600</v>
      </c>
      <c r="J930" s="45" t="s">
        <v>47</v>
      </c>
      <c r="K930" s="45" t="s">
        <v>33</v>
      </c>
      <c r="L930" s="46">
        <v>150</v>
      </c>
      <c r="M930" s="43">
        <f t="shared" ref="M930:M951" si="90">+U930</f>
        <v>1.5119652387</v>
      </c>
      <c r="N930" s="46" t="s">
        <v>34</v>
      </c>
      <c r="O930" s="44"/>
      <c r="P930" s="48"/>
      <c r="Q930" s="8">
        <f>VLOOKUP($F930,[1]装箱单!$A:$E,5,0)</f>
        <v>23.81</v>
      </c>
      <c r="R930" s="8">
        <f>VLOOKUP($F930,[1]装箱单!$A:$F,6,0)</f>
        <v>17.78</v>
      </c>
      <c r="S930" s="8">
        <f>VLOOKUP($F930,[1]装箱单!$A:$G,7,0)</f>
        <v>23.81</v>
      </c>
      <c r="T930" s="10">
        <f>VLOOKUP($F930,[1]装箱单!$A:$J,10,0)</f>
        <v>0.010079768258</v>
      </c>
      <c r="U930" s="11">
        <f t="shared" ref="U930:U951" si="91">+T930*L930</f>
        <v>1.5119652387</v>
      </c>
    </row>
    <row r="931" ht="29.1" customHeight="1" spans="1:21">
      <c r="A931" s="40">
        <v>46178</v>
      </c>
      <c r="B931" s="41" t="s">
        <v>1283</v>
      </c>
      <c r="C931" s="42" t="s">
        <v>1284</v>
      </c>
      <c r="D931" s="43" t="s">
        <v>1285</v>
      </c>
      <c r="E931" s="44" t="s">
        <v>1286</v>
      </c>
      <c r="F931" s="44" t="s">
        <v>51</v>
      </c>
      <c r="G931" s="44" t="str">
        <f>VLOOKUP(F931,[1]装箱单!$A:$C,3,0)</f>
        <v>鸭子</v>
      </c>
      <c r="H931" s="44">
        <v>288</v>
      </c>
      <c r="I931" s="45">
        <v>13824</v>
      </c>
      <c r="J931" s="45" t="s">
        <v>32</v>
      </c>
      <c r="K931" s="45" t="s">
        <v>33</v>
      </c>
      <c r="L931" s="46">
        <v>288</v>
      </c>
      <c r="M931" s="43">
        <f t="shared" si="90"/>
        <v>11.771473824</v>
      </c>
      <c r="N931" s="46" t="s">
        <v>34</v>
      </c>
      <c r="O931" s="44"/>
      <c r="P931" s="48"/>
      <c r="Q931" s="8">
        <f>VLOOKUP($F931,[1]装箱单!$A:$E,5,0)</f>
        <v>37.15</v>
      </c>
      <c r="R931" s="8">
        <f>VLOOKUP($F931,[1]装箱单!$A:$F,6,0)</f>
        <v>33</v>
      </c>
      <c r="S931" s="8">
        <f>VLOOKUP($F931,[1]装箱单!$A:$G,7,0)</f>
        <v>33.34</v>
      </c>
      <c r="T931" s="10">
        <f>VLOOKUP($F931,[1]装箱单!$A:$J,10,0)</f>
        <v>0.040873173</v>
      </c>
      <c r="U931" s="11">
        <f t="shared" si="91"/>
        <v>11.771473824</v>
      </c>
    </row>
    <row r="932" ht="29.1" customHeight="1" spans="1:21">
      <c r="A932" s="40">
        <v>46178</v>
      </c>
      <c r="B932" s="41" t="s">
        <v>1283</v>
      </c>
      <c r="C932" s="42" t="s">
        <v>1287</v>
      </c>
      <c r="D932" s="43" t="s">
        <v>1288</v>
      </c>
      <c r="E932" s="44" t="s">
        <v>1289</v>
      </c>
      <c r="F932" s="44" t="s">
        <v>51</v>
      </c>
      <c r="G932" s="44" t="str">
        <f>VLOOKUP(F932,[1]装箱单!$A:$C,3,0)</f>
        <v>鸭子</v>
      </c>
      <c r="H932" s="44">
        <v>312</v>
      </c>
      <c r="I932" s="45">
        <v>14976</v>
      </c>
      <c r="J932" s="45" t="s">
        <v>32</v>
      </c>
      <c r="K932" s="45" t="s">
        <v>33</v>
      </c>
      <c r="L932" s="46">
        <v>312</v>
      </c>
      <c r="M932" s="43">
        <f t="shared" si="90"/>
        <v>12.752429976</v>
      </c>
      <c r="N932" s="46" t="s">
        <v>34</v>
      </c>
      <c r="O932" s="44"/>
      <c r="P932" s="48"/>
      <c r="Q932" s="8">
        <f>VLOOKUP($F932,[1]装箱单!$A:$E,5,0)</f>
        <v>37.15</v>
      </c>
      <c r="R932" s="8">
        <f>VLOOKUP($F932,[1]装箱单!$A:$F,6,0)</f>
        <v>33</v>
      </c>
      <c r="S932" s="8">
        <f>VLOOKUP($F932,[1]装箱单!$A:$G,7,0)</f>
        <v>33.34</v>
      </c>
      <c r="T932" s="10">
        <f>VLOOKUP($F932,[1]装箱单!$A:$J,10,0)</f>
        <v>0.040873173</v>
      </c>
      <c r="U932" s="11">
        <f t="shared" si="91"/>
        <v>12.752429976</v>
      </c>
    </row>
    <row r="933" ht="29.1" customHeight="1" spans="1:21">
      <c r="A933" s="40">
        <v>46178</v>
      </c>
      <c r="B933" s="41" t="s">
        <v>1290</v>
      </c>
      <c r="C933" s="42" t="s">
        <v>1291</v>
      </c>
      <c r="D933" s="43" t="s">
        <v>1292</v>
      </c>
      <c r="E933" s="44">
        <v>875099</v>
      </c>
      <c r="F933" s="44">
        <v>46134</v>
      </c>
      <c r="G933" s="44" t="str">
        <f>VLOOKUP(F933,[1]装箱单!$A:$C,3,0)</f>
        <v>海洋奇缘系列</v>
      </c>
      <c r="H933" s="44">
        <f>+I933/2</f>
        <v>473</v>
      </c>
      <c r="I933" s="45">
        <f>+L933*2</f>
        <v>946</v>
      </c>
      <c r="J933" s="45" t="s">
        <v>47</v>
      </c>
      <c r="K933" s="45" t="s">
        <v>33</v>
      </c>
      <c r="L933" s="46">
        <v>473</v>
      </c>
      <c r="M933" s="43">
        <f t="shared" si="90"/>
        <v>10.578984629136</v>
      </c>
      <c r="N933" s="46" t="s">
        <v>34</v>
      </c>
      <c r="O933" s="44"/>
      <c r="P933" s="48"/>
      <c r="Q933" s="8">
        <f>VLOOKUP($F933,[1]装箱单!$A:$E,5,0)</f>
        <v>40.01</v>
      </c>
      <c r="R933" s="8">
        <f>VLOOKUP($F933,[1]装箱单!$A:$F,6,0)</f>
        <v>26.67</v>
      </c>
      <c r="S933" s="8">
        <f>VLOOKUP($F933,[1]装箱单!$A:$G,7,0)</f>
        <v>20.96</v>
      </c>
      <c r="T933" s="10">
        <f>VLOOKUP($F933,[1]装箱单!$A:$J,10,0)</f>
        <v>0.022365718032</v>
      </c>
      <c r="U933" s="11">
        <f t="shared" si="91"/>
        <v>10.578984629136</v>
      </c>
    </row>
    <row r="934" ht="29.1" customHeight="1" spans="1:21">
      <c r="A934" s="40">
        <v>46178</v>
      </c>
      <c r="B934" s="41" t="s">
        <v>1290</v>
      </c>
      <c r="C934" s="42" t="s">
        <v>1293</v>
      </c>
      <c r="D934" s="43" t="s">
        <v>1294</v>
      </c>
      <c r="E934" s="44">
        <v>875100</v>
      </c>
      <c r="F934" s="44">
        <v>46134</v>
      </c>
      <c r="G934" s="44" t="str">
        <f>VLOOKUP(F934,[1]装箱单!$A:$C,3,0)</f>
        <v>海洋奇缘系列</v>
      </c>
      <c r="H934" s="44">
        <f>+I934/2</f>
        <v>533</v>
      </c>
      <c r="I934" s="45">
        <f>+L934*2</f>
        <v>1066</v>
      </c>
      <c r="J934" s="45" t="s">
        <v>47</v>
      </c>
      <c r="K934" s="45" t="s">
        <v>33</v>
      </c>
      <c r="L934" s="46">
        <v>533</v>
      </c>
      <c r="M934" s="43">
        <f t="shared" si="90"/>
        <v>11.920927711056</v>
      </c>
      <c r="N934" s="46" t="s">
        <v>34</v>
      </c>
      <c r="O934" s="44"/>
      <c r="P934" s="48"/>
      <c r="Q934" s="8">
        <f>VLOOKUP($F934,[1]装箱单!$A:$E,5,0)</f>
        <v>40.01</v>
      </c>
      <c r="R934" s="8">
        <f>VLOOKUP($F934,[1]装箱单!$A:$F,6,0)</f>
        <v>26.67</v>
      </c>
      <c r="S934" s="8">
        <f>VLOOKUP($F934,[1]装箱单!$A:$G,7,0)</f>
        <v>20.96</v>
      </c>
      <c r="T934" s="10">
        <f>VLOOKUP($F934,[1]装箱单!$A:$J,10,0)</f>
        <v>0.022365718032</v>
      </c>
      <c r="U934" s="11">
        <f t="shared" si="91"/>
        <v>11.920927711056</v>
      </c>
    </row>
    <row r="935" ht="29.1" customHeight="1" spans="1:21">
      <c r="A935" s="40">
        <v>46178</v>
      </c>
      <c r="B935" s="41" t="s">
        <v>1290</v>
      </c>
      <c r="C935" s="42" t="s">
        <v>1295</v>
      </c>
      <c r="D935" s="43" t="s">
        <v>1296</v>
      </c>
      <c r="E935" s="44">
        <v>875102</v>
      </c>
      <c r="F935" s="44">
        <v>46134</v>
      </c>
      <c r="G935" s="44" t="str">
        <f>VLOOKUP(F935,[1]装箱单!$A:$C,3,0)</f>
        <v>海洋奇缘系列</v>
      </c>
      <c r="H935" s="44">
        <f>+I935/2</f>
        <v>495</v>
      </c>
      <c r="I935" s="45">
        <f>+L935*2</f>
        <v>990</v>
      </c>
      <c r="J935" s="45" t="s">
        <v>47</v>
      </c>
      <c r="K935" s="45" t="s">
        <v>33</v>
      </c>
      <c r="L935" s="46">
        <v>495</v>
      </c>
      <c r="M935" s="43">
        <f t="shared" si="90"/>
        <v>11.07103042584</v>
      </c>
      <c r="N935" s="46" t="s">
        <v>34</v>
      </c>
      <c r="O935" s="44"/>
      <c r="P935" s="48"/>
      <c r="Q935" s="8">
        <f>VLOOKUP($F935,[1]装箱单!$A:$E,5,0)</f>
        <v>40.01</v>
      </c>
      <c r="R935" s="8">
        <f>VLOOKUP($F935,[1]装箱单!$A:$F,6,0)</f>
        <v>26.67</v>
      </c>
      <c r="S935" s="8">
        <f>VLOOKUP($F935,[1]装箱单!$A:$G,7,0)</f>
        <v>20.96</v>
      </c>
      <c r="T935" s="10">
        <f>VLOOKUP($F935,[1]装箱单!$A:$J,10,0)</f>
        <v>0.022365718032</v>
      </c>
      <c r="U935" s="11">
        <f t="shared" si="91"/>
        <v>11.07103042584</v>
      </c>
    </row>
    <row r="936" ht="29.1" customHeight="1" spans="1:21">
      <c r="A936" s="40">
        <v>46178</v>
      </c>
      <c r="B936" s="41" t="s">
        <v>1297</v>
      </c>
      <c r="C936" s="42" t="s">
        <v>1298</v>
      </c>
      <c r="D936" s="43" t="s">
        <v>1299</v>
      </c>
      <c r="E936" s="44">
        <v>7001315192</v>
      </c>
      <c r="F936" s="44" t="s">
        <v>122</v>
      </c>
      <c r="G936" s="44" t="str">
        <f>VLOOKUP(F936,[1]装箱单!$A:$C,3,0)</f>
        <v>搪胶小鸭</v>
      </c>
      <c r="H936" s="44">
        <v>28</v>
      </c>
      <c r="I936" s="45">
        <f>+L936*36</f>
        <v>1008</v>
      </c>
      <c r="J936" s="45" t="s">
        <v>32</v>
      </c>
      <c r="K936" s="45" t="s">
        <v>33</v>
      </c>
      <c r="L936" s="46">
        <v>28</v>
      </c>
      <c r="M936" s="43">
        <f t="shared" si="90"/>
        <v>0.3325670768</v>
      </c>
      <c r="N936" s="46" t="s">
        <v>57</v>
      </c>
      <c r="O936" s="44">
        <v>33423</v>
      </c>
      <c r="P936" s="48"/>
      <c r="Q936" s="8">
        <f>VLOOKUP($F936,[1]装箱单!$A:$E,5,0)</f>
        <v>31.75</v>
      </c>
      <c r="R936" s="8">
        <f>VLOOKUP($F936,[1]装箱单!$A:$F,6,0)</f>
        <v>18.41</v>
      </c>
      <c r="S936" s="8">
        <f>VLOOKUP($F936,[1]装箱单!$A:$G,7,0)</f>
        <v>20.32</v>
      </c>
      <c r="T936" s="10">
        <f>VLOOKUP($F936,[1]装箱单!$A:$J,10,0)</f>
        <v>0.0118773956</v>
      </c>
      <c r="U936" s="11">
        <f t="shared" si="91"/>
        <v>0.3325670768</v>
      </c>
    </row>
    <row r="937" ht="29.1" customHeight="1" spans="1:21">
      <c r="A937" s="40">
        <v>46178</v>
      </c>
      <c r="B937" s="41" t="s">
        <v>1297</v>
      </c>
      <c r="C937" s="42" t="s">
        <v>1298</v>
      </c>
      <c r="D937" s="43" t="s">
        <v>1299</v>
      </c>
      <c r="E937" s="44" t="s">
        <v>1300</v>
      </c>
      <c r="F937" s="44" t="s">
        <v>122</v>
      </c>
      <c r="G937" s="44" t="str">
        <f>VLOOKUP(F937,[1]装箱单!$A:$C,3,0)</f>
        <v>搪胶小鸭</v>
      </c>
      <c r="H937" s="44">
        <v>28</v>
      </c>
      <c r="I937" s="45">
        <f>+L937*36</f>
        <v>1008</v>
      </c>
      <c r="J937" s="45" t="s">
        <v>32</v>
      </c>
      <c r="K937" s="45" t="s">
        <v>33</v>
      </c>
      <c r="L937" s="46">
        <v>28</v>
      </c>
      <c r="M937" s="43">
        <f t="shared" si="90"/>
        <v>0.3325670768</v>
      </c>
      <c r="N937" s="46" t="s">
        <v>57</v>
      </c>
      <c r="O937" s="44">
        <v>33480</v>
      </c>
      <c r="P937" s="48"/>
      <c r="Q937" s="8">
        <f>VLOOKUP($F937,[1]装箱单!$A:$E,5,0)</f>
        <v>31.75</v>
      </c>
      <c r="R937" s="8">
        <f>VLOOKUP($F937,[1]装箱单!$A:$F,6,0)</f>
        <v>18.41</v>
      </c>
      <c r="S937" s="8">
        <f>VLOOKUP($F937,[1]装箱单!$A:$G,7,0)</f>
        <v>20.32</v>
      </c>
      <c r="T937" s="10">
        <f>VLOOKUP($F937,[1]装箱单!$A:$J,10,0)</f>
        <v>0.0118773956</v>
      </c>
      <c r="U937" s="11">
        <f t="shared" si="91"/>
        <v>0.3325670768</v>
      </c>
    </row>
    <row r="938" ht="29.1" customHeight="1" spans="1:21">
      <c r="A938" s="40">
        <v>46178</v>
      </c>
      <c r="B938" s="41" t="s">
        <v>1297</v>
      </c>
      <c r="C938" s="42" t="s">
        <v>1298</v>
      </c>
      <c r="D938" s="43" t="s">
        <v>1299</v>
      </c>
      <c r="E938" s="44" t="s">
        <v>1300</v>
      </c>
      <c r="F938" s="44" t="s">
        <v>122</v>
      </c>
      <c r="G938" s="44" t="str">
        <f>VLOOKUP(F938,[1]装箱单!$A:$C,3,0)</f>
        <v>搪胶小鸭</v>
      </c>
      <c r="H938" s="44">
        <v>28</v>
      </c>
      <c r="I938" s="45">
        <f>+L938*36</f>
        <v>1008</v>
      </c>
      <c r="J938" s="45" t="s">
        <v>32</v>
      </c>
      <c r="K938" s="45" t="s">
        <v>33</v>
      </c>
      <c r="L938" s="46">
        <v>28</v>
      </c>
      <c r="M938" s="43">
        <f t="shared" si="90"/>
        <v>0.3325670768</v>
      </c>
      <c r="N938" s="46" t="s">
        <v>57</v>
      </c>
      <c r="O938" s="44">
        <v>33622</v>
      </c>
      <c r="P938" s="48"/>
      <c r="Q938" s="8">
        <f>VLOOKUP($F938,[1]装箱单!$A:$E,5,0)</f>
        <v>31.75</v>
      </c>
      <c r="R938" s="8">
        <f>VLOOKUP($F938,[1]装箱单!$A:$F,6,0)</f>
        <v>18.41</v>
      </c>
      <c r="S938" s="8">
        <f>VLOOKUP($F938,[1]装箱单!$A:$G,7,0)</f>
        <v>20.32</v>
      </c>
      <c r="T938" s="10">
        <f>VLOOKUP($F938,[1]装箱单!$A:$J,10,0)</f>
        <v>0.0118773956</v>
      </c>
      <c r="U938" s="11">
        <f t="shared" si="91"/>
        <v>0.3325670768</v>
      </c>
    </row>
    <row r="939" ht="29.1" customHeight="1" spans="1:21">
      <c r="A939" s="40">
        <v>46178</v>
      </c>
      <c r="B939" s="41" t="s">
        <v>1297</v>
      </c>
      <c r="C939" s="42" t="s">
        <v>1298</v>
      </c>
      <c r="D939" s="43" t="s">
        <v>1299</v>
      </c>
      <c r="E939" s="44" t="s">
        <v>1300</v>
      </c>
      <c r="F939" s="44" t="s">
        <v>45</v>
      </c>
      <c r="G939" s="44" t="str">
        <f>VLOOKUP(F939,[1]装箱单!$A:$C,3,0)</f>
        <v>鸭子</v>
      </c>
      <c r="H939" s="44">
        <v>56</v>
      </c>
      <c r="I939" s="45">
        <f t="shared" ref="I939:I947" si="92">+L939*18</f>
        <v>1008</v>
      </c>
      <c r="J939" s="45" t="s">
        <v>32</v>
      </c>
      <c r="K939" s="45" t="s">
        <v>33</v>
      </c>
      <c r="L939" s="46">
        <v>56</v>
      </c>
      <c r="M939" s="43">
        <f t="shared" si="90"/>
        <v>0.32440870602</v>
      </c>
      <c r="N939" s="46" t="s">
        <v>57</v>
      </c>
      <c r="O939" s="44">
        <v>33478</v>
      </c>
      <c r="P939" s="48"/>
      <c r="Q939" s="8">
        <f>VLOOKUP($F939,[1]装箱单!$A:$E,5,0)</f>
        <v>32.385</v>
      </c>
      <c r="R939" s="8">
        <f>VLOOKUP($F939,[1]装箱单!$A:$F,6,0)</f>
        <v>18.78</v>
      </c>
      <c r="S939" s="8">
        <f>VLOOKUP($F939,[1]装箱单!$A:$G,7,0)</f>
        <v>9.525</v>
      </c>
      <c r="T939" s="10">
        <f>VLOOKUP($F939,[1]装箱单!$A:$J,10,0)</f>
        <v>0.0057930126075</v>
      </c>
      <c r="U939" s="11">
        <f t="shared" si="91"/>
        <v>0.32440870602</v>
      </c>
    </row>
    <row r="940" ht="29.1" customHeight="1" spans="1:21">
      <c r="A940" s="40">
        <v>46178</v>
      </c>
      <c r="B940" s="41" t="s">
        <v>1297</v>
      </c>
      <c r="C940" s="42" t="s">
        <v>1298</v>
      </c>
      <c r="D940" s="43" t="s">
        <v>1299</v>
      </c>
      <c r="E940" s="44" t="s">
        <v>1300</v>
      </c>
      <c r="F940" s="44" t="s">
        <v>45</v>
      </c>
      <c r="G940" s="44" t="str">
        <f>VLOOKUP(F940,[1]装箱单!$A:$C,3,0)</f>
        <v>鸭子</v>
      </c>
      <c r="H940" s="44">
        <v>56</v>
      </c>
      <c r="I940" s="45">
        <f t="shared" si="92"/>
        <v>1008</v>
      </c>
      <c r="J940" s="45" t="s">
        <v>32</v>
      </c>
      <c r="K940" s="45" t="s">
        <v>33</v>
      </c>
      <c r="L940" s="46">
        <v>56</v>
      </c>
      <c r="M940" s="43">
        <f t="shared" si="90"/>
        <v>0.32440870602</v>
      </c>
      <c r="N940" s="46" t="s">
        <v>57</v>
      </c>
      <c r="O940" s="44">
        <v>33479</v>
      </c>
      <c r="P940" s="48"/>
      <c r="Q940" s="8">
        <f>VLOOKUP($F940,[1]装箱单!$A:$E,5,0)</f>
        <v>32.385</v>
      </c>
      <c r="R940" s="8">
        <f>VLOOKUP($F940,[1]装箱单!$A:$F,6,0)</f>
        <v>18.78</v>
      </c>
      <c r="S940" s="8">
        <f>VLOOKUP($F940,[1]装箱单!$A:$G,7,0)</f>
        <v>9.525</v>
      </c>
      <c r="T940" s="10">
        <f>VLOOKUP($F940,[1]装箱单!$A:$J,10,0)</f>
        <v>0.0057930126075</v>
      </c>
      <c r="U940" s="11">
        <f t="shared" si="91"/>
        <v>0.32440870602</v>
      </c>
    </row>
    <row r="941" ht="29.1" customHeight="1" spans="1:21">
      <c r="A941" s="40">
        <v>46178</v>
      </c>
      <c r="B941" s="41" t="s">
        <v>1297</v>
      </c>
      <c r="C941" s="42" t="s">
        <v>1298</v>
      </c>
      <c r="D941" s="43" t="s">
        <v>1299</v>
      </c>
      <c r="E941" s="44" t="s">
        <v>1300</v>
      </c>
      <c r="F941" s="44" t="s">
        <v>45</v>
      </c>
      <c r="G941" s="44" t="str">
        <f>VLOOKUP(F941,[1]装箱单!$A:$C,3,0)</f>
        <v>鸭子</v>
      </c>
      <c r="H941" s="44">
        <v>56</v>
      </c>
      <c r="I941" s="45">
        <f t="shared" si="92"/>
        <v>1008</v>
      </c>
      <c r="J941" s="45" t="s">
        <v>32</v>
      </c>
      <c r="K941" s="45" t="s">
        <v>33</v>
      </c>
      <c r="L941" s="46">
        <v>56</v>
      </c>
      <c r="M941" s="43">
        <f t="shared" si="90"/>
        <v>0.32440870602</v>
      </c>
      <c r="N941" s="46" t="s">
        <v>57</v>
      </c>
      <c r="O941" s="44">
        <v>33481</v>
      </c>
      <c r="P941" s="48"/>
      <c r="Q941" s="8">
        <f>VLOOKUP($F941,[1]装箱单!$A:$E,5,0)</f>
        <v>32.385</v>
      </c>
      <c r="R941" s="8">
        <f>VLOOKUP($F941,[1]装箱单!$A:$F,6,0)</f>
        <v>18.78</v>
      </c>
      <c r="S941" s="8">
        <f>VLOOKUP($F941,[1]装箱单!$A:$G,7,0)</f>
        <v>9.525</v>
      </c>
      <c r="T941" s="10">
        <f>VLOOKUP($F941,[1]装箱单!$A:$J,10,0)</f>
        <v>0.0057930126075</v>
      </c>
      <c r="U941" s="11">
        <f t="shared" si="91"/>
        <v>0.32440870602</v>
      </c>
    </row>
    <row r="942" ht="29.1" customHeight="1" spans="1:21">
      <c r="A942" s="40">
        <v>46178</v>
      </c>
      <c r="B942" s="41" t="s">
        <v>1297</v>
      </c>
      <c r="C942" s="42" t="s">
        <v>1301</v>
      </c>
      <c r="D942" s="43" t="s">
        <v>1302</v>
      </c>
      <c r="E942" s="44" t="s">
        <v>1303</v>
      </c>
      <c r="F942" s="44" t="s">
        <v>45</v>
      </c>
      <c r="G942" s="44" t="str">
        <f>VLOOKUP(F942,[1]装箱单!$A:$C,3,0)</f>
        <v>鸭子</v>
      </c>
      <c r="H942" s="44">
        <v>6</v>
      </c>
      <c r="I942" s="45">
        <f t="shared" si="92"/>
        <v>108</v>
      </c>
      <c r="J942" s="45" t="s">
        <v>32</v>
      </c>
      <c r="K942" s="45" t="s">
        <v>33</v>
      </c>
      <c r="L942" s="46">
        <v>6</v>
      </c>
      <c r="M942" s="43">
        <f t="shared" si="90"/>
        <v>0.034758075645</v>
      </c>
      <c r="N942" s="46" t="s">
        <v>57</v>
      </c>
      <c r="O942" s="44">
        <v>33479</v>
      </c>
      <c r="P942" s="48"/>
      <c r="Q942" s="8">
        <f>VLOOKUP($F942,[1]装箱单!$A:$E,5,0)</f>
        <v>32.385</v>
      </c>
      <c r="R942" s="8">
        <f>VLOOKUP($F942,[1]装箱单!$A:$F,6,0)</f>
        <v>18.78</v>
      </c>
      <c r="S942" s="8">
        <f>VLOOKUP($F942,[1]装箱单!$A:$G,7,0)</f>
        <v>9.525</v>
      </c>
      <c r="T942" s="10">
        <f>VLOOKUP($F942,[1]装箱单!$A:$J,10,0)</f>
        <v>0.0057930126075</v>
      </c>
      <c r="U942" s="11">
        <f t="shared" si="91"/>
        <v>0.034758075645</v>
      </c>
    </row>
    <row r="943" ht="29.1" customHeight="1" spans="1:21">
      <c r="A943" s="40">
        <v>46178</v>
      </c>
      <c r="B943" s="41" t="s">
        <v>1297</v>
      </c>
      <c r="C943" s="42" t="s">
        <v>1301</v>
      </c>
      <c r="D943" s="43" t="s">
        <v>1302</v>
      </c>
      <c r="E943" s="44" t="s">
        <v>1303</v>
      </c>
      <c r="F943" s="44" t="s">
        <v>45</v>
      </c>
      <c r="G943" s="44" t="str">
        <f>VLOOKUP(F943,[1]装箱单!$A:$C,3,0)</f>
        <v>鸭子</v>
      </c>
      <c r="H943" s="44">
        <v>6</v>
      </c>
      <c r="I943" s="45">
        <f t="shared" si="92"/>
        <v>108</v>
      </c>
      <c r="J943" s="45" t="s">
        <v>32</v>
      </c>
      <c r="K943" s="45" t="s">
        <v>33</v>
      </c>
      <c r="L943" s="46">
        <v>6</v>
      </c>
      <c r="M943" s="43">
        <f t="shared" si="90"/>
        <v>0.034758075645</v>
      </c>
      <c r="N943" s="46" t="s">
        <v>57</v>
      </c>
      <c r="O943" s="44">
        <v>33478</v>
      </c>
      <c r="P943" s="48"/>
      <c r="Q943" s="8">
        <f>VLOOKUP($F943,[1]装箱单!$A:$E,5,0)</f>
        <v>32.385</v>
      </c>
      <c r="R943" s="8">
        <f>VLOOKUP($F943,[1]装箱单!$A:$F,6,0)</f>
        <v>18.78</v>
      </c>
      <c r="S943" s="8">
        <f>VLOOKUP($F943,[1]装箱单!$A:$G,7,0)</f>
        <v>9.525</v>
      </c>
      <c r="T943" s="10">
        <f>VLOOKUP($F943,[1]装箱单!$A:$J,10,0)</f>
        <v>0.0057930126075</v>
      </c>
      <c r="U943" s="11">
        <f t="shared" si="91"/>
        <v>0.034758075645</v>
      </c>
    </row>
    <row r="944" ht="29.1" customHeight="1" spans="1:21">
      <c r="A944" s="40">
        <v>46178</v>
      </c>
      <c r="B944" s="41" t="s">
        <v>1297</v>
      </c>
      <c r="C944" s="42" t="s">
        <v>1301</v>
      </c>
      <c r="D944" s="43" t="s">
        <v>1302</v>
      </c>
      <c r="E944" s="44" t="s">
        <v>1303</v>
      </c>
      <c r="F944" s="44" t="s">
        <v>45</v>
      </c>
      <c r="G944" s="44" t="str">
        <f>VLOOKUP(F944,[1]装箱单!$A:$C,3,0)</f>
        <v>鸭子</v>
      </c>
      <c r="H944" s="44">
        <v>6</v>
      </c>
      <c r="I944" s="45">
        <f t="shared" si="92"/>
        <v>108</v>
      </c>
      <c r="J944" s="45" t="s">
        <v>32</v>
      </c>
      <c r="K944" s="45" t="s">
        <v>33</v>
      </c>
      <c r="L944" s="46">
        <v>6</v>
      </c>
      <c r="M944" s="43">
        <f t="shared" si="90"/>
        <v>0.034758075645</v>
      </c>
      <c r="N944" s="46" t="s">
        <v>57</v>
      </c>
      <c r="O944" s="44">
        <v>33481</v>
      </c>
      <c r="P944" s="48"/>
      <c r="Q944" s="8">
        <f>VLOOKUP($F944,[1]装箱单!$A:$E,5,0)</f>
        <v>32.385</v>
      </c>
      <c r="R944" s="8">
        <f>VLOOKUP($F944,[1]装箱单!$A:$F,6,0)</f>
        <v>18.78</v>
      </c>
      <c r="S944" s="8">
        <f>VLOOKUP($F944,[1]装箱单!$A:$G,7,0)</f>
        <v>9.525</v>
      </c>
      <c r="T944" s="10">
        <f>VLOOKUP($F944,[1]装箱单!$A:$J,10,0)</f>
        <v>0.0057930126075</v>
      </c>
      <c r="U944" s="11">
        <f t="shared" si="91"/>
        <v>0.034758075645</v>
      </c>
    </row>
    <row r="945" ht="29.1" customHeight="1" spans="1:21">
      <c r="A945" s="40">
        <v>46178</v>
      </c>
      <c r="B945" s="41" t="s">
        <v>1297</v>
      </c>
      <c r="C945" s="42" t="s">
        <v>1304</v>
      </c>
      <c r="D945" s="43" t="s">
        <v>1305</v>
      </c>
      <c r="E945" s="44" t="s">
        <v>1306</v>
      </c>
      <c r="F945" s="44" t="s">
        <v>45</v>
      </c>
      <c r="G945" s="44" t="str">
        <f>VLOOKUP(F945,[1]装箱单!$A:$C,3,0)</f>
        <v>鸭子</v>
      </c>
      <c r="H945" s="44">
        <v>56</v>
      </c>
      <c r="I945" s="45">
        <f t="shared" si="92"/>
        <v>1008</v>
      </c>
      <c r="J945" s="45" t="s">
        <v>32</v>
      </c>
      <c r="K945" s="45" t="s">
        <v>33</v>
      </c>
      <c r="L945" s="46">
        <v>56</v>
      </c>
      <c r="M945" s="43">
        <f t="shared" si="90"/>
        <v>0.32440870602</v>
      </c>
      <c r="N945" s="46" t="s">
        <v>57</v>
      </c>
      <c r="O945" s="44">
        <v>33478</v>
      </c>
      <c r="P945" s="48"/>
      <c r="Q945" s="8">
        <f>VLOOKUP($F945,[1]装箱单!$A:$E,5,0)</f>
        <v>32.385</v>
      </c>
      <c r="R945" s="8">
        <f>VLOOKUP($F945,[1]装箱单!$A:$F,6,0)</f>
        <v>18.78</v>
      </c>
      <c r="S945" s="8">
        <f>VLOOKUP($F945,[1]装箱单!$A:$G,7,0)</f>
        <v>9.525</v>
      </c>
      <c r="T945" s="10">
        <f>VLOOKUP($F945,[1]装箱单!$A:$J,10,0)</f>
        <v>0.0057930126075</v>
      </c>
      <c r="U945" s="11">
        <f t="shared" si="91"/>
        <v>0.32440870602</v>
      </c>
    </row>
    <row r="946" ht="29.1" customHeight="1" spans="1:21">
      <c r="A946" s="40">
        <v>46178</v>
      </c>
      <c r="B946" s="41" t="s">
        <v>1297</v>
      </c>
      <c r="C946" s="42" t="s">
        <v>1304</v>
      </c>
      <c r="D946" s="43" t="s">
        <v>1305</v>
      </c>
      <c r="E946" s="44" t="s">
        <v>1306</v>
      </c>
      <c r="F946" s="44" t="s">
        <v>45</v>
      </c>
      <c r="G946" s="44" t="str">
        <f>VLOOKUP(F946,[1]装箱单!$A:$C,3,0)</f>
        <v>鸭子</v>
      </c>
      <c r="H946" s="44">
        <v>56</v>
      </c>
      <c r="I946" s="45">
        <f t="shared" si="92"/>
        <v>1008</v>
      </c>
      <c r="J946" s="45" t="s">
        <v>32</v>
      </c>
      <c r="K946" s="45" t="s">
        <v>33</v>
      </c>
      <c r="L946" s="46">
        <v>56</v>
      </c>
      <c r="M946" s="43">
        <f t="shared" si="90"/>
        <v>0.32440870602</v>
      </c>
      <c r="N946" s="46" t="s">
        <v>57</v>
      </c>
      <c r="O946" s="44">
        <v>33481</v>
      </c>
      <c r="P946" s="48"/>
      <c r="Q946" s="8">
        <f>VLOOKUP($F946,[1]装箱单!$A:$E,5,0)</f>
        <v>32.385</v>
      </c>
      <c r="R946" s="8">
        <f>VLOOKUP($F946,[1]装箱单!$A:$F,6,0)</f>
        <v>18.78</v>
      </c>
      <c r="S946" s="8">
        <f>VLOOKUP($F946,[1]装箱单!$A:$G,7,0)</f>
        <v>9.525</v>
      </c>
      <c r="T946" s="10">
        <f>VLOOKUP($F946,[1]装箱单!$A:$J,10,0)</f>
        <v>0.0057930126075</v>
      </c>
      <c r="U946" s="11">
        <f t="shared" si="91"/>
        <v>0.32440870602</v>
      </c>
    </row>
    <row r="947" ht="29.1" customHeight="1" spans="1:21">
      <c r="A947" s="40">
        <v>46178</v>
      </c>
      <c r="B947" s="41" t="s">
        <v>1133</v>
      </c>
      <c r="C947" s="42" t="s">
        <v>1307</v>
      </c>
      <c r="D947" s="43" t="s">
        <v>1308</v>
      </c>
      <c r="E947" s="44" t="s">
        <v>1309</v>
      </c>
      <c r="F947" s="44" t="s">
        <v>45</v>
      </c>
      <c r="G947" s="44" t="str">
        <f>VLOOKUP(F947,[1]装箱单!$A:$C,3,0)</f>
        <v>鸭子</v>
      </c>
      <c r="H947" s="44">
        <v>1000</v>
      </c>
      <c r="I947" s="45">
        <f t="shared" si="92"/>
        <v>18000</v>
      </c>
      <c r="J947" s="45" t="s">
        <v>32</v>
      </c>
      <c r="K947" s="45" t="s">
        <v>33</v>
      </c>
      <c r="L947" s="46">
        <v>1000</v>
      </c>
      <c r="M947" s="43">
        <f t="shared" si="90"/>
        <v>5.7930126075</v>
      </c>
      <c r="N947" s="46" t="s">
        <v>57</v>
      </c>
      <c r="O947" s="44"/>
      <c r="P947" s="48"/>
      <c r="Q947" s="8">
        <f>VLOOKUP($F947,[1]装箱单!$A:$E,5,0)</f>
        <v>32.385</v>
      </c>
      <c r="R947" s="8">
        <f>VLOOKUP($F947,[1]装箱单!$A:$F,6,0)</f>
        <v>18.78</v>
      </c>
      <c r="S947" s="8">
        <f>VLOOKUP($F947,[1]装箱单!$A:$G,7,0)</f>
        <v>9.525</v>
      </c>
      <c r="T947" s="10">
        <f>VLOOKUP($F947,[1]装箱单!$A:$J,10,0)</f>
        <v>0.0057930126075</v>
      </c>
      <c r="U947" s="11">
        <f t="shared" si="91"/>
        <v>5.7930126075</v>
      </c>
    </row>
    <row r="948" ht="29.1" customHeight="1" spans="1:21">
      <c r="A948" s="40">
        <v>46178</v>
      </c>
      <c r="B948" s="41" t="s">
        <v>1190</v>
      </c>
      <c r="C948" s="42" t="s">
        <v>1310</v>
      </c>
      <c r="D948" s="43" t="s">
        <v>1311</v>
      </c>
      <c r="E948" s="44" t="s">
        <v>1312</v>
      </c>
      <c r="F948" s="44">
        <v>46462</v>
      </c>
      <c r="G948" s="44" t="str">
        <f>VLOOKUP(F948,[1]装箱单!$A:$C,3,0)</f>
        <v>史迪仔系列</v>
      </c>
      <c r="H948" s="44">
        <f>+I948/2</f>
        <v>250</v>
      </c>
      <c r="I948" s="45">
        <f>+L948*2</f>
        <v>500</v>
      </c>
      <c r="J948" s="45" t="s">
        <v>47</v>
      </c>
      <c r="K948" s="45" t="s">
        <v>33</v>
      </c>
      <c r="L948" s="46">
        <v>250</v>
      </c>
      <c r="M948" s="43">
        <f t="shared" si="90"/>
        <v>5.591429508</v>
      </c>
      <c r="N948" s="46" t="s">
        <v>57</v>
      </c>
      <c r="O948" s="44" t="s">
        <v>164</v>
      </c>
      <c r="P948" s="48"/>
      <c r="Q948" s="8">
        <f>VLOOKUP($F948,[1]装箱单!$A:$E,5,0)</f>
        <v>40.01</v>
      </c>
      <c r="R948" s="8">
        <f>VLOOKUP($F948,[1]装箱单!$A:$F,6,0)</f>
        <v>26.67</v>
      </c>
      <c r="S948" s="8">
        <f>VLOOKUP($F948,[1]装箱单!$A:$G,7,0)</f>
        <v>20.96</v>
      </c>
      <c r="T948" s="10">
        <f>VLOOKUP($F948,[1]装箱单!$A:$J,10,0)</f>
        <v>0.022365718032</v>
      </c>
      <c r="U948" s="11">
        <f t="shared" si="91"/>
        <v>5.591429508</v>
      </c>
    </row>
    <row r="949" ht="29.1" customHeight="1" spans="1:21">
      <c r="A949" s="40">
        <v>46178</v>
      </c>
      <c r="B949" s="41" t="s">
        <v>1190</v>
      </c>
      <c r="C949" s="42" t="s">
        <v>1310</v>
      </c>
      <c r="D949" s="43" t="s">
        <v>1311</v>
      </c>
      <c r="E949" s="44" t="s">
        <v>1312</v>
      </c>
      <c r="F949" s="44">
        <v>46097</v>
      </c>
      <c r="G949" s="44" t="str">
        <f>VLOOKUP(F949,[1]装箱单!$A:$C,3,0)</f>
        <v>小熊维尼历险记系列</v>
      </c>
      <c r="H949" s="44">
        <f>+I949/2</f>
        <v>250</v>
      </c>
      <c r="I949" s="45">
        <f>+L949*2</f>
        <v>500</v>
      </c>
      <c r="J949" s="45" t="s">
        <v>47</v>
      </c>
      <c r="K949" s="45" t="s">
        <v>33</v>
      </c>
      <c r="L949" s="46">
        <v>250</v>
      </c>
      <c r="M949" s="43">
        <f t="shared" si="90"/>
        <v>5.591429508</v>
      </c>
      <c r="N949" s="46" t="s">
        <v>57</v>
      </c>
      <c r="O949" s="44" t="s">
        <v>164</v>
      </c>
      <c r="P949" s="48"/>
      <c r="Q949" s="8">
        <f>VLOOKUP($F949,[1]装箱单!$A:$E,5,0)</f>
        <v>40.01</v>
      </c>
      <c r="R949" s="8">
        <f>VLOOKUP($F949,[1]装箱单!$A:$F,6,0)</f>
        <v>26.67</v>
      </c>
      <c r="S949" s="8">
        <f>VLOOKUP($F949,[1]装箱单!$A:$G,7,0)</f>
        <v>20.96</v>
      </c>
      <c r="T949" s="10">
        <f>VLOOKUP($F949,[1]装箱单!$A:$J,10,0)</f>
        <v>0.022365718032</v>
      </c>
      <c r="U949" s="11">
        <f t="shared" si="91"/>
        <v>5.591429508</v>
      </c>
    </row>
    <row r="950" ht="29.1" customHeight="1" spans="1:21">
      <c r="A950" s="40">
        <v>46178</v>
      </c>
      <c r="B950" s="41" t="s">
        <v>1190</v>
      </c>
      <c r="C950" s="42" t="s">
        <v>1310</v>
      </c>
      <c r="D950" s="43" t="s">
        <v>1311</v>
      </c>
      <c r="E950" s="44" t="s">
        <v>1312</v>
      </c>
      <c r="F950" s="44">
        <v>46099</v>
      </c>
      <c r="G950" s="44" t="str">
        <f>VLOOKUP(F950,[1]装箱单!$A:$C,3,0)</f>
        <v>米奇老鼠系列</v>
      </c>
      <c r="H950" s="44">
        <f>+I950/2</f>
        <v>250</v>
      </c>
      <c r="I950" s="45">
        <f>+L950*2</f>
        <v>500</v>
      </c>
      <c r="J950" s="45" t="s">
        <v>47</v>
      </c>
      <c r="K950" s="45" t="s">
        <v>33</v>
      </c>
      <c r="L950" s="46">
        <v>250</v>
      </c>
      <c r="M950" s="43">
        <f t="shared" si="90"/>
        <v>5.591429508</v>
      </c>
      <c r="N950" s="46" t="s">
        <v>57</v>
      </c>
      <c r="O950" s="44" t="s">
        <v>164</v>
      </c>
      <c r="P950" s="48"/>
      <c r="Q950" s="8">
        <f>VLOOKUP($F950,[1]装箱单!$A:$E,5,0)</f>
        <v>40.01</v>
      </c>
      <c r="R950" s="8">
        <f>VLOOKUP($F950,[1]装箱单!$A:$F,6,0)</f>
        <v>26.67</v>
      </c>
      <c r="S950" s="8">
        <f>VLOOKUP($F950,[1]装箱单!$A:$G,7,0)</f>
        <v>20.96</v>
      </c>
      <c r="T950" s="10">
        <f>VLOOKUP($F950,[1]装箱单!$A:$J,10,0)</f>
        <v>0.022365718032</v>
      </c>
      <c r="U950" s="11">
        <f t="shared" si="91"/>
        <v>5.591429508</v>
      </c>
    </row>
    <row r="951" ht="29.1" customHeight="1" spans="1:21">
      <c r="A951" s="40">
        <v>46178</v>
      </c>
      <c r="B951" s="41" t="s">
        <v>1190</v>
      </c>
      <c r="C951" s="42" t="s">
        <v>1310</v>
      </c>
      <c r="D951" s="43" t="s">
        <v>1311</v>
      </c>
      <c r="E951" s="44" t="s">
        <v>1312</v>
      </c>
      <c r="F951" s="44">
        <v>46496</v>
      </c>
      <c r="G951" s="44" t="str">
        <f>VLOOKUP(F951,[1]装箱单!$A:$C,3,0)</f>
        <v>米妮系列</v>
      </c>
      <c r="H951" s="44">
        <f>+I951/2</f>
        <v>250</v>
      </c>
      <c r="I951" s="45">
        <f>+L951*2</f>
        <v>500</v>
      </c>
      <c r="J951" s="45" t="s">
        <v>47</v>
      </c>
      <c r="K951" s="45" t="s">
        <v>33</v>
      </c>
      <c r="L951" s="46">
        <v>250</v>
      </c>
      <c r="M951" s="43">
        <f t="shared" si="90"/>
        <v>5.591429508</v>
      </c>
      <c r="N951" s="46" t="s">
        <v>57</v>
      </c>
      <c r="O951" s="44" t="s">
        <v>164</v>
      </c>
      <c r="P951" s="48"/>
      <c r="Q951" s="8">
        <f>VLOOKUP($F951,[1]装箱单!$A:$E,5,0)</f>
        <v>40.01</v>
      </c>
      <c r="R951" s="8">
        <f>VLOOKUP($F951,[1]装箱单!$A:$F,6,0)</f>
        <v>26.67</v>
      </c>
      <c r="S951" s="8">
        <f>VLOOKUP($F951,[1]装箱单!$A:$G,7,0)</f>
        <v>20.96</v>
      </c>
      <c r="T951" s="10">
        <f>VLOOKUP($F951,[1]装箱单!$A:$J,10,0)</f>
        <v>0.022365718032</v>
      </c>
      <c r="U951" s="11">
        <f t="shared" si="91"/>
        <v>5.591429508</v>
      </c>
    </row>
    <row r="952" ht="29.1" customHeight="1" spans="1:21">
      <c r="A952" s="40"/>
      <c r="B952" s="41"/>
      <c r="C952" s="42"/>
      <c r="D952" s="43"/>
      <c r="E952" s="44"/>
      <c r="F952" s="44"/>
      <c r="G952" s="44"/>
      <c r="H952" s="44"/>
      <c r="I952" s="45"/>
      <c r="J952" s="45"/>
      <c r="K952" s="45"/>
      <c r="L952" s="46"/>
      <c r="M952" s="43">
        <f>SUM(M904:M951)</f>
        <v>118.697262631567</v>
      </c>
      <c r="N952" s="46"/>
      <c r="O952" s="44"/>
      <c r="P952" s="51"/>
    </row>
    <row r="953" ht="29.1" customHeight="1" spans="1:21">
      <c r="A953" s="40">
        <v>46179</v>
      </c>
      <c r="B953" s="41" t="s">
        <v>138</v>
      </c>
      <c r="C953" s="42" t="s">
        <v>1313</v>
      </c>
      <c r="D953" s="43" t="s">
        <v>1314</v>
      </c>
      <c r="E953" s="44" t="s">
        <v>1315</v>
      </c>
      <c r="F953" s="44">
        <v>46462</v>
      </c>
      <c r="G953" s="44" t="str">
        <f>VLOOKUP(F953,[1]装箱单!$A:$C,3,0)</f>
        <v>史迪仔系列</v>
      </c>
      <c r="H953" s="44">
        <f>+I953/2</f>
        <v>50</v>
      </c>
      <c r="I953" s="45">
        <f>+L953*2</f>
        <v>100</v>
      </c>
      <c r="J953" s="45" t="s">
        <v>47</v>
      </c>
      <c r="K953" s="45" t="s">
        <v>33</v>
      </c>
      <c r="L953" s="46">
        <v>50</v>
      </c>
      <c r="M953" s="43">
        <f t="shared" ref="M953:M961" si="93">+U953</f>
        <v>1.1182859016</v>
      </c>
      <c r="N953" s="46" t="s">
        <v>57</v>
      </c>
      <c r="O953" s="44"/>
      <c r="P953" s="47" t="s">
        <v>901</v>
      </c>
      <c r="Q953" s="8">
        <f>VLOOKUP($F953,[1]装箱单!$A:$E,5,0)</f>
        <v>40.01</v>
      </c>
      <c r="R953" s="8">
        <f>VLOOKUP($F953,[1]装箱单!$A:$F,6,0)</f>
        <v>26.67</v>
      </c>
      <c r="S953" s="8">
        <f>VLOOKUP($F953,[1]装箱单!$A:$G,7,0)</f>
        <v>20.96</v>
      </c>
      <c r="T953" s="10">
        <f>VLOOKUP($F953,[1]装箱单!$A:$J,10,0)</f>
        <v>0.022365718032</v>
      </c>
      <c r="U953" s="11">
        <f t="shared" ref="U953:U961" si="94">+T953*L953</f>
        <v>1.1182859016</v>
      </c>
    </row>
    <row r="954" ht="29.1" customHeight="1" spans="1:21">
      <c r="A954" s="40">
        <v>46179</v>
      </c>
      <c r="B954" s="41" t="s">
        <v>138</v>
      </c>
      <c r="C954" s="42" t="s">
        <v>1313</v>
      </c>
      <c r="D954" s="43" t="s">
        <v>1314</v>
      </c>
      <c r="E954" s="44" t="s">
        <v>1315</v>
      </c>
      <c r="F954" s="44">
        <v>46132</v>
      </c>
      <c r="G954" s="44" t="str">
        <f>VLOOKUP(F954,[1]装箱单!$A:$C,3,0)</f>
        <v>赛车总动员系列</v>
      </c>
      <c r="H954" s="44">
        <f>+I954/2</f>
        <v>50</v>
      </c>
      <c r="I954" s="45">
        <f>+L954*2</f>
        <v>100</v>
      </c>
      <c r="J954" s="45" t="s">
        <v>47</v>
      </c>
      <c r="K954" s="45" t="s">
        <v>33</v>
      </c>
      <c r="L954" s="46">
        <v>50</v>
      </c>
      <c r="M954" s="43">
        <f t="shared" si="93"/>
        <v>1.1182859016</v>
      </c>
      <c r="N954" s="46" t="s">
        <v>57</v>
      </c>
      <c r="O954" s="44"/>
      <c r="P954" s="48"/>
      <c r="Q954" s="8">
        <f>VLOOKUP($F954,[1]装箱单!$A:$E,5,0)</f>
        <v>40.01</v>
      </c>
      <c r="R954" s="8">
        <f>VLOOKUP($F954,[1]装箱单!$A:$F,6,0)</f>
        <v>26.67</v>
      </c>
      <c r="S954" s="8">
        <f>VLOOKUP($F954,[1]装箱单!$A:$G,7,0)</f>
        <v>20.96</v>
      </c>
      <c r="T954" s="10">
        <f>VLOOKUP($F954,[1]装箱单!$A:$J,10,0)</f>
        <v>0.022365718032</v>
      </c>
      <c r="U954" s="11">
        <f t="shared" si="94"/>
        <v>1.1182859016</v>
      </c>
    </row>
    <row r="955" ht="29.1" customHeight="1" spans="1:21">
      <c r="A955" s="40">
        <v>46179</v>
      </c>
      <c r="B955" s="41" t="s">
        <v>138</v>
      </c>
      <c r="C955" s="42" t="s">
        <v>1313</v>
      </c>
      <c r="D955" s="43" t="s">
        <v>1314</v>
      </c>
      <c r="E955" s="44" t="s">
        <v>1315</v>
      </c>
      <c r="F955" s="44">
        <v>46099</v>
      </c>
      <c r="G955" s="44" t="str">
        <f>VLOOKUP(F955,[1]装箱单!$A:$C,3,0)</f>
        <v>米奇老鼠系列</v>
      </c>
      <c r="H955" s="44">
        <f>+I955/2</f>
        <v>50</v>
      </c>
      <c r="I955" s="45">
        <f>+L955*2</f>
        <v>100</v>
      </c>
      <c r="J955" s="45" t="s">
        <v>47</v>
      </c>
      <c r="K955" s="45" t="s">
        <v>33</v>
      </c>
      <c r="L955" s="46">
        <v>50</v>
      </c>
      <c r="M955" s="43">
        <f t="shared" si="93"/>
        <v>1.1182859016</v>
      </c>
      <c r="N955" s="46" t="s">
        <v>57</v>
      </c>
      <c r="O955" s="44"/>
      <c r="P955" s="48"/>
      <c r="Q955" s="8">
        <f>VLOOKUP($F955,[1]装箱单!$A:$E,5,0)</f>
        <v>40.01</v>
      </c>
      <c r="R955" s="8">
        <f>VLOOKUP($F955,[1]装箱单!$A:$F,6,0)</f>
        <v>26.67</v>
      </c>
      <c r="S955" s="8">
        <f>VLOOKUP($F955,[1]装箱单!$A:$G,7,0)</f>
        <v>20.96</v>
      </c>
      <c r="T955" s="10">
        <f>VLOOKUP($F955,[1]装箱单!$A:$J,10,0)</f>
        <v>0.022365718032</v>
      </c>
      <c r="U955" s="11">
        <f t="shared" si="94"/>
        <v>1.1182859016</v>
      </c>
    </row>
    <row r="956" ht="29.1" customHeight="1" spans="1:21">
      <c r="A956" s="40">
        <v>46179</v>
      </c>
      <c r="B956" s="41" t="s">
        <v>138</v>
      </c>
      <c r="C956" s="42" t="s">
        <v>1313</v>
      </c>
      <c r="D956" s="43" t="s">
        <v>1314</v>
      </c>
      <c r="E956" s="44" t="s">
        <v>1315</v>
      </c>
      <c r="F956" s="44">
        <v>46097</v>
      </c>
      <c r="G956" s="44" t="str">
        <f>VLOOKUP(F956,[1]装箱单!$A:$C,3,0)</f>
        <v>小熊维尼历险记系列</v>
      </c>
      <c r="H956" s="44">
        <f>+I956/2</f>
        <v>50</v>
      </c>
      <c r="I956" s="45">
        <f>+L956*2</f>
        <v>100</v>
      </c>
      <c r="J956" s="45" t="s">
        <v>47</v>
      </c>
      <c r="K956" s="45" t="s">
        <v>33</v>
      </c>
      <c r="L956" s="46">
        <v>50</v>
      </c>
      <c r="M956" s="43">
        <f t="shared" si="93"/>
        <v>1.1182859016</v>
      </c>
      <c r="N956" s="46" t="s">
        <v>57</v>
      </c>
      <c r="O956" s="44"/>
      <c r="P956" s="48"/>
      <c r="Q956" s="8">
        <f>VLOOKUP($F956,[1]装箱单!$A:$E,5,0)</f>
        <v>40.01</v>
      </c>
      <c r="R956" s="8">
        <f>VLOOKUP($F956,[1]装箱单!$A:$F,6,0)</f>
        <v>26.67</v>
      </c>
      <c r="S956" s="8">
        <f>VLOOKUP($F956,[1]装箱单!$A:$G,7,0)</f>
        <v>20.96</v>
      </c>
      <c r="T956" s="10">
        <f>VLOOKUP($F956,[1]装箱单!$A:$J,10,0)</f>
        <v>0.022365718032</v>
      </c>
      <c r="U956" s="11">
        <f t="shared" si="94"/>
        <v>1.1182859016</v>
      </c>
    </row>
    <row r="957" ht="29.1" customHeight="1" spans="1:21">
      <c r="A957" s="40">
        <v>46179</v>
      </c>
      <c r="B957" s="41" t="s">
        <v>1316</v>
      </c>
      <c r="C957" s="42" t="s">
        <v>1317</v>
      </c>
      <c r="D957" s="43" t="s">
        <v>1318</v>
      </c>
      <c r="E957" s="44" t="s">
        <v>1319</v>
      </c>
      <c r="F957" s="44" t="s">
        <v>1320</v>
      </c>
      <c r="G957" s="44" t="str">
        <f>VLOOKUP(F957,[1]装箱单!$A:$C,3,0)</f>
        <v>盲盒小鸭</v>
      </c>
      <c r="H957" s="44">
        <v>360</v>
      </c>
      <c r="I957" s="45">
        <v>34560</v>
      </c>
      <c r="J957" s="45" t="s">
        <v>32</v>
      </c>
      <c r="K957" s="45" t="s">
        <v>33</v>
      </c>
      <c r="L957" s="46">
        <v>360</v>
      </c>
      <c r="M957" s="43">
        <f t="shared" si="93"/>
        <v>29.66024061</v>
      </c>
      <c r="N957" s="46" t="s">
        <v>57</v>
      </c>
      <c r="O957" s="44"/>
      <c r="P957" s="48"/>
      <c r="Q957" s="8">
        <f>VLOOKUP($F957,[1]装箱单!$A:$E,5,0)</f>
        <v>54.95</v>
      </c>
      <c r="R957" s="8">
        <f>VLOOKUP($F957,[1]装箱单!$A:$F,6,0)</f>
        <v>34.95</v>
      </c>
      <c r="S957" s="8">
        <f>VLOOKUP($F957,[1]装箱单!$A:$G,7,0)</f>
        <v>42.9</v>
      </c>
      <c r="T957" s="10">
        <f>VLOOKUP($F957,[1]装箱单!$A:$J,10,0)</f>
        <v>0.08238955725</v>
      </c>
      <c r="U957" s="11">
        <f t="shared" si="94"/>
        <v>29.66024061</v>
      </c>
    </row>
    <row r="958" ht="29.1" customHeight="1" spans="1:21">
      <c r="A958" s="40">
        <v>46179</v>
      </c>
      <c r="B958" s="41" t="s">
        <v>1316</v>
      </c>
      <c r="C958" s="42" t="s">
        <v>1321</v>
      </c>
      <c r="D958" s="43" t="s">
        <v>1322</v>
      </c>
      <c r="E958" s="44" t="s">
        <v>1323</v>
      </c>
      <c r="F958" s="44" t="s">
        <v>1320</v>
      </c>
      <c r="G958" s="44" t="str">
        <f>VLOOKUP(F958,[1]装箱单!$A:$C,3,0)</f>
        <v>盲盒小鸭</v>
      </c>
      <c r="H958" s="44">
        <v>240</v>
      </c>
      <c r="I958" s="45">
        <v>23040</v>
      </c>
      <c r="J958" s="45" t="s">
        <v>32</v>
      </c>
      <c r="K958" s="45" t="s">
        <v>33</v>
      </c>
      <c r="L958" s="46">
        <v>240</v>
      </c>
      <c r="M958" s="43">
        <f t="shared" si="93"/>
        <v>19.77349374</v>
      </c>
      <c r="N958" s="46" t="s">
        <v>57</v>
      </c>
      <c r="O958" s="44"/>
      <c r="P958" s="48"/>
      <c r="Q958" s="8">
        <f>VLOOKUP($F958,[1]装箱单!$A:$E,5,0)</f>
        <v>54.95</v>
      </c>
      <c r="R958" s="8">
        <f>VLOOKUP($F958,[1]装箱单!$A:$F,6,0)</f>
        <v>34.95</v>
      </c>
      <c r="S958" s="8">
        <f>VLOOKUP($F958,[1]装箱单!$A:$G,7,0)</f>
        <v>42.9</v>
      </c>
      <c r="T958" s="10">
        <f>VLOOKUP($F958,[1]装箱单!$A:$J,10,0)</f>
        <v>0.08238955725</v>
      </c>
      <c r="U958" s="11">
        <f t="shared" si="94"/>
        <v>19.77349374</v>
      </c>
    </row>
    <row r="959" ht="29.1" customHeight="1" spans="1:21">
      <c r="A959" s="40">
        <v>46179</v>
      </c>
      <c r="B959" s="41" t="s">
        <v>1324</v>
      </c>
      <c r="C959" s="42" t="s">
        <v>935</v>
      </c>
      <c r="D959" s="43" t="s">
        <v>936</v>
      </c>
      <c r="E959" s="44">
        <v>1598562</v>
      </c>
      <c r="F959" s="44" t="s">
        <v>1320</v>
      </c>
      <c r="G959" s="44" t="str">
        <f>VLOOKUP(F959,[1]装箱单!$A:$C,3,0)</f>
        <v>盲盒小鸭</v>
      </c>
      <c r="H959" s="44">
        <v>470</v>
      </c>
      <c r="I959" s="45">
        <v>45120</v>
      </c>
      <c r="J959" s="45" t="s">
        <v>32</v>
      </c>
      <c r="K959" s="45" t="s">
        <v>33</v>
      </c>
      <c r="L959" s="46">
        <v>470</v>
      </c>
      <c r="M959" s="43">
        <f t="shared" si="93"/>
        <v>38.7230919075</v>
      </c>
      <c r="N959" s="46" t="s">
        <v>57</v>
      </c>
      <c r="O959" s="44"/>
      <c r="P959" s="48"/>
      <c r="Q959" s="8">
        <f>VLOOKUP($F959,[1]装箱单!$A:$E,5,0)</f>
        <v>54.95</v>
      </c>
      <c r="R959" s="8">
        <f>VLOOKUP($F959,[1]装箱单!$A:$F,6,0)</f>
        <v>34.95</v>
      </c>
      <c r="S959" s="8">
        <f>VLOOKUP($F959,[1]装箱单!$A:$G,7,0)</f>
        <v>42.9</v>
      </c>
      <c r="T959" s="10">
        <f>VLOOKUP($F959,[1]装箱单!$A:$J,10,0)</f>
        <v>0.08238955725</v>
      </c>
      <c r="U959" s="11">
        <f t="shared" si="94"/>
        <v>38.7230919075</v>
      </c>
    </row>
    <row r="960" ht="29.1" customHeight="1" spans="1:21">
      <c r="A960" s="40">
        <v>46179</v>
      </c>
      <c r="B960" s="41" t="s">
        <v>1324</v>
      </c>
      <c r="C960" s="42" t="s">
        <v>933</v>
      </c>
      <c r="D960" s="43" t="s">
        <v>934</v>
      </c>
      <c r="E960" s="44" t="s">
        <v>1325</v>
      </c>
      <c r="F960" s="44" t="s">
        <v>1320</v>
      </c>
      <c r="G960" s="44" t="str">
        <f>VLOOKUP(F960,[1]装箱单!$A:$C,3,0)</f>
        <v>盲盒小鸭</v>
      </c>
      <c r="H960" s="44">
        <v>390</v>
      </c>
      <c r="I960" s="45">
        <v>37440</v>
      </c>
      <c r="J960" s="45" t="s">
        <v>32</v>
      </c>
      <c r="K960" s="45" t="s">
        <v>33</v>
      </c>
      <c r="L960" s="46">
        <v>390</v>
      </c>
      <c r="M960" s="43">
        <f t="shared" si="93"/>
        <v>32.1319273275</v>
      </c>
      <c r="N960" s="46" t="s">
        <v>57</v>
      </c>
      <c r="O960" s="44"/>
      <c r="P960" s="48"/>
      <c r="Q960" s="8">
        <f>VLOOKUP($F960,[1]装箱单!$A:$E,5,0)</f>
        <v>54.95</v>
      </c>
      <c r="R960" s="8">
        <f>VLOOKUP($F960,[1]装箱单!$A:$F,6,0)</f>
        <v>34.95</v>
      </c>
      <c r="S960" s="8">
        <f>VLOOKUP($F960,[1]装箱单!$A:$G,7,0)</f>
        <v>42.9</v>
      </c>
      <c r="T960" s="10">
        <f>VLOOKUP($F960,[1]装箱单!$A:$J,10,0)</f>
        <v>0.08238955725</v>
      </c>
      <c r="U960" s="11">
        <f t="shared" si="94"/>
        <v>32.1319273275</v>
      </c>
    </row>
    <row r="961" ht="29.1" customHeight="1" spans="1:21">
      <c r="A961" s="40">
        <v>46179</v>
      </c>
      <c r="B961" s="41" t="s">
        <v>1324</v>
      </c>
      <c r="C961" s="42" t="s">
        <v>1264</v>
      </c>
      <c r="D961" s="43" t="s">
        <v>1265</v>
      </c>
      <c r="E961" s="44" t="s">
        <v>1325</v>
      </c>
      <c r="F961" s="44" t="s">
        <v>1320</v>
      </c>
      <c r="G961" s="44" t="str">
        <f>VLOOKUP(F961,[1]装箱单!$A:$C,3,0)</f>
        <v>盲盒小鸭</v>
      </c>
      <c r="H961" s="44">
        <v>390</v>
      </c>
      <c r="I961" s="45">
        <v>37440</v>
      </c>
      <c r="J961" s="45" t="s">
        <v>32</v>
      </c>
      <c r="K961" s="45" t="s">
        <v>33</v>
      </c>
      <c r="L961" s="46">
        <v>390</v>
      </c>
      <c r="M961" s="43">
        <f t="shared" si="93"/>
        <v>32.1319273275</v>
      </c>
      <c r="N961" s="46" t="s">
        <v>57</v>
      </c>
      <c r="O961" s="44"/>
      <c r="P961" s="48"/>
      <c r="Q961" s="8">
        <f>VLOOKUP($F961,[1]装箱单!$A:$E,5,0)</f>
        <v>54.95</v>
      </c>
      <c r="R961" s="8">
        <f>VLOOKUP($F961,[1]装箱单!$A:$F,6,0)</f>
        <v>34.95</v>
      </c>
      <c r="S961" s="8">
        <f>VLOOKUP($F961,[1]装箱单!$A:$G,7,0)</f>
        <v>42.9</v>
      </c>
      <c r="T961" s="10">
        <f>VLOOKUP($F961,[1]装箱单!$A:$J,10,0)</f>
        <v>0.08238955725</v>
      </c>
      <c r="U961" s="11">
        <f t="shared" si="94"/>
        <v>32.1319273275</v>
      </c>
    </row>
    <row r="962" ht="29.1" customHeight="1" spans="1:21">
      <c r="A962" s="40"/>
      <c r="B962" s="41"/>
      <c r="C962" s="42"/>
      <c r="D962" s="43"/>
      <c r="E962" s="44"/>
      <c r="F962" s="44"/>
      <c r="G962" s="44"/>
      <c r="H962" s="44"/>
      <c r="I962" s="45"/>
      <c r="J962" s="45"/>
      <c r="K962" s="45"/>
      <c r="L962" s="46"/>
      <c r="M962" s="43">
        <f>SUM(M953:M961)</f>
        <v>156.8938245189</v>
      </c>
      <c r="N962" s="46"/>
      <c r="O962" s="44"/>
      <c r="P962" s="51"/>
    </row>
    <row r="963" ht="29.1" customHeight="1" spans="1:21">
      <c r="A963" s="40">
        <v>46181</v>
      </c>
      <c r="B963" s="41" t="s">
        <v>1133</v>
      </c>
      <c r="C963" s="42" t="s">
        <v>1326</v>
      </c>
      <c r="D963" s="43" t="s">
        <v>1327</v>
      </c>
      <c r="E963" s="44" t="s">
        <v>1328</v>
      </c>
      <c r="F963" s="44">
        <v>46092</v>
      </c>
      <c r="G963" s="44" t="str">
        <f>VLOOKUP(F963,[2]装箱单!$A:$C,3,0)</f>
        <v>玩具总动员系列</v>
      </c>
      <c r="H963" s="44">
        <f t="shared" ref="H963:H969" si="95">+I963/2</f>
        <v>2850</v>
      </c>
      <c r="I963" s="45">
        <f t="shared" ref="I963:I969" si="96">+L963*2</f>
        <v>5700</v>
      </c>
      <c r="J963" s="45" t="s">
        <v>47</v>
      </c>
      <c r="K963" s="45" t="s">
        <v>33</v>
      </c>
      <c r="L963" s="46">
        <v>2850</v>
      </c>
      <c r="M963" s="43">
        <f t="shared" ref="M963:M969" si="97">+U963</f>
        <v>63.7422963912</v>
      </c>
      <c r="N963" s="46" t="s">
        <v>34</v>
      </c>
      <c r="O963" s="44"/>
      <c r="P963" s="47" t="s">
        <v>271</v>
      </c>
      <c r="Q963" s="8">
        <f>VLOOKUP($F963,[2]装箱单!$A:$E,5,0)</f>
        <v>40.01</v>
      </c>
      <c r="R963" s="8">
        <f>VLOOKUP($F963,[2]装箱单!$A:$F,6,0)</f>
        <v>26.67</v>
      </c>
      <c r="S963" s="8">
        <f>VLOOKUP($F963,[2]装箱单!$A:$G,7,0)</f>
        <v>20.96</v>
      </c>
      <c r="T963" s="10">
        <f>VLOOKUP($F963,[2]装箱单!$A:$J,10,0)</f>
        <v>0.022365718032</v>
      </c>
      <c r="U963" s="11">
        <f t="shared" ref="U963:U969" si="98">+T963*L963</f>
        <v>63.7422963912</v>
      </c>
    </row>
    <row r="964" ht="29.1" customHeight="1" spans="1:21">
      <c r="A964" s="40">
        <v>46181</v>
      </c>
      <c r="B964" s="41" t="s">
        <v>1290</v>
      </c>
      <c r="C964" s="42" t="s">
        <v>1293</v>
      </c>
      <c r="D964" s="43" t="s">
        <v>1294</v>
      </c>
      <c r="E964" s="44">
        <v>875100</v>
      </c>
      <c r="F964" s="44">
        <v>46092</v>
      </c>
      <c r="G964" s="44" t="str">
        <f>VLOOKUP(F964,[2]装箱单!$A:$C,3,0)</f>
        <v>玩具总动员系列</v>
      </c>
      <c r="H964" s="44">
        <f t="shared" si="95"/>
        <v>533</v>
      </c>
      <c r="I964" s="45">
        <f t="shared" si="96"/>
        <v>1066</v>
      </c>
      <c r="J964" s="45" t="s">
        <v>47</v>
      </c>
      <c r="K964" s="45" t="s">
        <v>33</v>
      </c>
      <c r="L964" s="46">
        <v>533</v>
      </c>
      <c r="M964" s="43">
        <f t="shared" si="97"/>
        <v>11.920927711056</v>
      </c>
      <c r="N964" s="46" t="s">
        <v>34</v>
      </c>
      <c r="O964" s="44"/>
      <c r="P964" s="48"/>
      <c r="Q964" s="8">
        <f>VLOOKUP($F964,[2]装箱单!$A:$E,5,0)</f>
        <v>40.01</v>
      </c>
      <c r="R964" s="8">
        <f>VLOOKUP($F964,[2]装箱单!$A:$F,6,0)</f>
        <v>26.67</v>
      </c>
      <c r="S964" s="8">
        <f>VLOOKUP($F964,[2]装箱单!$A:$G,7,0)</f>
        <v>20.96</v>
      </c>
      <c r="T964" s="10">
        <f>VLOOKUP($F964,[2]装箱单!$A:$J,10,0)</f>
        <v>0.022365718032</v>
      </c>
      <c r="U964" s="11">
        <f t="shared" si="98"/>
        <v>11.920927711056</v>
      </c>
    </row>
    <row r="965" ht="29.1" customHeight="1" spans="1:21">
      <c r="A965" s="40">
        <v>46181</v>
      </c>
      <c r="B965" s="41" t="s">
        <v>1290</v>
      </c>
      <c r="C965" s="42" t="s">
        <v>1291</v>
      </c>
      <c r="D965" s="43" t="s">
        <v>1292</v>
      </c>
      <c r="E965" s="44">
        <v>875099</v>
      </c>
      <c r="F965" s="44">
        <v>46092</v>
      </c>
      <c r="G965" s="44" t="str">
        <f>VLOOKUP(F965,[2]装箱单!$A:$C,3,0)</f>
        <v>玩具总动员系列</v>
      </c>
      <c r="H965" s="44">
        <f t="shared" si="95"/>
        <v>473</v>
      </c>
      <c r="I965" s="45">
        <f t="shared" si="96"/>
        <v>946</v>
      </c>
      <c r="J965" s="45" t="s">
        <v>47</v>
      </c>
      <c r="K965" s="45" t="s">
        <v>33</v>
      </c>
      <c r="L965" s="46">
        <v>473</v>
      </c>
      <c r="M965" s="43">
        <f t="shared" si="97"/>
        <v>10.578984629136</v>
      </c>
      <c r="N965" s="46" t="s">
        <v>34</v>
      </c>
      <c r="O965" s="44"/>
      <c r="P965" s="48"/>
      <c r="Q965" s="8">
        <f>VLOOKUP($F965,[2]装箱单!$A:$E,5,0)</f>
        <v>40.01</v>
      </c>
      <c r="R965" s="8">
        <f>VLOOKUP($F965,[2]装箱单!$A:$F,6,0)</f>
        <v>26.67</v>
      </c>
      <c r="S965" s="8">
        <f>VLOOKUP($F965,[2]装箱单!$A:$G,7,0)</f>
        <v>20.96</v>
      </c>
      <c r="T965" s="10">
        <f>VLOOKUP($F965,[2]装箱单!$A:$J,10,0)</f>
        <v>0.022365718032</v>
      </c>
      <c r="U965" s="11">
        <f t="shared" si="98"/>
        <v>10.578984629136</v>
      </c>
    </row>
    <row r="966" ht="29.1" customHeight="1" spans="1:21">
      <c r="A966" s="40">
        <v>46181</v>
      </c>
      <c r="B966" s="41" t="s">
        <v>1290</v>
      </c>
      <c r="C966" s="42" t="s">
        <v>1295</v>
      </c>
      <c r="D966" s="43" t="s">
        <v>1296</v>
      </c>
      <c r="E966" s="44">
        <v>875102</v>
      </c>
      <c r="F966" s="44">
        <v>46092</v>
      </c>
      <c r="G966" s="44" t="str">
        <f>VLOOKUP(F966,[2]装箱单!$A:$C,3,0)</f>
        <v>玩具总动员系列</v>
      </c>
      <c r="H966" s="44">
        <f t="shared" si="95"/>
        <v>495</v>
      </c>
      <c r="I966" s="45">
        <f t="shared" si="96"/>
        <v>990</v>
      </c>
      <c r="J966" s="45" t="s">
        <v>47</v>
      </c>
      <c r="K966" s="45" t="s">
        <v>33</v>
      </c>
      <c r="L966" s="46">
        <v>495</v>
      </c>
      <c r="M966" s="43">
        <f t="shared" si="97"/>
        <v>11.07103042584</v>
      </c>
      <c r="N966" s="46" t="s">
        <v>34</v>
      </c>
      <c r="O966" s="44"/>
      <c r="P966" s="48"/>
      <c r="Q966" s="8">
        <f>VLOOKUP($F966,[2]装箱单!$A:$E,5,0)</f>
        <v>40.01</v>
      </c>
      <c r="R966" s="8">
        <f>VLOOKUP($F966,[2]装箱单!$A:$F,6,0)</f>
        <v>26.67</v>
      </c>
      <c r="S966" s="8">
        <f>VLOOKUP($F966,[2]装箱单!$A:$G,7,0)</f>
        <v>20.96</v>
      </c>
      <c r="T966" s="10">
        <f>VLOOKUP($F966,[2]装箱单!$A:$J,10,0)</f>
        <v>0.022365718032</v>
      </c>
      <c r="U966" s="11">
        <f t="shared" si="98"/>
        <v>11.07103042584</v>
      </c>
    </row>
    <row r="967" ht="29.1" customHeight="1" spans="1:21">
      <c r="A967" s="40">
        <v>46181</v>
      </c>
      <c r="B967" s="41" t="s">
        <v>1290</v>
      </c>
      <c r="C967" s="42" t="s">
        <v>1291</v>
      </c>
      <c r="D967" s="43" t="s">
        <v>1292</v>
      </c>
      <c r="E967" s="44">
        <v>875099</v>
      </c>
      <c r="F967" s="44">
        <v>46462</v>
      </c>
      <c r="G967" s="44" t="str">
        <f>VLOOKUP(F967,[2]装箱单!$A:$C,3,0)</f>
        <v>史迪仔系列</v>
      </c>
      <c r="H967" s="44">
        <f t="shared" si="95"/>
        <v>473</v>
      </c>
      <c r="I967" s="45">
        <f t="shared" si="96"/>
        <v>946</v>
      </c>
      <c r="J967" s="45" t="s">
        <v>47</v>
      </c>
      <c r="K967" s="45" t="s">
        <v>33</v>
      </c>
      <c r="L967" s="46">
        <v>473</v>
      </c>
      <c r="M967" s="43">
        <f t="shared" si="97"/>
        <v>10.578984629136</v>
      </c>
      <c r="N967" s="46" t="s">
        <v>34</v>
      </c>
      <c r="O967" s="44"/>
      <c r="P967" s="48"/>
      <c r="Q967" s="8">
        <f>VLOOKUP($F967,[2]装箱单!$A:$E,5,0)</f>
        <v>40.01</v>
      </c>
      <c r="R967" s="8">
        <f>VLOOKUP($F967,[2]装箱单!$A:$F,6,0)</f>
        <v>26.67</v>
      </c>
      <c r="S967" s="8">
        <f>VLOOKUP($F967,[2]装箱单!$A:$G,7,0)</f>
        <v>20.96</v>
      </c>
      <c r="T967" s="10">
        <f>VLOOKUP($F967,[2]装箱单!$A:$J,10,0)</f>
        <v>0.022365718032</v>
      </c>
      <c r="U967" s="11">
        <f t="shared" si="98"/>
        <v>10.578984629136</v>
      </c>
    </row>
    <row r="968" ht="29.1" customHeight="1" spans="1:21">
      <c r="A968" s="40">
        <v>46181</v>
      </c>
      <c r="B968" s="41" t="s">
        <v>1290</v>
      </c>
      <c r="C968" s="42" t="s">
        <v>1293</v>
      </c>
      <c r="D968" s="43" t="s">
        <v>1294</v>
      </c>
      <c r="E968" s="44">
        <v>875100</v>
      </c>
      <c r="F968" s="44">
        <v>46462</v>
      </c>
      <c r="G968" s="44" t="str">
        <f>VLOOKUP(F968,[2]装箱单!$A:$C,3,0)</f>
        <v>史迪仔系列</v>
      </c>
      <c r="H968" s="44">
        <f t="shared" si="95"/>
        <v>533</v>
      </c>
      <c r="I968" s="45">
        <f t="shared" si="96"/>
        <v>1066</v>
      </c>
      <c r="J968" s="45" t="s">
        <v>47</v>
      </c>
      <c r="K968" s="45" t="s">
        <v>33</v>
      </c>
      <c r="L968" s="46">
        <v>533</v>
      </c>
      <c r="M968" s="43">
        <f t="shared" si="97"/>
        <v>11.920927711056</v>
      </c>
      <c r="N968" s="46" t="s">
        <v>34</v>
      </c>
      <c r="O968" s="44"/>
      <c r="P968" s="48"/>
      <c r="Q968" s="8">
        <f>VLOOKUP($F968,[2]装箱单!$A:$E,5,0)</f>
        <v>40.01</v>
      </c>
      <c r="R968" s="8">
        <f>VLOOKUP($F968,[2]装箱单!$A:$F,6,0)</f>
        <v>26.67</v>
      </c>
      <c r="S968" s="8">
        <f>VLOOKUP($F968,[2]装箱单!$A:$G,7,0)</f>
        <v>20.96</v>
      </c>
      <c r="T968" s="10">
        <f>VLOOKUP($F968,[2]装箱单!$A:$J,10,0)</f>
        <v>0.022365718032</v>
      </c>
      <c r="U968" s="11">
        <f t="shared" si="98"/>
        <v>11.920927711056</v>
      </c>
    </row>
    <row r="969" ht="29.1" customHeight="1" spans="1:21">
      <c r="A969" s="40">
        <v>46181</v>
      </c>
      <c r="B969" s="41" t="s">
        <v>1290</v>
      </c>
      <c r="C969" s="42" t="s">
        <v>1295</v>
      </c>
      <c r="D969" s="43" t="s">
        <v>1296</v>
      </c>
      <c r="E969" s="44">
        <v>875102</v>
      </c>
      <c r="F969" s="44">
        <v>46462</v>
      </c>
      <c r="G969" s="44" t="str">
        <f>VLOOKUP(F969,[2]装箱单!$A:$C,3,0)</f>
        <v>史迪仔系列</v>
      </c>
      <c r="H969" s="44">
        <f t="shared" si="95"/>
        <v>495</v>
      </c>
      <c r="I969" s="45">
        <f t="shared" si="96"/>
        <v>990</v>
      </c>
      <c r="J969" s="45" t="s">
        <v>47</v>
      </c>
      <c r="K969" s="45" t="s">
        <v>33</v>
      </c>
      <c r="L969" s="46">
        <v>495</v>
      </c>
      <c r="M969" s="43">
        <f t="shared" si="97"/>
        <v>11.07103042584</v>
      </c>
      <c r="N969" s="46" t="s">
        <v>34</v>
      </c>
      <c r="O969" s="44"/>
      <c r="P969" s="48"/>
      <c r="Q969" s="8">
        <f>VLOOKUP($F969,[2]装箱单!$A:$E,5,0)</f>
        <v>40.01</v>
      </c>
      <c r="R969" s="8">
        <f>VLOOKUP($F969,[2]装箱单!$A:$F,6,0)</f>
        <v>26.67</v>
      </c>
      <c r="S969" s="8">
        <f>VLOOKUP($F969,[2]装箱单!$A:$G,7,0)</f>
        <v>20.96</v>
      </c>
      <c r="T969" s="10">
        <f>VLOOKUP($F969,[2]装箱单!$A:$J,10,0)</f>
        <v>0.022365718032</v>
      </c>
      <c r="U969" s="11">
        <f t="shared" si="98"/>
        <v>11.07103042584</v>
      </c>
    </row>
    <row r="970" ht="29.1" customHeight="1" spans="1:21">
      <c r="A970" s="40"/>
      <c r="B970" s="41"/>
      <c r="C970" s="42"/>
      <c r="D970" s="43"/>
      <c r="E970" s="44"/>
      <c r="F970" s="44"/>
      <c r="G970" s="44"/>
      <c r="H970" s="44"/>
      <c r="I970" s="45"/>
      <c r="J970" s="45"/>
      <c r="K970" s="45"/>
      <c r="L970" s="46"/>
      <c r="M970" s="43">
        <f>SUM(M963:M969)</f>
        <v>130.884181923264</v>
      </c>
      <c r="N970" s="46"/>
      <c r="O970" s="44"/>
      <c r="P970" s="51"/>
    </row>
    <row r="971" ht="29.1" customHeight="1" spans="1:21">
      <c r="A971" s="40">
        <v>46182</v>
      </c>
      <c r="B971" s="41" t="s">
        <v>1329</v>
      </c>
      <c r="C971" s="42">
        <v>45867</v>
      </c>
      <c r="D971" s="43" t="s">
        <v>1164</v>
      </c>
      <c r="E971" s="44"/>
      <c r="F971" s="44">
        <v>320399</v>
      </c>
      <c r="G971" s="44" t="str">
        <f>VLOOKUP(F971,[1]装箱单!$A:$C,3,0)</f>
        <v>猫家族</v>
      </c>
      <c r="H971" s="44">
        <v>1500</v>
      </c>
      <c r="I971" s="45">
        <f>+L971*4</f>
        <v>3000</v>
      </c>
      <c r="J971" s="45" t="s">
        <v>47</v>
      </c>
      <c r="K971" s="45" t="s">
        <v>33</v>
      </c>
      <c r="L971" s="45">
        <v>750</v>
      </c>
      <c r="M971" s="43">
        <f t="shared" ref="M971:M978" si="99">+U971</f>
        <v>7.7175</v>
      </c>
      <c r="N971" s="46" t="s">
        <v>34</v>
      </c>
      <c r="O971" s="44"/>
      <c r="P971" s="47" t="s">
        <v>1330</v>
      </c>
      <c r="Q971" s="8">
        <f>VLOOKUP($F971,[1]装箱单!$A:$E,5,0)</f>
        <v>24.5</v>
      </c>
      <c r="R971" s="8">
        <f>VLOOKUP($F971,[1]装箱单!$A:$F,6,0)</f>
        <v>21</v>
      </c>
      <c r="S971" s="8">
        <f>VLOOKUP($F971,[1]装箱单!$A:$G,7,0)</f>
        <v>20</v>
      </c>
      <c r="T971" s="10">
        <f>VLOOKUP($F971,[1]装箱单!$A:$J,10,0)</f>
        <v>0.01029</v>
      </c>
      <c r="U971" s="11">
        <f t="shared" ref="U971:U978" si="100">+T971*L971</f>
        <v>7.7175</v>
      </c>
    </row>
    <row r="972" ht="29.1" customHeight="1" spans="1:21">
      <c r="A972" s="40">
        <v>46182</v>
      </c>
      <c r="B972" s="41" t="s">
        <v>1329</v>
      </c>
      <c r="C972" s="42">
        <v>46346</v>
      </c>
      <c r="D972" s="43" t="s">
        <v>1331</v>
      </c>
      <c r="E972" s="44"/>
      <c r="F972" s="44">
        <v>320399</v>
      </c>
      <c r="G972" s="44" t="str">
        <f>VLOOKUP(F972,[1]装箱单!$A:$C,3,0)</f>
        <v>猫家族</v>
      </c>
      <c r="H972" s="44">
        <v>750</v>
      </c>
      <c r="I972" s="45">
        <f>+L972*4</f>
        <v>3000</v>
      </c>
      <c r="J972" s="45" t="s">
        <v>47</v>
      </c>
      <c r="K972" s="45" t="s">
        <v>33</v>
      </c>
      <c r="L972" s="46">
        <v>750</v>
      </c>
      <c r="M972" s="43">
        <f t="shared" si="99"/>
        <v>7.7175</v>
      </c>
      <c r="N972" s="46" t="s">
        <v>34</v>
      </c>
      <c r="O972" s="44"/>
      <c r="P972" s="48"/>
      <c r="Q972" s="8">
        <f>VLOOKUP($F972,[1]装箱单!$A:$E,5,0)</f>
        <v>24.5</v>
      </c>
      <c r="R972" s="8">
        <f>VLOOKUP($F972,[1]装箱单!$A:$F,6,0)</f>
        <v>21</v>
      </c>
      <c r="S972" s="8">
        <f>VLOOKUP($F972,[1]装箱单!$A:$G,7,0)</f>
        <v>20</v>
      </c>
      <c r="T972" s="10">
        <f>VLOOKUP($F972,[1]装箱单!$A:$J,10,0)</f>
        <v>0.01029</v>
      </c>
      <c r="U972" s="11">
        <f t="shared" si="100"/>
        <v>7.7175</v>
      </c>
    </row>
    <row r="973" ht="29.1" customHeight="1" spans="1:21">
      <c r="A973" s="40">
        <v>46182</v>
      </c>
      <c r="B973" s="41" t="s">
        <v>1329</v>
      </c>
      <c r="C973" s="42">
        <v>46554</v>
      </c>
      <c r="D973" s="43" t="s">
        <v>1332</v>
      </c>
      <c r="E973" s="44"/>
      <c r="F973" s="44">
        <v>320399</v>
      </c>
      <c r="G973" s="44" t="str">
        <f>VLOOKUP(F973,[1]装箱单!$A:$C,3,0)</f>
        <v>猫家族</v>
      </c>
      <c r="H973" s="44">
        <v>750</v>
      </c>
      <c r="I973" s="45">
        <f>+L973*4</f>
        <v>3000</v>
      </c>
      <c r="J973" s="45" t="s">
        <v>47</v>
      </c>
      <c r="K973" s="45" t="s">
        <v>33</v>
      </c>
      <c r="L973" s="46">
        <v>750</v>
      </c>
      <c r="M973" s="43">
        <f t="shared" si="99"/>
        <v>7.7175</v>
      </c>
      <c r="N973" s="46" t="s">
        <v>34</v>
      </c>
      <c r="O973" s="44"/>
      <c r="P973" s="48"/>
      <c r="Q973" s="8">
        <f>VLOOKUP($F973,[1]装箱单!$A:$E,5,0)</f>
        <v>24.5</v>
      </c>
      <c r="R973" s="8">
        <f>VLOOKUP($F973,[1]装箱单!$A:$F,6,0)</f>
        <v>21</v>
      </c>
      <c r="S973" s="8">
        <f>VLOOKUP($F973,[1]装箱单!$A:$G,7,0)</f>
        <v>20</v>
      </c>
      <c r="T973" s="10">
        <f>VLOOKUP($F973,[1]装箱单!$A:$J,10,0)</f>
        <v>0.01029</v>
      </c>
      <c r="U973" s="11">
        <f t="shared" si="100"/>
        <v>7.7175</v>
      </c>
    </row>
    <row r="974" ht="29.1" customHeight="1" spans="1:21">
      <c r="A974" s="40">
        <v>46182</v>
      </c>
      <c r="B974" s="41" t="s">
        <v>1329</v>
      </c>
      <c r="C974" s="42">
        <v>46127</v>
      </c>
      <c r="D974" s="43" t="s">
        <v>1333</v>
      </c>
      <c r="E974" s="44"/>
      <c r="F974" s="44">
        <v>570989</v>
      </c>
      <c r="G974" s="44" t="str">
        <f>VLOOKUP(F974,[1]装箱单!$A:$C,3,0)</f>
        <v>盲盒系列</v>
      </c>
      <c r="H974" s="44">
        <v>926</v>
      </c>
      <c r="I974" s="45">
        <f>+L974*27</f>
        <v>25002</v>
      </c>
      <c r="J974" s="45" t="s">
        <v>32</v>
      </c>
      <c r="K974" s="45" t="s">
        <v>33</v>
      </c>
      <c r="L974" s="46">
        <v>926</v>
      </c>
      <c r="M974" s="43">
        <f t="shared" si="99"/>
        <v>10.3326271169625</v>
      </c>
      <c r="N974" s="46" t="s">
        <v>34</v>
      </c>
      <c r="O974" s="44"/>
      <c r="P974" s="48"/>
      <c r="Q974" s="8">
        <f>VLOOKUP($F974,[1]装箱单!$A:$E,5,0)</f>
        <v>31.115</v>
      </c>
      <c r="R974" s="8">
        <f>VLOOKUP($F974,[1]装箱单!$A:$F,6,0)</f>
        <v>22.59</v>
      </c>
      <c r="S974" s="8">
        <f>VLOOKUP($F974,[1]装箱单!$A:$G,7,0)</f>
        <v>15.875</v>
      </c>
      <c r="T974" s="10">
        <f>VLOOKUP($F974,[1]装箱单!$A:$J,10,0)</f>
        <v>0.01115834461875</v>
      </c>
      <c r="U974" s="11">
        <f t="shared" si="100"/>
        <v>10.3326271169625</v>
      </c>
    </row>
    <row r="975" ht="29.1" customHeight="1" spans="1:21">
      <c r="A975" s="40">
        <v>46183</v>
      </c>
      <c r="B975" s="41" t="s">
        <v>1329</v>
      </c>
      <c r="C975" s="42">
        <v>46155</v>
      </c>
      <c r="D975" s="43" t="s">
        <v>1334</v>
      </c>
      <c r="E975" s="44"/>
      <c r="F975" s="44">
        <v>671509</v>
      </c>
      <c r="G975" s="44" t="str">
        <f>VLOOKUP(F975,[1]装箱单!$A:$C,3,0)</f>
        <v>绿色铁皮勾车</v>
      </c>
      <c r="H975" s="44">
        <v>750</v>
      </c>
      <c r="I975" s="45">
        <f>+L975*2</f>
        <v>1248</v>
      </c>
      <c r="J975" s="45" t="s">
        <v>32</v>
      </c>
      <c r="K975" s="45" t="s">
        <v>33</v>
      </c>
      <c r="L975" s="46">
        <v>624</v>
      </c>
      <c r="M975" s="43">
        <f t="shared" si="99"/>
        <v>22.446477720576</v>
      </c>
      <c r="N975" s="46" t="s">
        <v>34</v>
      </c>
      <c r="O975" s="44"/>
      <c r="P975" s="48"/>
      <c r="Q975" s="8">
        <f>VLOOKUP($F975,[1]装箱单!$A:$E,5,0)</f>
        <v>40.32</v>
      </c>
      <c r="R975" s="8">
        <f>VLOOKUP($F975,[1]装箱单!$A:$F,6,0)</f>
        <v>37.47</v>
      </c>
      <c r="S975" s="8">
        <f>VLOOKUP($F975,[1]装箱单!$A:$G,7,0)</f>
        <v>23.81</v>
      </c>
      <c r="T975" s="10">
        <f>VLOOKUP($F975,[1]装箱单!$A:$J,10,0)</f>
        <v>0.035971919424</v>
      </c>
      <c r="U975" s="11">
        <f t="shared" si="100"/>
        <v>22.446477720576</v>
      </c>
    </row>
    <row r="976" ht="29.1" customHeight="1" spans="1:21">
      <c r="A976" s="40">
        <v>46182</v>
      </c>
      <c r="B976" s="41" t="s">
        <v>1329</v>
      </c>
      <c r="C976" s="42">
        <v>46132</v>
      </c>
      <c r="D976" s="43" t="s">
        <v>1335</v>
      </c>
      <c r="E976" s="44"/>
      <c r="F976" s="44">
        <v>320635</v>
      </c>
      <c r="G976" s="44" t="str">
        <f>VLOOKUP(F976,[1]装箱单!$A:$C,3,0)</f>
        <v>校车</v>
      </c>
      <c r="H976" s="44">
        <v>1500</v>
      </c>
      <c r="I976" s="45">
        <f>+L976*2</f>
        <v>3000</v>
      </c>
      <c r="J976" s="45" t="s">
        <v>32</v>
      </c>
      <c r="K976" s="45" t="s">
        <v>33</v>
      </c>
      <c r="L976" s="46">
        <v>1500</v>
      </c>
      <c r="M976" s="43">
        <f t="shared" si="99"/>
        <v>23.680104786</v>
      </c>
      <c r="N976" s="46" t="s">
        <v>34</v>
      </c>
      <c r="O976" s="44"/>
      <c r="P976" s="48"/>
      <c r="Q976" s="8">
        <f>VLOOKUP($F976,[1]装箱单!$A:$E,5,0)</f>
        <v>35.18</v>
      </c>
      <c r="R976" s="8">
        <f>VLOOKUP($F976,[1]装箱单!$A:$F,6,0)</f>
        <v>27.18</v>
      </c>
      <c r="S976" s="8">
        <f>VLOOKUP($F976,[1]装箱单!$A:$G,7,0)</f>
        <v>16.51</v>
      </c>
      <c r="T976" s="10">
        <f>VLOOKUP($F976,[1]装箱单!$A:$J,10,0)</f>
        <v>0.015786736524</v>
      </c>
      <c r="U976" s="11">
        <f t="shared" si="100"/>
        <v>23.680104786</v>
      </c>
    </row>
    <row r="977" ht="29.1" customHeight="1" spans="1:21">
      <c r="A977" s="40">
        <v>46182</v>
      </c>
      <c r="B977" s="41" t="s">
        <v>1329</v>
      </c>
      <c r="C977" s="42">
        <v>45873</v>
      </c>
      <c r="D977" s="43" t="s">
        <v>1336</v>
      </c>
      <c r="E977" s="44"/>
      <c r="F977" s="44">
        <v>320916</v>
      </c>
      <c r="G977" s="44" t="str">
        <f>VLOOKUP(F977,[1]装箱单!$A:$C,3,0)</f>
        <v>糕屋</v>
      </c>
      <c r="H977" s="44">
        <v>1500</v>
      </c>
      <c r="I977" s="45">
        <f>+L977*2</f>
        <v>3000</v>
      </c>
      <c r="J977" s="45" t="s">
        <v>32</v>
      </c>
      <c r="K977" s="45" t="s">
        <v>33</v>
      </c>
      <c r="L977" s="46">
        <v>1500</v>
      </c>
      <c r="M977" s="43">
        <f t="shared" si="99"/>
        <v>38.7144387</v>
      </c>
      <c r="N977" s="46" t="s">
        <v>34</v>
      </c>
      <c r="O977" s="44"/>
      <c r="P977" s="48"/>
      <c r="Q977" s="8">
        <f>VLOOKUP($F977,[1]装箱单!$A:$E,5,0)</f>
        <v>38.1</v>
      </c>
      <c r="R977" s="8">
        <f>VLOOKUP($F977,[1]装箱单!$A:$F,6,0)</f>
        <v>30.48</v>
      </c>
      <c r="S977" s="8">
        <f>VLOOKUP($F977,[1]装箱单!$A:$G,7,0)</f>
        <v>22.225</v>
      </c>
      <c r="T977" s="10">
        <f>VLOOKUP($F977,[1]装箱单!$A:$J,10,0)</f>
        <v>0.0258096258</v>
      </c>
      <c r="U977" s="11">
        <f t="shared" si="100"/>
        <v>38.7144387</v>
      </c>
    </row>
    <row r="978" ht="29.1" customHeight="1" spans="1:21">
      <c r="A978" s="40">
        <v>46182</v>
      </c>
      <c r="B978" s="41" t="s">
        <v>415</v>
      </c>
      <c r="C978" s="42" t="s">
        <v>1337</v>
      </c>
      <c r="D978" s="43" t="s">
        <v>1338</v>
      </c>
      <c r="E978" s="44"/>
      <c r="F978" s="44">
        <v>470764</v>
      </c>
      <c r="G978" s="44" t="str">
        <f>VLOOKUP(F978,[1]装箱单!$A:$C,3,0)</f>
        <v>大型自卸车</v>
      </c>
      <c r="H978" s="44">
        <v>3506</v>
      </c>
      <c r="I978" s="45">
        <f>+L978</f>
        <v>720</v>
      </c>
      <c r="J978" s="45" t="s">
        <v>32</v>
      </c>
      <c r="K978" s="45" t="s">
        <v>33</v>
      </c>
      <c r="L978" s="46">
        <v>720</v>
      </c>
      <c r="M978" s="43">
        <f t="shared" si="99"/>
        <v>19.29312</v>
      </c>
      <c r="N978" s="46" t="s">
        <v>34</v>
      </c>
      <c r="O978" s="44"/>
      <c r="P978" s="48"/>
      <c r="Q978" s="8">
        <f>VLOOKUP($F978,[1]装箱单!$A:$E,5,0)</f>
        <v>42</v>
      </c>
      <c r="R978" s="8">
        <f>VLOOKUP($F978,[1]装箱单!$A:$F,6,0)</f>
        <v>22</v>
      </c>
      <c r="S978" s="8">
        <f>VLOOKUP($F978,[1]装箱单!$A:$G,7,0)</f>
        <v>29</v>
      </c>
      <c r="T978" s="10">
        <f>VLOOKUP($F978,[1]装箱单!$A:$J,10,0)</f>
        <v>0.026796</v>
      </c>
      <c r="U978" s="11">
        <f t="shared" si="100"/>
        <v>19.29312</v>
      </c>
    </row>
    <row r="979" ht="29.1" customHeight="1" spans="1:21">
      <c r="A979" s="40"/>
      <c r="B979" s="41"/>
      <c r="C979" s="42"/>
      <c r="D979" s="43"/>
      <c r="E979" s="44"/>
      <c r="F979" s="44"/>
      <c r="G979" s="44"/>
      <c r="H979" s="44"/>
      <c r="I979" s="45"/>
      <c r="J979" s="45"/>
      <c r="K979" s="45"/>
      <c r="L979" s="46"/>
      <c r="M979" s="43">
        <f>SUM(M971:M978)</f>
        <v>137.619268323539</v>
      </c>
      <c r="N979" s="46"/>
      <c r="O979" s="44"/>
      <c r="P979" s="51"/>
    </row>
    <row r="980" ht="29.1" customHeight="1" spans="1:21">
      <c r="A980" s="40">
        <v>46183</v>
      </c>
      <c r="B980" s="41" t="s">
        <v>1329</v>
      </c>
      <c r="C980" s="42">
        <v>46155</v>
      </c>
      <c r="D980" s="43" t="s">
        <v>1334</v>
      </c>
      <c r="E980" s="44"/>
      <c r="F980" s="44">
        <v>671509</v>
      </c>
      <c r="G980" s="44" t="str">
        <f>VLOOKUP(F980,[1]装箱单!$A:$C,3,0)</f>
        <v>绿色铁皮勾车</v>
      </c>
      <c r="H980" s="44">
        <v>750</v>
      </c>
      <c r="I980" s="45">
        <f>+L980*2</f>
        <v>252</v>
      </c>
      <c r="J980" s="45" t="s">
        <v>32</v>
      </c>
      <c r="K980" s="45" t="s">
        <v>33</v>
      </c>
      <c r="L980" s="46">
        <v>126</v>
      </c>
      <c r="M980" s="43">
        <f t="shared" ref="M980:M986" si="101">+U980</f>
        <v>4.532461847424</v>
      </c>
      <c r="N980" s="46" t="s">
        <v>34</v>
      </c>
      <c r="O980" s="44"/>
      <c r="P980" s="47" t="s">
        <v>1339</v>
      </c>
      <c r="Q980" s="8">
        <f>VLOOKUP($F980,[1]装箱单!$A:$E,5,0)</f>
        <v>40.32</v>
      </c>
      <c r="R980" s="8">
        <f>VLOOKUP($F980,[1]装箱单!$A:$F,6,0)</f>
        <v>37.47</v>
      </c>
      <c r="S980" s="8">
        <f>VLOOKUP($F980,[1]装箱单!$A:$G,7,0)</f>
        <v>23.81</v>
      </c>
      <c r="T980" s="10">
        <f>VLOOKUP($F980,[1]装箱单!$A:$J,10,0)</f>
        <v>0.035971919424</v>
      </c>
      <c r="U980" s="11">
        <f t="shared" ref="U980:U986" si="102">+T980*L980</f>
        <v>4.532461847424</v>
      </c>
    </row>
    <row r="981" ht="29.1" customHeight="1" spans="1:21">
      <c r="A981" s="40">
        <v>46183</v>
      </c>
      <c r="B981" s="41" t="s">
        <v>1329</v>
      </c>
      <c r="C981" s="42">
        <v>46346</v>
      </c>
      <c r="D981" s="43" t="s">
        <v>1331</v>
      </c>
      <c r="E981" s="44"/>
      <c r="F981" s="44">
        <v>470725</v>
      </c>
      <c r="G981" s="44" t="str">
        <f>VLOOKUP(F981,[1]装箱单!$A:$C,3,0)</f>
        <v>独角兽家族</v>
      </c>
      <c r="H981" s="44">
        <v>750</v>
      </c>
      <c r="I981" s="45">
        <f>+L981*4</f>
        <v>3000</v>
      </c>
      <c r="J981" s="45" t="s">
        <v>47</v>
      </c>
      <c r="K981" s="45" t="s">
        <v>33</v>
      </c>
      <c r="L981" s="46">
        <v>750</v>
      </c>
      <c r="M981" s="43">
        <f t="shared" si="101"/>
        <v>8.0325</v>
      </c>
      <c r="N981" s="46" t="s">
        <v>34</v>
      </c>
      <c r="O981" s="44"/>
      <c r="P981" s="48"/>
      <c r="Q981" s="8">
        <f>VLOOKUP($F981,[1]装箱单!$A:$E,5,0)</f>
        <v>25.5</v>
      </c>
      <c r="R981" s="8">
        <f>VLOOKUP($F981,[1]装箱单!$A:$F,6,0)</f>
        <v>21</v>
      </c>
      <c r="S981" s="8">
        <f>VLOOKUP($F981,[1]装箱单!$A:$G,7,0)</f>
        <v>20</v>
      </c>
      <c r="T981" s="10">
        <f>VLOOKUP($F981,[1]装箱单!$A:$J,10,0)</f>
        <v>0.01071</v>
      </c>
      <c r="U981" s="11">
        <f t="shared" si="102"/>
        <v>8.0325</v>
      </c>
    </row>
    <row r="982" ht="29.1" customHeight="1" spans="1:21">
      <c r="A982" s="40">
        <v>46183</v>
      </c>
      <c r="B982" s="41" t="s">
        <v>412</v>
      </c>
      <c r="C982" s="42" t="s">
        <v>1340</v>
      </c>
      <c r="D982" s="43" t="s">
        <v>1341</v>
      </c>
      <c r="E982" s="44"/>
      <c r="F982" s="44">
        <v>570975</v>
      </c>
      <c r="G982" s="44" t="str">
        <f>VLOOKUP(F982,[1]装箱单!$A:$C,3,0)</f>
        <v>棒球</v>
      </c>
      <c r="H982" s="44">
        <v>759</v>
      </c>
      <c r="I982" s="45">
        <f>+L982</f>
        <v>759</v>
      </c>
      <c r="J982" s="45" t="s">
        <v>32</v>
      </c>
      <c r="K982" s="45" t="s">
        <v>33</v>
      </c>
      <c r="L982" s="46">
        <v>759</v>
      </c>
      <c r="M982" s="43">
        <f t="shared" si="101"/>
        <v>14.554848696696</v>
      </c>
      <c r="N982" s="46" t="s">
        <v>34</v>
      </c>
      <c r="O982" s="44"/>
      <c r="P982" s="48"/>
      <c r="Q982" s="8">
        <f>VLOOKUP($F982,[1]装箱单!$A:$E,5,0)</f>
        <v>30.48</v>
      </c>
      <c r="R982" s="8">
        <f>VLOOKUP($F982,[1]装箱单!$A:$F,6,0)</f>
        <v>11.795</v>
      </c>
      <c r="S982" s="8">
        <f>VLOOKUP($F982,[1]装箱单!$A:$G,7,0)</f>
        <v>53.34</v>
      </c>
      <c r="T982" s="10">
        <f>VLOOKUP($F982,[1]装箱单!$A:$J,10,0)</f>
        <v>0.019176348744</v>
      </c>
      <c r="U982" s="11">
        <f t="shared" si="102"/>
        <v>14.554848696696</v>
      </c>
    </row>
    <row r="983" ht="29.1" customHeight="1" spans="1:21">
      <c r="A983" s="40">
        <v>46183</v>
      </c>
      <c r="B983" s="41" t="s">
        <v>412</v>
      </c>
      <c r="C983" s="42" t="s">
        <v>1342</v>
      </c>
      <c r="D983" s="43" t="s">
        <v>1341</v>
      </c>
      <c r="E983" s="44"/>
      <c r="F983" s="44">
        <v>570975</v>
      </c>
      <c r="G983" s="44" t="str">
        <f>VLOOKUP(F983,[1]装箱单!$A:$C,3,0)</f>
        <v>棒球</v>
      </c>
      <c r="H983" s="44">
        <v>1150</v>
      </c>
      <c r="I983" s="45">
        <f>+L983</f>
        <v>1150</v>
      </c>
      <c r="J983" s="45" t="s">
        <v>32</v>
      </c>
      <c r="K983" s="45" t="s">
        <v>33</v>
      </c>
      <c r="L983" s="46">
        <v>1150</v>
      </c>
      <c r="M983" s="43">
        <f t="shared" si="101"/>
        <v>22.0528010556</v>
      </c>
      <c r="N983" s="46" t="s">
        <v>34</v>
      </c>
      <c r="O983" s="44"/>
      <c r="P983" s="48"/>
      <c r="Q983" s="8">
        <f>VLOOKUP($F983,[1]装箱单!$A:$E,5,0)</f>
        <v>30.48</v>
      </c>
      <c r="R983" s="8">
        <f>VLOOKUP($F983,[1]装箱单!$A:$F,6,0)</f>
        <v>11.795</v>
      </c>
      <c r="S983" s="8">
        <f>VLOOKUP($F983,[1]装箱单!$A:$G,7,0)</f>
        <v>53.34</v>
      </c>
      <c r="T983" s="10">
        <f>VLOOKUP($F983,[1]装箱单!$A:$J,10,0)</f>
        <v>0.019176348744</v>
      </c>
      <c r="U983" s="11">
        <f t="shared" si="102"/>
        <v>22.0528010556</v>
      </c>
    </row>
    <row r="984" ht="29.1" customHeight="1" spans="1:21">
      <c r="A984" s="40">
        <v>46183</v>
      </c>
      <c r="B984" s="41" t="s">
        <v>412</v>
      </c>
      <c r="C984" s="42" t="s">
        <v>1343</v>
      </c>
      <c r="D984" s="43" t="s">
        <v>1341</v>
      </c>
      <c r="E984" s="44"/>
      <c r="F984" s="44">
        <v>570975</v>
      </c>
      <c r="G984" s="44" t="str">
        <f>VLOOKUP(F984,[1]装箱单!$A:$C,3,0)</f>
        <v>棒球</v>
      </c>
      <c r="H984" s="44">
        <v>160</v>
      </c>
      <c r="I984" s="45">
        <f>+L984</f>
        <v>160</v>
      </c>
      <c r="J984" s="45" t="s">
        <v>32</v>
      </c>
      <c r="K984" s="45" t="s">
        <v>33</v>
      </c>
      <c r="L984" s="46">
        <v>160</v>
      </c>
      <c r="M984" s="43">
        <f t="shared" si="101"/>
        <v>3.06821579904</v>
      </c>
      <c r="N984" s="46" t="s">
        <v>34</v>
      </c>
      <c r="O984" s="44"/>
      <c r="P984" s="48"/>
      <c r="Q984" s="8">
        <f>VLOOKUP($F984,[1]装箱单!$A:$E,5,0)</f>
        <v>30.48</v>
      </c>
      <c r="R984" s="8">
        <f>VLOOKUP($F984,[1]装箱单!$A:$F,6,0)</f>
        <v>11.795</v>
      </c>
      <c r="S984" s="8">
        <f>VLOOKUP($F984,[1]装箱单!$A:$G,7,0)</f>
        <v>53.34</v>
      </c>
      <c r="T984" s="10">
        <f>VLOOKUP($F984,[1]装箱单!$A:$J,10,0)</f>
        <v>0.019176348744</v>
      </c>
      <c r="U984" s="11">
        <f t="shared" si="102"/>
        <v>3.06821579904</v>
      </c>
    </row>
    <row r="985" ht="29.1" customHeight="1" spans="1:21">
      <c r="A985" s="40">
        <v>46183</v>
      </c>
      <c r="B985" s="41" t="s">
        <v>412</v>
      </c>
      <c r="C985" s="42" t="s">
        <v>1344</v>
      </c>
      <c r="D985" s="43" t="s">
        <v>1341</v>
      </c>
      <c r="E985" s="44"/>
      <c r="F985" s="44">
        <v>570975</v>
      </c>
      <c r="G985" s="44" t="str">
        <f>VLOOKUP(F985,[1]装箱单!$A:$C,3,0)</f>
        <v>棒球</v>
      </c>
      <c r="H985" s="44">
        <v>260</v>
      </c>
      <c r="I985" s="45">
        <f>+L985</f>
        <v>260</v>
      </c>
      <c r="J985" s="45" t="s">
        <v>32</v>
      </c>
      <c r="K985" s="45" t="s">
        <v>33</v>
      </c>
      <c r="L985" s="46">
        <v>260</v>
      </c>
      <c r="M985" s="43">
        <f t="shared" si="101"/>
        <v>4.98585067344</v>
      </c>
      <c r="N985" s="46" t="s">
        <v>34</v>
      </c>
      <c r="O985" s="44"/>
      <c r="P985" s="48"/>
      <c r="Q985" s="8">
        <f>VLOOKUP($F985,[1]装箱单!$A:$E,5,0)</f>
        <v>30.48</v>
      </c>
      <c r="R985" s="8">
        <f>VLOOKUP($F985,[1]装箱单!$A:$F,6,0)</f>
        <v>11.795</v>
      </c>
      <c r="S985" s="8">
        <f>VLOOKUP($F985,[1]装箱单!$A:$G,7,0)</f>
        <v>53.34</v>
      </c>
      <c r="T985" s="10">
        <f>VLOOKUP($F985,[1]装箱单!$A:$J,10,0)</f>
        <v>0.019176348744</v>
      </c>
      <c r="U985" s="11">
        <f t="shared" si="102"/>
        <v>4.98585067344</v>
      </c>
    </row>
    <row r="986" ht="29.1" customHeight="1" spans="1:21">
      <c r="A986" s="40">
        <v>46183</v>
      </c>
      <c r="B986" s="41" t="s">
        <v>1329</v>
      </c>
      <c r="C986" s="42">
        <v>46554</v>
      </c>
      <c r="D986" s="43" t="s">
        <v>1345</v>
      </c>
      <c r="E986" s="44"/>
      <c r="F986" s="44">
        <v>570975</v>
      </c>
      <c r="G986" s="44" t="str">
        <f>VLOOKUP(F986,[1]装箱单!$A:$C,3,0)</f>
        <v>棒球</v>
      </c>
      <c r="H986" s="44">
        <v>3345</v>
      </c>
      <c r="I986" s="45">
        <f>+L986</f>
        <v>3345</v>
      </c>
      <c r="J986" s="45" t="s">
        <v>32</v>
      </c>
      <c r="K986" s="45" t="s">
        <v>33</v>
      </c>
      <c r="L986" s="46">
        <v>3345</v>
      </c>
      <c r="M986" s="43">
        <f t="shared" si="101"/>
        <v>64.14488654868</v>
      </c>
      <c r="N986" s="46" t="s">
        <v>34</v>
      </c>
      <c r="O986" s="44"/>
      <c r="P986" s="48"/>
      <c r="Q986" s="8">
        <f>VLOOKUP($F986,[1]装箱单!$A:$E,5,0)</f>
        <v>30.48</v>
      </c>
      <c r="R986" s="8">
        <f>VLOOKUP($F986,[1]装箱单!$A:$F,6,0)</f>
        <v>11.795</v>
      </c>
      <c r="S986" s="8">
        <f>VLOOKUP($F986,[1]装箱单!$A:$G,7,0)</f>
        <v>53.34</v>
      </c>
      <c r="T986" s="10">
        <f>VLOOKUP($F986,[1]装箱单!$A:$J,10,0)</f>
        <v>0.019176348744</v>
      </c>
      <c r="U986" s="11">
        <f t="shared" si="102"/>
        <v>64.14488654868</v>
      </c>
    </row>
    <row r="987" ht="29.1" customHeight="1" spans="1:21">
      <c r="A987" s="40"/>
      <c r="B987" s="41"/>
      <c r="C987" s="42"/>
      <c r="D987" s="43"/>
      <c r="E987" s="44"/>
      <c r="F987" s="44"/>
      <c r="G987" s="44"/>
      <c r="H987" s="44"/>
      <c r="I987" s="45"/>
      <c r="J987" s="45"/>
      <c r="K987" s="45"/>
      <c r="L987" s="46"/>
      <c r="M987" s="43">
        <f>SUM(M980:M986)</f>
        <v>121.37156462088</v>
      </c>
      <c r="N987" s="46"/>
      <c r="O987" s="44"/>
      <c r="P987" s="51"/>
    </row>
    <row r="988" ht="29.1" customHeight="1" spans="1:21">
      <c r="A988" s="40">
        <v>46184</v>
      </c>
      <c r="B988" s="41" t="s">
        <v>1346</v>
      </c>
      <c r="C988" s="42" t="s">
        <v>1347</v>
      </c>
      <c r="D988" s="43" t="s">
        <v>1348</v>
      </c>
      <c r="E988" s="44"/>
      <c r="F988" s="44">
        <v>671509</v>
      </c>
      <c r="G988" s="44" t="str">
        <f>VLOOKUP(F988,[1]装箱单!$A:$C,3,0)</f>
        <v>绿色铁皮勾车</v>
      </c>
      <c r="H988" s="44">
        <v>750</v>
      </c>
      <c r="I988" s="45">
        <f>+L988*2</f>
        <v>1500</v>
      </c>
      <c r="J988" s="45" t="s">
        <v>32</v>
      </c>
      <c r="K988" s="45" t="s">
        <v>33</v>
      </c>
      <c r="L988" s="46">
        <v>750</v>
      </c>
      <c r="M988" s="43">
        <f t="shared" ref="M988:M1005" si="103">+U988</f>
        <v>26.978939568</v>
      </c>
      <c r="N988" s="46" t="s">
        <v>34</v>
      </c>
      <c r="O988" s="44"/>
      <c r="P988" s="47" t="s">
        <v>1349</v>
      </c>
      <c r="Q988" s="8">
        <f>VLOOKUP($F988,[1]装箱单!$A:$E,5,0)</f>
        <v>40.32</v>
      </c>
      <c r="R988" s="8">
        <f>VLOOKUP($F988,[1]装箱单!$A:$F,6,0)</f>
        <v>37.47</v>
      </c>
      <c r="S988" s="8">
        <f>VLOOKUP($F988,[1]装箱单!$A:$G,7,0)</f>
        <v>23.81</v>
      </c>
      <c r="T988" s="10">
        <f>VLOOKUP($F988,[1]装箱单!$A:$J,10,0)</f>
        <v>0.035971919424</v>
      </c>
      <c r="U988" s="11">
        <f t="shared" ref="U988:U1005" si="104">+T988*L988</f>
        <v>26.978939568</v>
      </c>
    </row>
    <row r="989" ht="29.1" customHeight="1" spans="1:21">
      <c r="A989" s="40">
        <v>46184</v>
      </c>
      <c r="B989" s="41" t="s">
        <v>173</v>
      </c>
      <c r="C989" s="42" t="s">
        <v>1350</v>
      </c>
      <c r="D989" s="43" t="s">
        <v>1351</v>
      </c>
      <c r="E989" s="44"/>
      <c r="F989" s="44">
        <v>571299</v>
      </c>
      <c r="G989" s="44" t="str">
        <f>VLOOKUP(F989,[1]装箱单!$A:$C,3,0)</f>
        <v>自卸车</v>
      </c>
      <c r="H989" s="44">
        <v>1727</v>
      </c>
      <c r="I989" s="45">
        <f>+L989</f>
        <v>1727</v>
      </c>
      <c r="J989" s="45" t="s">
        <v>32</v>
      </c>
      <c r="K989" s="45" t="s">
        <v>33</v>
      </c>
      <c r="L989" s="46">
        <v>1727</v>
      </c>
      <c r="M989" s="43">
        <f t="shared" si="103"/>
        <v>46.276692</v>
      </c>
      <c r="N989" s="46" t="s">
        <v>34</v>
      </c>
      <c r="O989" s="44"/>
      <c r="P989" s="48"/>
      <c r="Q989" s="8">
        <f>VLOOKUP($F989,[1]装箱单!$A:$E,5,0)</f>
        <v>42</v>
      </c>
      <c r="R989" s="8">
        <f>VLOOKUP($F989,[1]装箱单!$A:$F,6,0)</f>
        <v>22</v>
      </c>
      <c r="S989" s="8">
        <f>VLOOKUP($F989,[1]装箱单!$A:$G,7,0)</f>
        <v>29</v>
      </c>
      <c r="T989" s="10">
        <f>VLOOKUP($F989,[1]装箱单!$A:$J,10,0)</f>
        <v>0.026796</v>
      </c>
      <c r="U989" s="11">
        <f t="shared" si="104"/>
        <v>46.276692</v>
      </c>
    </row>
    <row r="990" ht="29.1" customHeight="1" spans="1:21">
      <c r="A990" s="40">
        <v>46184</v>
      </c>
      <c r="B990" s="41" t="s">
        <v>1352</v>
      </c>
      <c r="C990" s="42" t="s">
        <v>1353</v>
      </c>
      <c r="D990" s="43" t="s">
        <v>1354</v>
      </c>
      <c r="E990" s="44"/>
      <c r="F990" s="44">
        <v>571299</v>
      </c>
      <c r="G990" s="44" t="str">
        <f>VLOOKUP(F990,[1]装箱单!$A:$C,3,0)</f>
        <v>自卸车</v>
      </c>
      <c r="H990" s="44">
        <v>200</v>
      </c>
      <c r="I990" s="45">
        <f>+L990</f>
        <v>200</v>
      </c>
      <c r="J990" s="45" t="s">
        <v>32</v>
      </c>
      <c r="K990" s="45" t="s">
        <v>33</v>
      </c>
      <c r="L990" s="46">
        <v>200</v>
      </c>
      <c r="M990" s="43">
        <f t="shared" si="103"/>
        <v>5.3592</v>
      </c>
      <c r="N990" s="46" t="s">
        <v>34</v>
      </c>
      <c r="O990" s="44"/>
      <c r="P990" s="48"/>
      <c r="Q990" s="8">
        <f>VLOOKUP($F990,[1]装箱单!$A:$E,5,0)</f>
        <v>42</v>
      </c>
      <c r="R990" s="8">
        <f>VLOOKUP($F990,[1]装箱单!$A:$F,6,0)</f>
        <v>22</v>
      </c>
      <c r="S990" s="8">
        <f>VLOOKUP($F990,[1]装箱单!$A:$G,7,0)</f>
        <v>29</v>
      </c>
      <c r="T990" s="10">
        <f>VLOOKUP($F990,[1]装箱单!$A:$J,10,0)</f>
        <v>0.026796</v>
      </c>
      <c r="U990" s="11">
        <f t="shared" si="104"/>
        <v>5.3592</v>
      </c>
    </row>
    <row r="991" ht="29.1" customHeight="1" spans="1:21">
      <c r="A991" s="40">
        <v>46184</v>
      </c>
      <c r="B991" s="41" t="s">
        <v>54</v>
      </c>
      <c r="C991" s="42" t="s">
        <v>1355</v>
      </c>
      <c r="D991" s="43" t="s">
        <v>1356</v>
      </c>
      <c r="E991" s="44">
        <v>993056856</v>
      </c>
      <c r="F991" s="44">
        <v>570989</v>
      </c>
      <c r="G991" s="44" t="str">
        <f>VLOOKUP(F991,[1]装箱单!$A:$C,3,0)</f>
        <v>盲盒系列</v>
      </c>
      <c r="H991" s="44">
        <v>93</v>
      </c>
      <c r="I991" s="45">
        <f t="shared" ref="I991:I1000" si="105">+L991*27</f>
        <v>2511</v>
      </c>
      <c r="J991" s="45" t="s">
        <v>32</v>
      </c>
      <c r="K991" s="45" t="s">
        <v>33</v>
      </c>
      <c r="L991" s="46">
        <v>93</v>
      </c>
      <c r="M991" s="43">
        <f t="shared" si="103"/>
        <v>1.03772604954375</v>
      </c>
      <c r="N991" s="46" t="s">
        <v>34</v>
      </c>
      <c r="O991" s="44"/>
      <c r="P991" s="48"/>
      <c r="Q991" s="8">
        <f>VLOOKUP($F991,[1]装箱单!$A:$E,5,0)</f>
        <v>31.115</v>
      </c>
      <c r="R991" s="8">
        <f>VLOOKUP($F991,[1]装箱单!$A:$F,6,0)</f>
        <v>22.59</v>
      </c>
      <c r="S991" s="8">
        <f>VLOOKUP($F991,[1]装箱单!$A:$G,7,0)</f>
        <v>15.875</v>
      </c>
      <c r="T991" s="10">
        <f>VLOOKUP($F991,[1]装箱单!$A:$J,10,0)</f>
        <v>0.01115834461875</v>
      </c>
      <c r="U991" s="11">
        <f t="shared" si="104"/>
        <v>1.03772604954375</v>
      </c>
    </row>
    <row r="992" ht="29.1" customHeight="1" spans="1:21">
      <c r="A992" s="40">
        <v>46184</v>
      </c>
      <c r="B992" s="41" t="s">
        <v>54</v>
      </c>
      <c r="C992" s="42" t="s">
        <v>1357</v>
      </c>
      <c r="D992" s="43" t="s">
        <v>1356</v>
      </c>
      <c r="E992" s="44">
        <v>993056857</v>
      </c>
      <c r="F992" s="44">
        <v>570989</v>
      </c>
      <c r="G992" s="44" t="str">
        <f>VLOOKUP(F992,[1]装箱单!$A:$C,3,0)</f>
        <v>盲盒系列</v>
      </c>
      <c r="H992" s="44">
        <v>20</v>
      </c>
      <c r="I992" s="45">
        <f t="shared" si="105"/>
        <v>540</v>
      </c>
      <c r="J992" s="45" t="s">
        <v>32</v>
      </c>
      <c r="K992" s="45" t="s">
        <v>33</v>
      </c>
      <c r="L992" s="46">
        <v>20</v>
      </c>
      <c r="M992" s="43">
        <f t="shared" si="103"/>
        <v>0.223166892375</v>
      </c>
      <c r="N992" s="46" t="s">
        <v>34</v>
      </c>
      <c r="O992" s="44"/>
      <c r="P992" s="48"/>
      <c r="Q992" s="8">
        <f>VLOOKUP($F992,[1]装箱单!$A:$E,5,0)</f>
        <v>31.115</v>
      </c>
      <c r="R992" s="8">
        <f>VLOOKUP($F992,[1]装箱单!$A:$F,6,0)</f>
        <v>22.59</v>
      </c>
      <c r="S992" s="8">
        <f>VLOOKUP($F992,[1]装箱单!$A:$G,7,0)</f>
        <v>15.875</v>
      </c>
      <c r="T992" s="10">
        <f>VLOOKUP($F992,[1]装箱单!$A:$J,10,0)</f>
        <v>0.01115834461875</v>
      </c>
      <c r="U992" s="11">
        <f t="shared" si="104"/>
        <v>0.223166892375</v>
      </c>
    </row>
    <row r="993" ht="29.1" customHeight="1" spans="1:21">
      <c r="A993" s="40">
        <v>46184</v>
      </c>
      <c r="B993" s="41" t="s">
        <v>54</v>
      </c>
      <c r="C993" s="42" t="s">
        <v>1358</v>
      </c>
      <c r="D993" s="43" t="s">
        <v>1356</v>
      </c>
      <c r="E993" s="44">
        <v>995044942</v>
      </c>
      <c r="F993" s="44">
        <v>570989</v>
      </c>
      <c r="G993" s="44" t="str">
        <f>VLOOKUP(F993,[1]装箱单!$A:$C,3,0)</f>
        <v>盲盒系列</v>
      </c>
      <c r="H993" s="44">
        <v>159</v>
      </c>
      <c r="I993" s="45">
        <f t="shared" si="105"/>
        <v>4293</v>
      </c>
      <c r="J993" s="45" t="s">
        <v>32</v>
      </c>
      <c r="K993" s="45" t="s">
        <v>33</v>
      </c>
      <c r="L993" s="46">
        <v>159</v>
      </c>
      <c r="M993" s="43">
        <f t="shared" si="103"/>
        <v>1.77417679438125</v>
      </c>
      <c r="N993" s="46" t="s">
        <v>34</v>
      </c>
      <c r="O993" s="44"/>
      <c r="P993" s="48"/>
      <c r="Q993" s="8">
        <f>VLOOKUP($F993,[1]装箱单!$A:$E,5,0)</f>
        <v>31.115</v>
      </c>
      <c r="R993" s="8">
        <f>VLOOKUP($F993,[1]装箱单!$A:$F,6,0)</f>
        <v>22.59</v>
      </c>
      <c r="S993" s="8">
        <f>VLOOKUP($F993,[1]装箱单!$A:$G,7,0)</f>
        <v>15.875</v>
      </c>
      <c r="T993" s="10">
        <f>VLOOKUP($F993,[1]装箱单!$A:$J,10,0)</f>
        <v>0.01115834461875</v>
      </c>
      <c r="U993" s="11">
        <f t="shared" si="104"/>
        <v>1.77417679438125</v>
      </c>
    </row>
    <row r="994" ht="29.1" customHeight="1" spans="1:21">
      <c r="A994" s="40">
        <v>46184</v>
      </c>
      <c r="B994" s="41" t="s">
        <v>54</v>
      </c>
      <c r="C994" s="42" t="s">
        <v>1359</v>
      </c>
      <c r="D994" s="43" t="s">
        <v>1356</v>
      </c>
      <c r="E994" s="44">
        <v>995044943</v>
      </c>
      <c r="F994" s="44">
        <v>570989</v>
      </c>
      <c r="G994" s="44" t="str">
        <f>VLOOKUP(F994,[1]装箱单!$A:$C,3,0)</f>
        <v>盲盒系列</v>
      </c>
      <c r="H994" s="44">
        <v>229</v>
      </c>
      <c r="I994" s="45">
        <f t="shared" si="105"/>
        <v>6183</v>
      </c>
      <c r="J994" s="45" t="s">
        <v>32</v>
      </c>
      <c r="K994" s="45" t="s">
        <v>33</v>
      </c>
      <c r="L994" s="46">
        <v>229</v>
      </c>
      <c r="M994" s="43">
        <f t="shared" si="103"/>
        <v>2.55526091769375</v>
      </c>
      <c r="N994" s="46" t="s">
        <v>34</v>
      </c>
      <c r="O994" s="44"/>
      <c r="P994" s="48"/>
      <c r="Q994" s="8">
        <f>VLOOKUP($F994,[1]装箱单!$A:$E,5,0)</f>
        <v>31.115</v>
      </c>
      <c r="R994" s="8">
        <f>VLOOKUP($F994,[1]装箱单!$A:$F,6,0)</f>
        <v>22.59</v>
      </c>
      <c r="S994" s="8">
        <f>VLOOKUP($F994,[1]装箱单!$A:$G,7,0)</f>
        <v>15.875</v>
      </c>
      <c r="T994" s="10">
        <f>VLOOKUP($F994,[1]装箱单!$A:$J,10,0)</f>
        <v>0.01115834461875</v>
      </c>
      <c r="U994" s="11">
        <f t="shared" si="104"/>
        <v>2.55526091769375</v>
      </c>
    </row>
    <row r="995" ht="29.1" customHeight="1" spans="1:21">
      <c r="A995" s="40">
        <v>46184</v>
      </c>
      <c r="B995" s="41" t="s">
        <v>54</v>
      </c>
      <c r="C995" s="42" t="s">
        <v>1360</v>
      </c>
      <c r="D995" s="43" t="s">
        <v>1356</v>
      </c>
      <c r="E995" s="44">
        <v>995044945</v>
      </c>
      <c r="F995" s="44">
        <v>570989</v>
      </c>
      <c r="G995" s="44" t="str">
        <f>VLOOKUP(F995,[1]装箱单!$A:$C,3,0)</f>
        <v>盲盒系列</v>
      </c>
      <c r="H995" s="44">
        <v>204</v>
      </c>
      <c r="I995" s="45">
        <f t="shared" si="105"/>
        <v>5508</v>
      </c>
      <c r="J995" s="45" t="s">
        <v>32</v>
      </c>
      <c r="K995" s="45" t="s">
        <v>33</v>
      </c>
      <c r="L995" s="46">
        <v>204</v>
      </c>
      <c r="M995" s="43">
        <f t="shared" si="103"/>
        <v>2.276302302225</v>
      </c>
      <c r="N995" s="46" t="s">
        <v>34</v>
      </c>
      <c r="O995" s="44"/>
      <c r="P995" s="48"/>
      <c r="Q995" s="8">
        <f>VLOOKUP($F995,[1]装箱单!$A:$E,5,0)</f>
        <v>31.115</v>
      </c>
      <c r="R995" s="8">
        <f>VLOOKUP($F995,[1]装箱单!$A:$F,6,0)</f>
        <v>22.59</v>
      </c>
      <c r="S995" s="8">
        <f>VLOOKUP($F995,[1]装箱单!$A:$G,7,0)</f>
        <v>15.875</v>
      </c>
      <c r="T995" s="10">
        <f>VLOOKUP($F995,[1]装箱单!$A:$J,10,0)</f>
        <v>0.01115834461875</v>
      </c>
      <c r="U995" s="11">
        <f t="shared" si="104"/>
        <v>2.276302302225</v>
      </c>
    </row>
    <row r="996" ht="29.1" customHeight="1" spans="1:21">
      <c r="A996" s="40">
        <v>46184</v>
      </c>
      <c r="B996" s="41" t="s">
        <v>54</v>
      </c>
      <c r="C996" s="42" t="s">
        <v>1361</v>
      </c>
      <c r="D996" s="43" t="s">
        <v>1356</v>
      </c>
      <c r="E996" s="44">
        <v>995044950</v>
      </c>
      <c r="F996" s="44">
        <v>570989</v>
      </c>
      <c r="G996" s="44" t="str">
        <f>VLOOKUP(F996,[1]装箱单!$A:$C,3,0)</f>
        <v>盲盒系列</v>
      </c>
      <c r="H996" s="44">
        <v>418</v>
      </c>
      <c r="I996" s="45">
        <f t="shared" si="105"/>
        <v>11286</v>
      </c>
      <c r="J996" s="45" t="s">
        <v>32</v>
      </c>
      <c r="K996" s="45" t="s">
        <v>33</v>
      </c>
      <c r="L996" s="46">
        <v>418</v>
      </c>
      <c r="M996" s="43">
        <f t="shared" si="103"/>
        <v>4.6641880506375</v>
      </c>
      <c r="N996" s="46" t="s">
        <v>34</v>
      </c>
      <c r="O996" s="44"/>
      <c r="P996" s="48"/>
      <c r="Q996" s="8">
        <f>VLOOKUP($F996,[1]装箱单!$A:$E,5,0)</f>
        <v>31.115</v>
      </c>
      <c r="R996" s="8">
        <f>VLOOKUP($F996,[1]装箱单!$A:$F,6,0)</f>
        <v>22.59</v>
      </c>
      <c r="S996" s="8">
        <f>VLOOKUP($F996,[1]装箱单!$A:$G,7,0)</f>
        <v>15.875</v>
      </c>
      <c r="T996" s="10">
        <f>VLOOKUP($F996,[1]装箱单!$A:$J,10,0)</f>
        <v>0.01115834461875</v>
      </c>
      <c r="U996" s="11">
        <f t="shared" si="104"/>
        <v>4.6641880506375</v>
      </c>
    </row>
    <row r="997" ht="29.1" customHeight="1" spans="1:21">
      <c r="A997" s="40">
        <v>46184</v>
      </c>
      <c r="B997" s="41" t="s">
        <v>54</v>
      </c>
      <c r="C997" s="42" t="s">
        <v>1362</v>
      </c>
      <c r="D997" s="43" t="s">
        <v>1356</v>
      </c>
      <c r="E997" s="44">
        <v>995044956</v>
      </c>
      <c r="F997" s="44">
        <v>570989</v>
      </c>
      <c r="G997" s="44" t="str">
        <f>VLOOKUP(F997,[1]装箱单!$A:$C,3,0)</f>
        <v>盲盒系列</v>
      </c>
      <c r="H997" s="44">
        <v>45</v>
      </c>
      <c r="I997" s="45">
        <f t="shared" si="105"/>
        <v>1215</v>
      </c>
      <c r="J997" s="45" t="s">
        <v>32</v>
      </c>
      <c r="K997" s="45" t="s">
        <v>33</v>
      </c>
      <c r="L997" s="46">
        <v>45</v>
      </c>
      <c r="M997" s="43">
        <f t="shared" si="103"/>
        <v>0.50212550784375</v>
      </c>
      <c r="N997" s="46" t="s">
        <v>34</v>
      </c>
      <c r="O997" s="44"/>
      <c r="P997" s="48"/>
      <c r="Q997" s="8">
        <f>VLOOKUP($F997,[1]装箱单!$A:$E,5,0)</f>
        <v>31.115</v>
      </c>
      <c r="R997" s="8">
        <f>VLOOKUP($F997,[1]装箱单!$A:$F,6,0)</f>
        <v>22.59</v>
      </c>
      <c r="S997" s="8">
        <f>VLOOKUP($F997,[1]装箱单!$A:$G,7,0)</f>
        <v>15.875</v>
      </c>
      <c r="T997" s="10">
        <f>VLOOKUP($F997,[1]装箱单!$A:$J,10,0)</f>
        <v>0.01115834461875</v>
      </c>
      <c r="U997" s="11">
        <f t="shared" si="104"/>
        <v>0.50212550784375</v>
      </c>
    </row>
    <row r="998" ht="29.1" customHeight="1" spans="1:21">
      <c r="A998" s="40">
        <v>46184</v>
      </c>
      <c r="B998" s="41" t="s">
        <v>54</v>
      </c>
      <c r="C998" s="42" t="s">
        <v>1363</v>
      </c>
      <c r="D998" s="43" t="s">
        <v>1356</v>
      </c>
      <c r="E998" s="44">
        <v>995044958</v>
      </c>
      <c r="F998" s="44">
        <v>570989</v>
      </c>
      <c r="G998" s="44" t="str">
        <f>VLOOKUP(F998,[1]装箱单!$A:$C,3,0)</f>
        <v>盲盒系列</v>
      </c>
      <c r="H998" s="44">
        <v>352</v>
      </c>
      <c r="I998" s="45">
        <f t="shared" si="105"/>
        <v>9504</v>
      </c>
      <c r="J998" s="45" t="s">
        <v>32</v>
      </c>
      <c r="K998" s="45" t="s">
        <v>33</v>
      </c>
      <c r="L998" s="46">
        <v>352</v>
      </c>
      <c r="M998" s="43">
        <f t="shared" si="103"/>
        <v>3.9277373058</v>
      </c>
      <c r="N998" s="46" t="s">
        <v>34</v>
      </c>
      <c r="O998" s="44"/>
      <c r="P998" s="48"/>
      <c r="Q998" s="8">
        <f>VLOOKUP($F998,[1]装箱单!$A:$E,5,0)</f>
        <v>31.115</v>
      </c>
      <c r="R998" s="8">
        <f>VLOOKUP($F998,[1]装箱单!$A:$F,6,0)</f>
        <v>22.59</v>
      </c>
      <c r="S998" s="8">
        <f>VLOOKUP($F998,[1]装箱单!$A:$G,7,0)</f>
        <v>15.875</v>
      </c>
      <c r="T998" s="10">
        <f>VLOOKUP($F998,[1]装箱单!$A:$J,10,0)</f>
        <v>0.01115834461875</v>
      </c>
      <c r="U998" s="11">
        <f t="shared" si="104"/>
        <v>3.9277373058</v>
      </c>
    </row>
    <row r="999" ht="29.1" customHeight="1" spans="1:21">
      <c r="A999" s="40">
        <v>46184</v>
      </c>
      <c r="B999" s="41" t="s">
        <v>54</v>
      </c>
      <c r="C999" s="42" t="s">
        <v>1364</v>
      </c>
      <c r="D999" s="43" t="s">
        <v>1356</v>
      </c>
      <c r="E999" s="44">
        <v>995044965</v>
      </c>
      <c r="F999" s="44">
        <v>570989</v>
      </c>
      <c r="G999" s="44" t="str">
        <f>VLOOKUP(F999,[1]装箱单!$A:$C,3,0)</f>
        <v>盲盒系列</v>
      </c>
      <c r="H999" s="44">
        <v>240</v>
      </c>
      <c r="I999" s="45">
        <f t="shared" si="105"/>
        <v>6480</v>
      </c>
      <c r="J999" s="45" t="s">
        <v>32</v>
      </c>
      <c r="K999" s="45" t="s">
        <v>33</v>
      </c>
      <c r="L999" s="46">
        <v>240</v>
      </c>
      <c r="M999" s="43">
        <f t="shared" si="103"/>
        <v>2.6780027085</v>
      </c>
      <c r="N999" s="46" t="s">
        <v>34</v>
      </c>
      <c r="O999" s="44"/>
      <c r="P999" s="48"/>
      <c r="Q999" s="8">
        <f>VLOOKUP($F999,[1]装箱单!$A:$E,5,0)</f>
        <v>31.115</v>
      </c>
      <c r="R999" s="8">
        <f>VLOOKUP($F999,[1]装箱单!$A:$F,6,0)</f>
        <v>22.59</v>
      </c>
      <c r="S999" s="8">
        <f>VLOOKUP($F999,[1]装箱单!$A:$G,7,0)</f>
        <v>15.875</v>
      </c>
      <c r="T999" s="10">
        <f>VLOOKUP($F999,[1]装箱单!$A:$J,10,0)</f>
        <v>0.01115834461875</v>
      </c>
      <c r="U999" s="11">
        <f t="shared" si="104"/>
        <v>2.6780027085</v>
      </c>
    </row>
    <row r="1000" ht="29.1" customHeight="1" spans="1:21">
      <c r="A1000" s="40">
        <v>46184</v>
      </c>
      <c r="B1000" s="41" t="s">
        <v>54</v>
      </c>
      <c r="C1000" s="42" t="s">
        <v>1365</v>
      </c>
      <c r="D1000" s="43" t="s">
        <v>1366</v>
      </c>
      <c r="E1000" s="44">
        <v>996501376</v>
      </c>
      <c r="F1000" s="44">
        <v>570989</v>
      </c>
      <c r="G1000" s="44" t="str">
        <f>VLOOKUP(F1000,[1]装箱单!$A:$C,3,0)</f>
        <v>盲盒系列</v>
      </c>
      <c r="H1000" s="44">
        <v>240</v>
      </c>
      <c r="I1000" s="45">
        <f t="shared" si="105"/>
        <v>6480</v>
      </c>
      <c r="J1000" s="45" t="s">
        <v>32</v>
      </c>
      <c r="K1000" s="45" t="s">
        <v>33</v>
      </c>
      <c r="L1000" s="46">
        <v>240</v>
      </c>
      <c r="M1000" s="43">
        <f t="shared" si="103"/>
        <v>2.6780027085</v>
      </c>
      <c r="N1000" s="46" t="s">
        <v>34</v>
      </c>
      <c r="O1000" s="44"/>
      <c r="P1000" s="48"/>
      <c r="Q1000" s="8">
        <f>VLOOKUP($F1000,[1]装箱单!$A:$E,5,0)</f>
        <v>31.115</v>
      </c>
      <c r="R1000" s="8">
        <f>VLOOKUP($F1000,[1]装箱单!$A:$F,6,0)</f>
        <v>22.59</v>
      </c>
      <c r="S1000" s="8">
        <f>VLOOKUP($F1000,[1]装箱单!$A:$G,7,0)</f>
        <v>15.875</v>
      </c>
      <c r="T1000" s="10">
        <f>VLOOKUP($F1000,[1]装箱单!$A:$J,10,0)</f>
        <v>0.01115834461875</v>
      </c>
      <c r="U1000" s="11">
        <f t="shared" si="104"/>
        <v>2.6780027085</v>
      </c>
    </row>
    <row r="1001" ht="29.1" customHeight="1" spans="1:21">
      <c r="A1001" s="40">
        <v>46184</v>
      </c>
      <c r="B1001" s="41" t="s">
        <v>412</v>
      </c>
      <c r="C1001" s="42" t="s">
        <v>1367</v>
      </c>
      <c r="D1001" s="43" t="s">
        <v>1341</v>
      </c>
      <c r="E1001" s="44"/>
      <c r="F1001" s="44">
        <v>570975</v>
      </c>
      <c r="G1001" s="44" t="str">
        <f>VLOOKUP(F1001,[1]装箱单!$A:$C,3,0)</f>
        <v>棒球</v>
      </c>
      <c r="H1001" s="44">
        <v>225</v>
      </c>
      <c r="I1001" s="45">
        <f>+L1001</f>
        <v>225</v>
      </c>
      <c r="J1001" s="45" t="s">
        <v>32</v>
      </c>
      <c r="K1001" s="45" t="s">
        <v>33</v>
      </c>
      <c r="L1001" s="46">
        <v>225</v>
      </c>
      <c r="M1001" s="43">
        <f t="shared" si="103"/>
        <v>4.3146784674</v>
      </c>
      <c r="N1001" s="46" t="s">
        <v>34</v>
      </c>
      <c r="O1001" s="44"/>
      <c r="P1001" s="48"/>
      <c r="Q1001" s="8">
        <f>VLOOKUP($F1001,[1]装箱单!$A:$E,5,0)</f>
        <v>30.48</v>
      </c>
      <c r="R1001" s="8">
        <f>VLOOKUP($F1001,[1]装箱单!$A:$F,6,0)</f>
        <v>11.795</v>
      </c>
      <c r="S1001" s="8">
        <f>VLOOKUP($F1001,[1]装箱单!$A:$G,7,0)</f>
        <v>53.34</v>
      </c>
      <c r="T1001" s="10">
        <f>VLOOKUP($F1001,[1]装箱单!$A:$J,10,0)</f>
        <v>0.019176348744</v>
      </c>
      <c r="U1001" s="11">
        <f t="shared" si="104"/>
        <v>4.3146784674</v>
      </c>
    </row>
    <row r="1002" ht="29.1" customHeight="1" spans="1:21">
      <c r="A1002" s="40">
        <v>46184</v>
      </c>
      <c r="B1002" s="41" t="s">
        <v>412</v>
      </c>
      <c r="C1002" s="42" t="s">
        <v>1368</v>
      </c>
      <c r="D1002" s="43" t="s">
        <v>1341</v>
      </c>
      <c r="E1002" s="44"/>
      <c r="F1002" s="44">
        <v>570975</v>
      </c>
      <c r="G1002" s="44" t="str">
        <f>VLOOKUP(F1002,[1]装箱单!$A:$C,3,0)</f>
        <v>棒球</v>
      </c>
      <c r="H1002" s="44">
        <v>705</v>
      </c>
      <c r="I1002" s="45">
        <f>+L1002</f>
        <v>705</v>
      </c>
      <c r="J1002" s="45" t="s">
        <v>32</v>
      </c>
      <c r="K1002" s="45" t="s">
        <v>33</v>
      </c>
      <c r="L1002" s="46">
        <v>705</v>
      </c>
      <c r="M1002" s="43">
        <f t="shared" si="103"/>
        <v>13.51932586452</v>
      </c>
      <c r="N1002" s="46" t="s">
        <v>34</v>
      </c>
      <c r="O1002" s="44"/>
      <c r="P1002" s="48"/>
      <c r="Q1002" s="8">
        <f>VLOOKUP($F1002,[1]装箱单!$A:$E,5,0)</f>
        <v>30.48</v>
      </c>
      <c r="R1002" s="8">
        <f>VLOOKUP($F1002,[1]装箱单!$A:$F,6,0)</f>
        <v>11.795</v>
      </c>
      <c r="S1002" s="8">
        <f>VLOOKUP($F1002,[1]装箱单!$A:$G,7,0)</f>
        <v>53.34</v>
      </c>
      <c r="T1002" s="10">
        <f>VLOOKUP($F1002,[1]装箱单!$A:$J,10,0)</f>
        <v>0.019176348744</v>
      </c>
      <c r="U1002" s="11">
        <f t="shared" si="104"/>
        <v>13.51932586452</v>
      </c>
    </row>
    <row r="1003" ht="29.1" customHeight="1" spans="1:21">
      <c r="A1003" s="40">
        <v>46184</v>
      </c>
      <c r="B1003" s="41" t="s">
        <v>412</v>
      </c>
      <c r="C1003" s="42" t="s">
        <v>1369</v>
      </c>
      <c r="D1003" s="43" t="s">
        <v>1341</v>
      </c>
      <c r="E1003" s="44"/>
      <c r="F1003" s="44">
        <v>570975</v>
      </c>
      <c r="G1003" s="44" t="str">
        <f>VLOOKUP(F1003,[1]装箱单!$A:$C,3,0)</f>
        <v>棒球</v>
      </c>
      <c r="H1003" s="44">
        <v>850</v>
      </c>
      <c r="I1003" s="45">
        <f>+L1003</f>
        <v>850</v>
      </c>
      <c r="J1003" s="45" t="s">
        <v>32</v>
      </c>
      <c r="K1003" s="45" t="s">
        <v>33</v>
      </c>
      <c r="L1003" s="46">
        <v>850</v>
      </c>
      <c r="M1003" s="43">
        <f t="shared" si="103"/>
        <v>16.2998964324</v>
      </c>
      <c r="N1003" s="46" t="s">
        <v>34</v>
      </c>
      <c r="O1003" s="44"/>
      <c r="P1003" s="48"/>
      <c r="Q1003" s="8">
        <f>VLOOKUP($F1003,[1]装箱单!$A:$E,5,0)</f>
        <v>30.48</v>
      </c>
      <c r="R1003" s="8">
        <f>VLOOKUP($F1003,[1]装箱单!$A:$F,6,0)</f>
        <v>11.795</v>
      </c>
      <c r="S1003" s="8">
        <f>VLOOKUP($F1003,[1]装箱单!$A:$G,7,0)</f>
        <v>53.34</v>
      </c>
      <c r="T1003" s="10">
        <f>VLOOKUP($F1003,[1]装箱单!$A:$J,10,0)</f>
        <v>0.019176348744</v>
      </c>
      <c r="U1003" s="11">
        <f t="shared" si="104"/>
        <v>16.2998964324</v>
      </c>
    </row>
    <row r="1004" ht="29.1" customHeight="1" spans="1:21">
      <c r="A1004" s="40">
        <v>46184</v>
      </c>
      <c r="B1004" s="41" t="s">
        <v>412</v>
      </c>
      <c r="C1004" s="42" t="s">
        <v>1370</v>
      </c>
      <c r="D1004" s="43" t="s">
        <v>1341</v>
      </c>
      <c r="E1004" s="44"/>
      <c r="F1004" s="44">
        <v>570975</v>
      </c>
      <c r="G1004" s="44" t="str">
        <f>VLOOKUP(F1004,[1]装箱单!$A:$C,3,0)</f>
        <v>棒球</v>
      </c>
      <c r="H1004" s="44">
        <v>609</v>
      </c>
      <c r="I1004" s="45">
        <f>+L1004</f>
        <v>609</v>
      </c>
      <c r="J1004" s="45" t="s">
        <v>32</v>
      </c>
      <c r="K1004" s="45" t="s">
        <v>33</v>
      </c>
      <c r="L1004" s="46">
        <v>609</v>
      </c>
      <c r="M1004" s="43">
        <f t="shared" si="103"/>
        <v>11.678396385096</v>
      </c>
      <c r="N1004" s="46" t="s">
        <v>34</v>
      </c>
      <c r="O1004" s="44"/>
      <c r="P1004" s="48"/>
      <c r="Q1004" s="8">
        <f>VLOOKUP($F1004,[1]装箱单!$A:$E,5,0)</f>
        <v>30.48</v>
      </c>
      <c r="R1004" s="8">
        <f>VLOOKUP($F1004,[1]装箱单!$A:$F,6,0)</f>
        <v>11.795</v>
      </c>
      <c r="S1004" s="8">
        <f>VLOOKUP($F1004,[1]装箱单!$A:$G,7,0)</f>
        <v>53.34</v>
      </c>
      <c r="T1004" s="10">
        <f>VLOOKUP($F1004,[1]装箱单!$A:$J,10,0)</f>
        <v>0.019176348744</v>
      </c>
      <c r="U1004" s="11">
        <f t="shared" si="104"/>
        <v>11.678396385096</v>
      </c>
    </row>
    <row r="1005" ht="29.1" customHeight="1" spans="1:21">
      <c r="A1005" s="40">
        <v>46184</v>
      </c>
      <c r="B1005" s="41" t="s">
        <v>415</v>
      </c>
      <c r="C1005" s="42" t="s">
        <v>1337</v>
      </c>
      <c r="D1005" s="43" t="s">
        <v>1338</v>
      </c>
      <c r="E1005" s="44"/>
      <c r="F1005" s="44">
        <v>470764</v>
      </c>
      <c r="G1005" s="44" t="str">
        <f>VLOOKUP(F1005,[1]装箱单!$A:$C,3,0)</f>
        <v>大型自卸车</v>
      </c>
      <c r="H1005" s="44">
        <v>3506</v>
      </c>
      <c r="I1005" s="45">
        <f>+L1005</f>
        <v>92</v>
      </c>
      <c r="J1005" s="45" t="s">
        <v>32</v>
      </c>
      <c r="K1005" s="45" t="s">
        <v>33</v>
      </c>
      <c r="L1005" s="46">
        <v>92</v>
      </c>
      <c r="M1005" s="43">
        <f t="shared" si="103"/>
        <v>2.465232</v>
      </c>
      <c r="N1005" s="46" t="s">
        <v>34</v>
      </c>
      <c r="O1005" s="44"/>
      <c r="P1005" s="48"/>
      <c r="Q1005" s="8">
        <f>VLOOKUP($F1005,[1]装箱单!$A:$E,5,0)</f>
        <v>42</v>
      </c>
      <c r="R1005" s="8">
        <f>VLOOKUP($F1005,[1]装箱单!$A:$F,6,0)</f>
        <v>22</v>
      </c>
      <c r="S1005" s="8">
        <f>VLOOKUP($F1005,[1]装箱单!$A:$G,7,0)</f>
        <v>29</v>
      </c>
      <c r="T1005" s="10">
        <f>VLOOKUP($F1005,[1]装箱单!$A:$J,10,0)</f>
        <v>0.026796</v>
      </c>
      <c r="U1005" s="11">
        <f t="shared" si="104"/>
        <v>2.465232</v>
      </c>
    </row>
    <row r="1006" ht="29.1" customHeight="1" spans="1:21">
      <c r="A1006" s="40"/>
      <c r="B1006" s="41"/>
      <c r="C1006" s="42"/>
      <c r="D1006" s="43"/>
      <c r="E1006" s="44"/>
      <c r="F1006" s="44"/>
      <c r="G1006" s="44"/>
      <c r="H1006" s="49"/>
      <c r="I1006" s="45"/>
      <c r="J1006" s="45"/>
      <c r="K1006" s="45"/>
      <c r="L1006" s="46"/>
      <c r="M1006" s="43">
        <f>SUM(M988:M1005)</f>
        <v>149.209049954916</v>
      </c>
      <c r="N1006" s="46"/>
      <c r="O1006" s="49"/>
      <c r="P1006" s="51"/>
    </row>
    <row r="1007" ht="29.1" customHeight="1" spans="1:21">
      <c r="A1007" s="40">
        <v>46186</v>
      </c>
      <c r="B1007" s="41" t="s">
        <v>99</v>
      </c>
      <c r="C1007" s="42" t="s">
        <v>1371</v>
      </c>
      <c r="D1007" s="43" t="s">
        <v>1372</v>
      </c>
      <c r="E1007" s="44" t="s">
        <v>945</v>
      </c>
      <c r="F1007" s="44">
        <v>33807</v>
      </c>
      <c r="G1007" s="44" t="str">
        <f>VLOOKUP(F1007,[2]装箱单!$A:$C,3,0)</f>
        <v>搪胶小鸭</v>
      </c>
      <c r="H1007" s="44">
        <v>43</v>
      </c>
      <c r="I1007" s="45">
        <v>4128</v>
      </c>
      <c r="J1007" s="45" t="s">
        <v>32</v>
      </c>
      <c r="K1007" s="45" t="s">
        <v>33</v>
      </c>
      <c r="L1007" s="46">
        <v>43</v>
      </c>
      <c r="M1007" s="43">
        <f t="shared" ref="M1007:M1022" si="106">+U1007</f>
        <v>0.95463225</v>
      </c>
      <c r="N1007" s="46" t="s">
        <v>57</v>
      </c>
      <c r="O1007" s="44"/>
      <c r="P1007" s="47" t="s">
        <v>766</v>
      </c>
      <c r="Q1007" s="8">
        <f>VLOOKUP($F1007,[2]装箱单!$A:$E,5,0)</f>
        <v>32.5</v>
      </c>
      <c r="R1007" s="8">
        <f>VLOOKUP($F1007,[2]装箱单!$A:$F,6,0)</f>
        <v>20.7</v>
      </c>
      <c r="S1007" s="8">
        <f>VLOOKUP($F1007,[2]装箱单!$A:$G,7,0)</f>
        <v>33</v>
      </c>
      <c r="T1007" s="10">
        <f>VLOOKUP($F1007,[2]装箱单!$A:$J,10,0)</f>
        <v>0.02220075</v>
      </c>
      <c r="U1007" s="11">
        <f t="shared" ref="U1007:U1022" si="107">+T1007*L1007</f>
        <v>0.95463225</v>
      </c>
    </row>
    <row r="1008" ht="29.1" customHeight="1" spans="1:21">
      <c r="A1008" s="40">
        <v>46186</v>
      </c>
      <c r="B1008" s="41" t="s">
        <v>99</v>
      </c>
      <c r="C1008" s="42" t="s">
        <v>1371</v>
      </c>
      <c r="D1008" s="43" t="s">
        <v>1372</v>
      </c>
      <c r="E1008" s="44" t="s">
        <v>945</v>
      </c>
      <c r="F1008" s="44">
        <v>33808</v>
      </c>
      <c r="G1008" s="44" t="str">
        <f>VLOOKUP(F1008,[2]装箱单!$A:$C,3,0)</f>
        <v>搪胶小鸭</v>
      </c>
      <c r="H1008" s="44">
        <v>157</v>
      </c>
      <c r="I1008" s="45">
        <v>15072</v>
      </c>
      <c r="J1008" s="45" t="s">
        <v>32</v>
      </c>
      <c r="K1008" s="45" t="s">
        <v>33</v>
      </c>
      <c r="L1008" s="46">
        <v>157</v>
      </c>
      <c r="M1008" s="43">
        <f t="shared" si="106"/>
        <v>3.48551775</v>
      </c>
      <c r="N1008" s="46" t="s">
        <v>57</v>
      </c>
      <c r="O1008" s="44"/>
      <c r="P1008" s="48"/>
      <c r="Q1008" s="8">
        <f>VLOOKUP($F1008,[2]装箱单!$A:$E,5,0)</f>
        <v>32.5</v>
      </c>
      <c r="R1008" s="8">
        <f>VLOOKUP($F1008,[2]装箱单!$A:$F,6,0)</f>
        <v>20.7</v>
      </c>
      <c r="S1008" s="8">
        <f>VLOOKUP($F1008,[2]装箱单!$A:$G,7,0)</f>
        <v>33</v>
      </c>
      <c r="T1008" s="10">
        <f>VLOOKUP($F1008,[2]装箱单!$A:$J,10,0)</f>
        <v>0.02220075</v>
      </c>
      <c r="U1008" s="11">
        <f t="shared" si="107"/>
        <v>3.48551775</v>
      </c>
    </row>
    <row r="1009" ht="29.1" customHeight="1" spans="1:21">
      <c r="A1009" s="40">
        <v>46186</v>
      </c>
      <c r="B1009" s="41" t="s">
        <v>99</v>
      </c>
      <c r="C1009" s="42" t="s">
        <v>1371</v>
      </c>
      <c r="D1009" s="43" t="s">
        <v>1372</v>
      </c>
      <c r="E1009" s="44" t="s">
        <v>945</v>
      </c>
      <c r="F1009" s="44">
        <v>33812</v>
      </c>
      <c r="G1009" s="44" t="str">
        <f>VLOOKUP(F1009,[2]装箱单!$A:$C,3,0)</f>
        <v>搪胶小鸭</v>
      </c>
      <c r="H1009" s="44">
        <v>233</v>
      </c>
      <c r="I1009" s="45">
        <v>13980</v>
      </c>
      <c r="J1009" s="45" t="s">
        <v>32</v>
      </c>
      <c r="K1009" s="45" t="s">
        <v>33</v>
      </c>
      <c r="L1009" s="46">
        <v>233</v>
      </c>
      <c r="M1009" s="43">
        <f t="shared" si="106"/>
        <v>3.545428656</v>
      </c>
      <c r="N1009" s="46" t="s">
        <v>57</v>
      </c>
      <c r="O1009" s="44"/>
      <c r="P1009" s="48"/>
      <c r="Q1009" s="8">
        <f>VLOOKUP($F1009,[2]装箱单!$A:$E,5,0)</f>
        <v>32.2</v>
      </c>
      <c r="R1009" s="8">
        <f>VLOOKUP($F1009,[2]装箱单!$A:$F,6,0)</f>
        <v>26.4</v>
      </c>
      <c r="S1009" s="8">
        <f>VLOOKUP($F1009,[2]装箱单!$A:$G,7,0)</f>
        <v>17.9</v>
      </c>
      <c r="T1009" s="10">
        <f>VLOOKUP($F1009,[2]装箱单!$A:$J,10,0)</f>
        <v>0.015216432</v>
      </c>
      <c r="U1009" s="11">
        <f t="shared" si="107"/>
        <v>3.545428656</v>
      </c>
    </row>
    <row r="1010" ht="29.1" customHeight="1" spans="1:21">
      <c r="A1010" s="40">
        <v>46186</v>
      </c>
      <c r="B1010" s="41" t="s">
        <v>99</v>
      </c>
      <c r="C1010" s="42" t="s">
        <v>1371</v>
      </c>
      <c r="D1010" s="43" t="s">
        <v>1372</v>
      </c>
      <c r="E1010" s="44" t="s">
        <v>945</v>
      </c>
      <c r="F1010" s="44">
        <v>33813</v>
      </c>
      <c r="G1010" s="44" t="str">
        <f>VLOOKUP(F1010,[2]装箱单!$A:$C,3,0)</f>
        <v>搪胶小鸭</v>
      </c>
      <c r="H1010" s="44">
        <v>43</v>
      </c>
      <c r="I1010" s="45">
        <v>3612</v>
      </c>
      <c r="J1010" s="45" t="s">
        <v>32</v>
      </c>
      <c r="K1010" s="45" t="s">
        <v>33</v>
      </c>
      <c r="L1010" s="46">
        <v>43</v>
      </c>
      <c r="M1010" s="43">
        <f t="shared" si="106"/>
        <v>0.816424832</v>
      </c>
      <c r="N1010" s="46" t="s">
        <v>57</v>
      </c>
      <c r="O1010" s="44"/>
      <c r="P1010" s="48"/>
      <c r="Q1010" s="8">
        <f>VLOOKUP($F1010,[2]装箱单!$A:$E,5,0)</f>
        <v>29.6</v>
      </c>
      <c r="R1010" s="8">
        <f>VLOOKUP($F1010,[2]装箱单!$A:$F,6,0)</f>
        <v>21.1</v>
      </c>
      <c r="S1010" s="8">
        <f>VLOOKUP($F1010,[2]装箱单!$A:$G,7,0)</f>
        <v>30.4</v>
      </c>
      <c r="T1010" s="10">
        <f>VLOOKUP($F1010,[2]装箱单!$A:$J,10,0)</f>
        <v>0.018986624</v>
      </c>
      <c r="U1010" s="11">
        <f t="shared" si="107"/>
        <v>0.816424832</v>
      </c>
    </row>
    <row r="1011" ht="29.1" customHeight="1" spans="1:21">
      <c r="A1011" s="40">
        <v>46186</v>
      </c>
      <c r="B1011" s="41" t="s">
        <v>1373</v>
      </c>
      <c r="C1011" s="42" t="s">
        <v>1374</v>
      </c>
      <c r="D1011" s="43" t="s">
        <v>1375</v>
      </c>
      <c r="E1011" s="44">
        <v>2592516</v>
      </c>
      <c r="F1011" s="44">
        <v>46092</v>
      </c>
      <c r="G1011" s="44" t="str">
        <f>VLOOKUP(F1011,[2]装箱单!$A:$C,3,0)</f>
        <v>玩具总动员系列</v>
      </c>
      <c r="H1011" s="44">
        <v>2450</v>
      </c>
      <c r="I1011" s="45">
        <v>4900</v>
      </c>
      <c r="J1011" s="45" t="s">
        <v>47</v>
      </c>
      <c r="K1011" s="45" t="s">
        <v>33</v>
      </c>
      <c r="L1011" s="46">
        <v>2450</v>
      </c>
      <c r="M1011" s="43">
        <f t="shared" si="106"/>
        <v>54.7960091784</v>
      </c>
      <c r="N1011" s="46" t="s">
        <v>57</v>
      </c>
      <c r="O1011" s="44"/>
      <c r="P1011" s="48"/>
      <c r="Q1011" s="8">
        <f>VLOOKUP($F1011,[2]装箱单!$A:$E,5,0)</f>
        <v>40.01</v>
      </c>
      <c r="R1011" s="8">
        <f>VLOOKUP($F1011,[2]装箱单!$A:$F,6,0)</f>
        <v>26.67</v>
      </c>
      <c r="S1011" s="8">
        <f>VLOOKUP($F1011,[2]装箱单!$A:$G,7,0)</f>
        <v>20.96</v>
      </c>
      <c r="T1011" s="10">
        <f>VLOOKUP($F1011,[2]装箱单!$A:$J,10,0)</f>
        <v>0.022365718032</v>
      </c>
      <c r="U1011" s="11">
        <f t="shared" si="107"/>
        <v>54.7960091784</v>
      </c>
    </row>
    <row r="1012" ht="29.1" customHeight="1" spans="1:21">
      <c r="A1012" s="40">
        <v>46186</v>
      </c>
      <c r="B1012" s="41" t="s">
        <v>40</v>
      </c>
      <c r="C1012" s="42" t="s">
        <v>1376</v>
      </c>
      <c r="D1012" s="43" t="s">
        <v>1377</v>
      </c>
      <c r="E1012" s="44">
        <v>993550644</v>
      </c>
      <c r="F1012" s="44">
        <v>28481</v>
      </c>
      <c r="G1012" s="44" t="str">
        <f>VLOOKUP(F1012,[2]装箱单!$A:$C,3,0)</f>
        <v>骰子</v>
      </c>
      <c r="H1012" s="44">
        <v>240</v>
      </c>
      <c r="I1012" s="45">
        <v>960</v>
      </c>
      <c r="J1012" s="45" t="s">
        <v>47</v>
      </c>
      <c r="K1012" s="45" t="s">
        <v>33</v>
      </c>
      <c r="L1012" s="46">
        <v>240</v>
      </c>
      <c r="M1012" s="43">
        <f t="shared" si="106"/>
        <v>2.41914438192</v>
      </c>
      <c r="N1012" s="46" t="s">
        <v>57</v>
      </c>
      <c r="O1012" s="44"/>
      <c r="P1012" s="48"/>
      <c r="Q1012" s="8">
        <f>VLOOKUP($F1012,[2]装箱单!$A:$E,5,0)</f>
        <v>23.81</v>
      </c>
      <c r="R1012" s="8">
        <f>VLOOKUP($F1012,[2]装箱单!$A:$F,6,0)</f>
        <v>17.78</v>
      </c>
      <c r="S1012" s="8">
        <f>VLOOKUP($F1012,[2]装箱单!$A:$G,7,0)</f>
        <v>23.81</v>
      </c>
      <c r="T1012" s="10">
        <f>VLOOKUP($F1012,[2]装箱单!$A:$J,10,0)</f>
        <v>0.010079768258</v>
      </c>
      <c r="U1012" s="11">
        <f t="shared" si="107"/>
        <v>2.41914438192</v>
      </c>
    </row>
    <row r="1013" ht="29.1" customHeight="1" spans="1:21">
      <c r="A1013" s="40">
        <v>46186</v>
      </c>
      <c r="B1013" s="41" t="s">
        <v>40</v>
      </c>
      <c r="C1013" s="42" t="s">
        <v>1378</v>
      </c>
      <c r="D1013" s="43" t="s">
        <v>1379</v>
      </c>
      <c r="E1013" s="44">
        <v>993550643</v>
      </c>
      <c r="F1013" s="44">
        <v>28481</v>
      </c>
      <c r="G1013" s="44" t="str">
        <f>VLOOKUP(F1013,[2]装箱单!$A:$C,3,0)</f>
        <v>骰子</v>
      </c>
      <c r="H1013" s="44">
        <v>360</v>
      </c>
      <c r="I1013" s="45">
        <v>1440</v>
      </c>
      <c r="J1013" s="45" t="s">
        <v>47</v>
      </c>
      <c r="K1013" s="45" t="s">
        <v>33</v>
      </c>
      <c r="L1013" s="46">
        <v>360</v>
      </c>
      <c r="M1013" s="43">
        <f t="shared" si="106"/>
        <v>3.62871657288</v>
      </c>
      <c r="N1013" s="46" t="s">
        <v>57</v>
      </c>
      <c r="O1013" s="44"/>
      <c r="P1013" s="48"/>
      <c r="Q1013" s="8">
        <f>VLOOKUP($F1013,[2]装箱单!$A:$E,5,0)</f>
        <v>23.81</v>
      </c>
      <c r="R1013" s="8">
        <f>VLOOKUP($F1013,[2]装箱单!$A:$F,6,0)</f>
        <v>17.78</v>
      </c>
      <c r="S1013" s="8">
        <f>VLOOKUP($F1013,[2]装箱单!$A:$G,7,0)</f>
        <v>23.81</v>
      </c>
      <c r="T1013" s="10">
        <f>VLOOKUP($F1013,[2]装箱单!$A:$J,10,0)</f>
        <v>0.010079768258</v>
      </c>
      <c r="U1013" s="11">
        <f t="shared" si="107"/>
        <v>3.62871657288</v>
      </c>
    </row>
    <row r="1014" ht="29.1" customHeight="1" spans="1:21">
      <c r="A1014" s="40">
        <v>46186</v>
      </c>
      <c r="B1014" s="41" t="s">
        <v>40</v>
      </c>
      <c r="C1014" s="42" t="s">
        <v>1380</v>
      </c>
      <c r="D1014" s="43" t="s">
        <v>1381</v>
      </c>
      <c r="E1014" s="44">
        <v>993550647</v>
      </c>
      <c r="F1014" s="44">
        <v>28481</v>
      </c>
      <c r="G1014" s="44" t="str">
        <f>VLOOKUP(F1014,[2]装箱单!$A:$C,3,0)</f>
        <v>骰子</v>
      </c>
      <c r="H1014" s="44">
        <v>480</v>
      </c>
      <c r="I1014" s="45">
        <v>1920</v>
      </c>
      <c r="J1014" s="45" t="s">
        <v>47</v>
      </c>
      <c r="K1014" s="45" t="s">
        <v>33</v>
      </c>
      <c r="L1014" s="46">
        <v>480</v>
      </c>
      <c r="M1014" s="43">
        <f t="shared" si="106"/>
        <v>4.83828876384</v>
      </c>
      <c r="N1014" s="46" t="s">
        <v>57</v>
      </c>
      <c r="O1014" s="44"/>
      <c r="P1014" s="48"/>
      <c r="Q1014" s="8">
        <f>VLOOKUP($F1014,[2]装箱单!$A:$E,5,0)</f>
        <v>23.81</v>
      </c>
      <c r="R1014" s="8">
        <f>VLOOKUP($F1014,[2]装箱单!$A:$F,6,0)</f>
        <v>17.78</v>
      </c>
      <c r="S1014" s="8">
        <f>VLOOKUP($F1014,[2]装箱单!$A:$G,7,0)</f>
        <v>23.81</v>
      </c>
      <c r="T1014" s="10">
        <f>VLOOKUP($F1014,[2]装箱单!$A:$J,10,0)</f>
        <v>0.010079768258</v>
      </c>
      <c r="U1014" s="11">
        <f t="shared" si="107"/>
        <v>4.83828876384</v>
      </c>
    </row>
    <row r="1015" ht="29.1" customHeight="1" spans="1:21">
      <c r="A1015" s="40">
        <v>46186</v>
      </c>
      <c r="B1015" s="41" t="s">
        <v>1382</v>
      </c>
      <c r="C1015" s="42" t="s">
        <v>1383</v>
      </c>
      <c r="D1015" s="43" t="s">
        <v>1384</v>
      </c>
      <c r="E1015" s="44" t="s">
        <v>1385</v>
      </c>
      <c r="F1015" s="44" t="s">
        <v>120</v>
      </c>
      <c r="G1015" s="44" t="str">
        <f>VLOOKUP(F1015,[2]装箱单!$A:$C,3,0)</f>
        <v>搪胶小鸭</v>
      </c>
      <c r="H1015" s="44">
        <v>305</v>
      </c>
      <c r="I1015" s="45">
        <v>10980</v>
      </c>
      <c r="J1015" s="45" t="s">
        <v>32</v>
      </c>
      <c r="K1015" s="45" t="s">
        <v>33</v>
      </c>
      <c r="L1015" s="46">
        <v>305</v>
      </c>
      <c r="M1015" s="43">
        <f t="shared" si="106"/>
        <v>3.7638017053</v>
      </c>
      <c r="N1015" s="46" t="s">
        <v>57</v>
      </c>
      <c r="O1015" s="44">
        <v>33517</v>
      </c>
      <c r="P1015" s="48"/>
      <c r="Q1015" s="8">
        <f>VLOOKUP($F1015,[2]装箱单!$A:$E,5,0)</f>
        <v>33.02</v>
      </c>
      <c r="R1015" s="8">
        <f>VLOOKUP($F1015,[2]装箱单!$A:$F,6,0)</f>
        <v>18.41</v>
      </c>
      <c r="S1015" s="8">
        <f>VLOOKUP($F1015,[2]装箱单!$A:$G,7,0)</f>
        <v>20.3</v>
      </c>
      <c r="T1015" s="10">
        <f>VLOOKUP($F1015,[2]装箱单!$A:$J,10,0)</f>
        <v>0.01234033346</v>
      </c>
      <c r="U1015" s="11">
        <f t="shared" si="107"/>
        <v>3.7638017053</v>
      </c>
    </row>
    <row r="1016" ht="29.1" customHeight="1" spans="1:21">
      <c r="A1016" s="40">
        <v>46186</v>
      </c>
      <c r="B1016" s="41" t="s">
        <v>1382</v>
      </c>
      <c r="C1016" s="42" t="s">
        <v>1383</v>
      </c>
      <c r="D1016" s="43" t="s">
        <v>1384</v>
      </c>
      <c r="E1016" s="44" t="s">
        <v>1385</v>
      </c>
      <c r="F1016" s="44" t="s">
        <v>120</v>
      </c>
      <c r="G1016" s="44" t="str">
        <f>VLOOKUP(F1016,[2]装箱单!$A:$C,3,0)</f>
        <v>搪胶小鸭</v>
      </c>
      <c r="H1016" s="44">
        <v>305</v>
      </c>
      <c r="I1016" s="45">
        <v>10980</v>
      </c>
      <c r="J1016" s="45" t="s">
        <v>32</v>
      </c>
      <c r="K1016" s="45" t="s">
        <v>33</v>
      </c>
      <c r="L1016" s="46">
        <v>305</v>
      </c>
      <c r="M1016" s="43">
        <f t="shared" si="106"/>
        <v>3.7638017053</v>
      </c>
      <c r="N1016" s="46" t="s">
        <v>57</v>
      </c>
      <c r="O1016" s="44">
        <v>33518</v>
      </c>
      <c r="P1016" s="48"/>
      <c r="Q1016" s="8">
        <f>VLOOKUP($F1016,[2]装箱单!$A:$E,5,0)</f>
        <v>33.02</v>
      </c>
      <c r="R1016" s="8">
        <f>VLOOKUP($F1016,[2]装箱单!$A:$F,6,0)</f>
        <v>18.41</v>
      </c>
      <c r="S1016" s="8">
        <f>VLOOKUP($F1016,[2]装箱单!$A:$G,7,0)</f>
        <v>20.3</v>
      </c>
      <c r="T1016" s="10">
        <f>VLOOKUP($F1016,[2]装箱单!$A:$J,10,0)</f>
        <v>0.01234033346</v>
      </c>
      <c r="U1016" s="11">
        <f t="shared" si="107"/>
        <v>3.7638017053</v>
      </c>
    </row>
    <row r="1017" ht="29.1" customHeight="1" spans="1:21">
      <c r="A1017" s="40">
        <v>46186</v>
      </c>
      <c r="B1017" s="41" t="s">
        <v>1382</v>
      </c>
      <c r="C1017" s="42" t="s">
        <v>1386</v>
      </c>
      <c r="D1017" s="43" t="s">
        <v>1387</v>
      </c>
      <c r="E1017" s="44" t="s">
        <v>1388</v>
      </c>
      <c r="F1017" s="44" t="s">
        <v>122</v>
      </c>
      <c r="G1017" s="44" t="str">
        <f>VLOOKUP(F1017,[2]装箱单!$A:$C,3,0)</f>
        <v>搪胶小鸭</v>
      </c>
      <c r="H1017" s="44">
        <v>211</v>
      </c>
      <c r="I1017" s="45">
        <v>7596</v>
      </c>
      <c r="J1017" s="45" t="s">
        <v>32</v>
      </c>
      <c r="K1017" s="45" t="s">
        <v>33</v>
      </c>
      <c r="L1017" s="46">
        <v>211</v>
      </c>
      <c r="M1017" s="43">
        <f t="shared" si="106"/>
        <v>2.5061304716</v>
      </c>
      <c r="N1017" s="46" t="s">
        <v>57</v>
      </c>
      <c r="O1017" s="44">
        <v>33423</v>
      </c>
      <c r="P1017" s="48"/>
      <c r="Q1017" s="8">
        <f>VLOOKUP($F1017,[2]装箱单!$A:$E,5,0)</f>
        <v>31.75</v>
      </c>
      <c r="R1017" s="8">
        <f>VLOOKUP($F1017,[2]装箱单!$A:$F,6,0)</f>
        <v>18.41</v>
      </c>
      <c r="S1017" s="8">
        <f>VLOOKUP($F1017,[2]装箱单!$A:$G,7,0)</f>
        <v>20.32</v>
      </c>
      <c r="T1017" s="10">
        <f>VLOOKUP($F1017,[2]装箱单!$A:$J,10,0)</f>
        <v>0.0118773956</v>
      </c>
      <c r="U1017" s="11">
        <f t="shared" si="107"/>
        <v>2.5061304716</v>
      </c>
    </row>
    <row r="1018" ht="29.1" customHeight="1" spans="1:21">
      <c r="A1018" s="40">
        <v>46186</v>
      </c>
      <c r="B1018" s="41" t="s">
        <v>1382</v>
      </c>
      <c r="C1018" s="42" t="s">
        <v>1386</v>
      </c>
      <c r="D1018" s="43" t="s">
        <v>1387</v>
      </c>
      <c r="E1018" s="44" t="s">
        <v>1388</v>
      </c>
      <c r="F1018" s="44" t="s">
        <v>122</v>
      </c>
      <c r="G1018" s="44" t="str">
        <f>VLOOKUP(F1018,[2]装箱单!$A:$C,3,0)</f>
        <v>搪胶小鸭</v>
      </c>
      <c r="H1018" s="44">
        <v>211</v>
      </c>
      <c r="I1018" s="45">
        <v>7596</v>
      </c>
      <c r="J1018" s="45" t="s">
        <v>32</v>
      </c>
      <c r="K1018" s="45" t="s">
        <v>33</v>
      </c>
      <c r="L1018" s="46">
        <v>211</v>
      </c>
      <c r="M1018" s="43">
        <f t="shared" si="106"/>
        <v>2.5061304716</v>
      </c>
      <c r="N1018" s="46" t="s">
        <v>57</v>
      </c>
      <c r="O1018" s="44">
        <v>33622</v>
      </c>
      <c r="P1018" s="48"/>
      <c r="Q1018" s="8">
        <f>VLOOKUP($F1018,[2]装箱单!$A:$E,5,0)</f>
        <v>31.75</v>
      </c>
      <c r="R1018" s="8">
        <f>VLOOKUP($F1018,[2]装箱单!$A:$F,6,0)</f>
        <v>18.41</v>
      </c>
      <c r="S1018" s="8">
        <f>VLOOKUP($F1018,[2]装箱单!$A:$G,7,0)</f>
        <v>20.32</v>
      </c>
      <c r="T1018" s="10">
        <f>VLOOKUP($F1018,[2]装箱单!$A:$J,10,0)</f>
        <v>0.0118773956</v>
      </c>
      <c r="U1018" s="11">
        <f t="shared" si="107"/>
        <v>2.5061304716</v>
      </c>
    </row>
    <row r="1019" ht="29.1" customHeight="1" spans="1:21">
      <c r="A1019" s="40">
        <v>46186</v>
      </c>
      <c r="B1019" s="41" t="s">
        <v>1382</v>
      </c>
      <c r="C1019" s="42" t="s">
        <v>1386</v>
      </c>
      <c r="D1019" s="43" t="s">
        <v>1387</v>
      </c>
      <c r="E1019" s="44" t="s">
        <v>1388</v>
      </c>
      <c r="F1019" s="44" t="s">
        <v>120</v>
      </c>
      <c r="G1019" s="44" t="str">
        <f>VLOOKUP(F1019,[2]装箱单!$A:$C,3,0)</f>
        <v>搪胶小鸭</v>
      </c>
      <c r="H1019" s="44">
        <v>204</v>
      </c>
      <c r="I1019" s="45">
        <v>7344</v>
      </c>
      <c r="J1019" s="45" t="s">
        <v>32</v>
      </c>
      <c r="K1019" s="45" t="s">
        <v>33</v>
      </c>
      <c r="L1019" s="46">
        <v>204</v>
      </c>
      <c r="M1019" s="43">
        <f t="shared" si="106"/>
        <v>2.51742802584</v>
      </c>
      <c r="N1019" s="46" t="s">
        <v>57</v>
      </c>
      <c r="O1019" s="44">
        <v>33631</v>
      </c>
      <c r="P1019" s="48"/>
      <c r="Q1019" s="8">
        <f>VLOOKUP($F1019,[2]装箱单!$A:$E,5,0)</f>
        <v>33.02</v>
      </c>
      <c r="R1019" s="8">
        <f>VLOOKUP($F1019,[2]装箱单!$A:$F,6,0)</f>
        <v>18.41</v>
      </c>
      <c r="S1019" s="8">
        <f>VLOOKUP($F1019,[2]装箱单!$A:$G,7,0)</f>
        <v>20.3</v>
      </c>
      <c r="T1019" s="10">
        <f>VLOOKUP($F1019,[2]装箱单!$A:$J,10,0)</f>
        <v>0.01234033346</v>
      </c>
      <c r="U1019" s="11">
        <f t="shared" si="107"/>
        <v>2.51742802584</v>
      </c>
    </row>
    <row r="1020" ht="29.1" customHeight="1" spans="1:21">
      <c r="A1020" s="40">
        <v>46186</v>
      </c>
      <c r="B1020" s="41" t="s">
        <v>1382</v>
      </c>
      <c r="C1020" s="42" t="s">
        <v>1386</v>
      </c>
      <c r="D1020" s="43" t="s">
        <v>1387</v>
      </c>
      <c r="E1020" s="44" t="s">
        <v>1388</v>
      </c>
      <c r="F1020" s="44" t="s">
        <v>120</v>
      </c>
      <c r="G1020" s="44" t="str">
        <f>VLOOKUP(F1020,[2]装箱单!$A:$C,3,0)</f>
        <v>搪胶小鸭</v>
      </c>
      <c r="H1020" s="44">
        <v>223</v>
      </c>
      <c r="I1020" s="45">
        <v>8028</v>
      </c>
      <c r="J1020" s="45" t="s">
        <v>32</v>
      </c>
      <c r="K1020" s="45" t="s">
        <v>33</v>
      </c>
      <c r="L1020" s="46">
        <v>223</v>
      </c>
      <c r="M1020" s="43">
        <f t="shared" si="106"/>
        <v>2.75189436158</v>
      </c>
      <c r="N1020" s="46" t="s">
        <v>57</v>
      </c>
      <c r="O1020" s="44">
        <v>33632</v>
      </c>
      <c r="P1020" s="48"/>
      <c r="Q1020" s="8">
        <f>VLOOKUP($F1020,[2]装箱单!$A:$E,5,0)</f>
        <v>33.02</v>
      </c>
      <c r="R1020" s="8">
        <f>VLOOKUP($F1020,[2]装箱单!$A:$F,6,0)</f>
        <v>18.41</v>
      </c>
      <c r="S1020" s="8">
        <f>VLOOKUP($F1020,[2]装箱单!$A:$G,7,0)</f>
        <v>20.3</v>
      </c>
      <c r="T1020" s="10">
        <f>VLOOKUP($F1020,[2]装箱单!$A:$J,10,0)</f>
        <v>0.01234033346</v>
      </c>
      <c r="U1020" s="11">
        <f t="shared" si="107"/>
        <v>2.75189436158</v>
      </c>
    </row>
    <row r="1021" ht="29.1" customHeight="1" spans="1:21">
      <c r="A1021" s="40">
        <v>46186</v>
      </c>
      <c r="B1021" s="41" t="s">
        <v>1382</v>
      </c>
      <c r="C1021" s="42" t="s">
        <v>1386</v>
      </c>
      <c r="D1021" s="43" t="s">
        <v>1387</v>
      </c>
      <c r="E1021" s="44" t="s">
        <v>1388</v>
      </c>
      <c r="F1021" s="44" t="s">
        <v>120</v>
      </c>
      <c r="G1021" s="44" t="str">
        <f>VLOOKUP(F1021,[2]装箱单!$A:$C,3,0)</f>
        <v>搪胶小鸭</v>
      </c>
      <c r="H1021" s="44">
        <v>195</v>
      </c>
      <c r="I1021" s="45">
        <v>7020</v>
      </c>
      <c r="J1021" s="45" t="s">
        <v>32</v>
      </c>
      <c r="K1021" s="45" t="s">
        <v>33</v>
      </c>
      <c r="L1021" s="46">
        <v>195</v>
      </c>
      <c r="M1021" s="43">
        <f t="shared" si="106"/>
        <v>2.4063650247</v>
      </c>
      <c r="N1021" s="46" t="s">
        <v>57</v>
      </c>
      <c r="O1021" s="44">
        <v>33642</v>
      </c>
      <c r="P1021" s="48"/>
      <c r="Q1021" s="8">
        <f>VLOOKUP($F1021,[2]装箱单!$A:$E,5,0)</f>
        <v>33.02</v>
      </c>
      <c r="R1021" s="8">
        <f>VLOOKUP($F1021,[2]装箱单!$A:$F,6,0)</f>
        <v>18.41</v>
      </c>
      <c r="S1021" s="8">
        <f>VLOOKUP($F1021,[2]装箱单!$A:$G,7,0)</f>
        <v>20.3</v>
      </c>
      <c r="T1021" s="10">
        <f>VLOOKUP($F1021,[2]装箱单!$A:$J,10,0)</f>
        <v>0.01234033346</v>
      </c>
      <c r="U1021" s="11">
        <f t="shared" si="107"/>
        <v>2.4063650247</v>
      </c>
    </row>
    <row r="1022" ht="29.1" customHeight="1" spans="1:21">
      <c r="A1022" s="40">
        <v>46186</v>
      </c>
      <c r="B1022" s="41" t="s">
        <v>1373</v>
      </c>
      <c r="C1022" s="42" t="s">
        <v>1389</v>
      </c>
      <c r="D1022" s="43" t="s">
        <v>1389</v>
      </c>
      <c r="E1022" s="44">
        <v>2592515</v>
      </c>
      <c r="F1022" s="44">
        <v>46132</v>
      </c>
      <c r="G1022" s="44" t="str">
        <f>VLOOKUP(F1022,[2]装箱单!$A:$C,3,0)</f>
        <v>赛车总动员系列</v>
      </c>
      <c r="H1022" s="44">
        <v>1826</v>
      </c>
      <c r="I1022" s="45">
        <v>3652</v>
      </c>
      <c r="J1022" s="45" t="s">
        <v>47</v>
      </c>
      <c r="K1022" s="45" t="s">
        <v>33</v>
      </c>
      <c r="L1022" s="46">
        <v>1507</v>
      </c>
      <c r="M1022" s="43">
        <f t="shared" si="106"/>
        <v>33.705137074224</v>
      </c>
      <c r="N1022" s="46" t="s">
        <v>57</v>
      </c>
      <c r="O1022" s="44"/>
      <c r="P1022" s="48"/>
      <c r="Q1022" s="8">
        <f>VLOOKUP($F1022,[2]装箱单!$A:$E,5,0)</f>
        <v>40.01</v>
      </c>
      <c r="R1022" s="8">
        <f>VLOOKUP($F1022,[2]装箱单!$A:$F,6,0)</f>
        <v>26.67</v>
      </c>
      <c r="S1022" s="8">
        <f>VLOOKUP($F1022,[2]装箱单!$A:$G,7,0)</f>
        <v>20.96</v>
      </c>
      <c r="T1022" s="10">
        <f>VLOOKUP($F1022,[2]装箱单!$A:$J,10,0)</f>
        <v>0.022365718032</v>
      </c>
      <c r="U1022" s="11">
        <f t="shared" si="107"/>
        <v>33.705137074224</v>
      </c>
    </row>
    <row r="1023" ht="29.1" customHeight="1" spans="1:21">
      <c r="A1023" s="40"/>
      <c r="B1023" s="41"/>
      <c r="C1023" s="42"/>
      <c r="D1023" s="43"/>
      <c r="E1023" s="44"/>
      <c r="F1023" s="44"/>
      <c r="G1023" s="44"/>
      <c r="H1023" s="44"/>
      <c r="I1023" s="45"/>
      <c r="J1023" s="45"/>
      <c r="K1023" s="45"/>
      <c r="L1023" s="46"/>
      <c r="M1023" s="43">
        <f>SUM(M1007:M1022)</f>
        <v>128.404851225184</v>
      </c>
      <c r="N1023" s="46"/>
      <c r="O1023" s="44"/>
      <c r="P1023" s="51"/>
    </row>
    <row r="1024" ht="29.1" customHeight="1" spans="1:21">
      <c r="A1024" s="40">
        <v>46186</v>
      </c>
      <c r="B1024" s="52" t="s">
        <v>922</v>
      </c>
      <c r="C1024" s="42" t="s">
        <v>1390</v>
      </c>
      <c r="D1024" s="43" t="s">
        <v>1391</v>
      </c>
      <c r="E1024" s="139" t="s">
        <v>1392</v>
      </c>
      <c r="F1024" s="44">
        <v>33476</v>
      </c>
      <c r="G1024" s="44" t="str">
        <f>VLOOKUP(F1024,[2]装箱单!$A:$C,3,0)</f>
        <v>搪小鸭天使</v>
      </c>
      <c r="H1024" s="44">
        <v>34</v>
      </c>
      <c r="I1024" s="45">
        <v>300</v>
      </c>
      <c r="J1024" s="45" t="s">
        <v>32</v>
      </c>
      <c r="K1024" s="45" t="s">
        <v>33</v>
      </c>
      <c r="L1024" s="46"/>
      <c r="M1024" s="43"/>
      <c r="N1024" s="46"/>
      <c r="O1024" s="44"/>
      <c r="P1024" s="48" t="s">
        <v>1105</v>
      </c>
    </row>
    <row r="1025" ht="29.1" customHeight="1" spans="1:16">
      <c r="A1025" s="40">
        <v>46186</v>
      </c>
      <c r="B1025" s="52" t="s">
        <v>922</v>
      </c>
      <c r="C1025" s="42" t="s">
        <v>1393</v>
      </c>
      <c r="D1025" s="43" t="s">
        <v>1394</v>
      </c>
      <c r="E1025" s="139" t="s">
        <v>1395</v>
      </c>
      <c r="F1025" s="44">
        <v>33476</v>
      </c>
      <c r="G1025" s="44" t="str">
        <f>VLOOKUP(F1025,[2]装箱单!$A:$C,3,0)</f>
        <v>搪小鸭天使</v>
      </c>
      <c r="H1025" s="44"/>
      <c r="I1025" s="45">
        <v>200</v>
      </c>
      <c r="J1025" s="45" t="s">
        <v>32</v>
      </c>
      <c r="K1025" s="45" t="s">
        <v>33</v>
      </c>
      <c r="L1025" s="46"/>
      <c r="M1025" s="43"/>
      <c r="N1025" s="46"/>
      <c r="O1025" s="44"/>
      <c r="P1025" s="48"/>
    </row>
    <row r="1026" ht="29.1" customHeight="1" spans="1:16">
      <c r="A1026" s="40">
        <v>46186</v>
      </c>
      <c r="B1026" s="52" t="s">
        <v>922</v>
      </c>
      <c r="C1026" s="42" t="s">
        <v>1396</v>
      </c>
      <c r="D1026" s="43" t="s">
        <v>1397</v>
      </c>
      <c r="E1026" s="139" t="s">
        <v>1398</v>
      </c>
      <c r="F1026" s="44">
        <v>33476</v>
      </c>
      <c r="G1026" s="44" t="str">
        <f>VLOOKUP(F1026,[2]装箱单!$A:$C,3,0)</f>
        <v>搪小鸭天使</v>
      </c>
      <c r="H1026" s="44"/>
      <c r="I1026" s="45">
        <v>200</v>
      </c>
      <c r="J1026" s="45" t="s">
        <v>32</v>
      </c>
      <c r="K1026" s="45" t="s">
        <v>33</v>
      </c>
      <c r="L1026" s="46"/>
      <c r="M1026" s="43"/>
      <c r="N1026" s="46"/>
      <c r="O1026" s="44"/>
      <c r="P1026" s="48"/>
    </row>
    <row r="1027" ht="29.1" customHeight="1" spans="1:16">
      <c r="A1027" s="40">
        <v>46186</v>
      </c>
      <c r="B1027" s="52" t="s">
        <v>922</v>
      </c>
      <c r="C1027" s="42" t="s">
        <v>1399</v>
      </c>
      <c r="D1027" s="43" t="s">
        <v>1400</v>
      </c>
      <c r="E1027" s="139" t="s">
        <v>1401</v>
      </c>
      <c r="F1027" s="44">
        <v>33476</v>
      </c>
      <c r="G1027" s="44" t="str">
        <f>VLOOKUP(F1027,[2]装箱单!$A:$C,3,0)</f>
        <v>搪小鸭天使</v>
      </c>
      <c r="H1027" s="44"/>
      <c r="I1027" s="45">
        <v>200</v>
      </c>
      <c r="J1027" s="45" t="s">
        <v>32</v>
      </c>
      <c r="K1027" s="45" t="s">
        <v>33</v>
      </c>
      <c r="L1027" s="46"/>
      <c r="M1027" s="43"/>
      <c r="N1027" s="46"/>
      <c r="O1027" s="44"/>
      <c r="P1027" s="48"/>
    </row>
    <row r="1028" ht="29.1" customHeight="1" spans="1:16">
      <c r="A1028" s="40">
        <v>46186</v>
      </c>
      <c r="B1028" s="52" t="s">
        <v>922</v>
      </c>
      <c r="C1028" s="42" t="s">
        <v>1402</v>
      </c>
      <c r="D1028" s="43" t="s">
        <v>1403</v>
      </c>
      <c r="E1028" s="139" t="s">
        <v>1404</v>
      </c>
      <c r="F1028" s="44">
        <v>33476</v>
      </c>
      <c r="G1028" s="44" t="str">
        <f>VLOOKUP(F1028,[2]装箱单!$A:$C,3,0)</f>
        <v>搪小鸭天使</v>
      </c>
      <c r="H1028" s="44"/>
      <c r="I1028" s="45">
        <v>500</v>
      </c>
      <c r="J1028" s="45" t="s">
        <v>32</v>
      </c>
      <c r="K1028" s="45" t="s">
        <v>33</v>
      </c>
      <c r="L1028" s="46"/>
      <c r="M1028" s="43"/>
      <c r="N1028" s="46"/>
      <c r="O1028" s="44"/>
      <c r="P1028" s="48"/>
    </row>
    <row r="1029" ht="29.1" customHeight="1" spans="1:16">
      <c r="A1029" s="40">
        <v>46186</v>
      </c>
      <c r="B1029" s="52" t="s">
        <v>922</v>
      </c>
      <c r="C1029" s="42" t="s">
        <v>1405</v>
      </c>
      <c r="D1029" s="43" t="s">
        <v>1406</v>
      </c>
      <c r="E1029" s="139" t="s">
        <v>1407</v>
      </c>
      <c r="F1029" s="44">
        <v>33476</v>
      </c>
      <c r="G1029" s="44" t="str">
        <f>VLOOKUP(F1029,[2]装箱单!$A:$C,3,0)</f>
        <v>搪小鸭天使</v>
      </c>
      <c r="H1029" s="44"/>
      <c r="I1029" s="45">
        <v>300</v>
      </c>
      <c r="J1029" s="45" t="s">
        <v>32</v>
      </c>
      <c r="K1029" s="45" t="s">
        <v>33</v>
      </c>
      <c r="L1029" s="46"/>
      <c r="M1029" s="43"/>
      <c r="N1029" s="46"/>
      <c r="O1029" s="44"/>
      <c r="P1029" s="48"/>
    </row>
    <row r="1030" ht="29.1" customHeight="1" spans="1:16">
      <c r="A1030" s="40">
        <v>46186</v>
      </c>
      <c r="B1030" s="52" t="s">
        <v>922</v>
      </c>
      <c r="C1030" s="42" t="s">
        <v>1408</v>
      </c>
      <c r="D1030" s="43" t="s">
        <v>1409</v>
      </c>
      <c r="E1030" s="139" t="s">
        <v>1410</v>
      </c>
      <c r="F1030" s="44">
        <v>33476</v>
      </c>
      <c r="G1030" s="44" t="str">
        <f>VLOOKUP(F1030,[2]装箱单!$A:$C,3,0)</f>
        <v>搪小鸭天使</v>
      </c>
      <c r="H1030" s="44"/>
      <c r="I1030" s="45">
        <v>400</v>
      </c>
      <c r="J1030" s="45" t="s">
        <v>32</v>
      </c>
      <c r="K1030" s="45" t="s">
        <v>33</v>
      </c>
      <c r="L1030" s="46"/>
      <c r="M1030" s="43"/>
      <c r="N1030" s="46"/>
      <c r="O1030" s="44"/>
      <c r="P1030" s="48"/>
    </row>
    <row r="1031" ht="29.1" customHeight="1" spans="1:16">
      <c r="A1031" s="40">
        <v>46186</v>
      </c>
      <c r="B1031" s="52" t="s">
        <v>922</v>
      </c>
      <c r="C1031" s="42" t="s">
        <v>1194</v>
      </c>
      <c r="D1031" s="43" t="s">
        <v>1195</v>
      </c>
      <c r="E1031" s="44">
        <v>0</v>
      </c>
      <c r="F1031" s="44">
        <v>33476</v>
      </c>
      <c r="G1031" s="44" t="str">
        <f>VLOOKUP(F1031,[2]装箱单!$A:$C,3,0)</f>
        <v>搪小鸭天使</v>
      </c>
      <c r="H1031" s="44"/>
      <c r="I1031" s="45">
        <v>680</v>
      </c>
      <c r="J1031" s="45" t="s">
        <v>32</v>
      </c>
      <c r="K1031" s="45" t="s">
        <v>33</v>
      </c>
      <c r="L1031" s="46"/>
      <c r="M1031" s="43"/>
      <c r="N1031" s="46"/>
      <c r="O1031" s="44"/>
      <c r="P1031" s="48"/>
    </row>
    <row r="1032" ht="29.1" customHeight="1" spans="1:16">
      <c r="A1032" s="40">
        <v>46186</v>
      </c>
      <c r="B1032" s="52" t="s">
        <v>922</v>
      </c>
      <c r="C1032" s="42" t="s">
        <v>1390</v>
      </c>
      <c r="D1032" s="43" t="s">
        <v>1391</v>
      </c>
      <c r="E1032" s="139" t="s">
        <v>1392</v>
      </c>
      <c r="F1032" s="44">
        <v>33477</v>
      </c>
      <c r="G1032" s="44" t="str">
        <f>VLOOKUP(F1032,[2]装箱单!$A:$C,3,0)</f>
        <v>搪小鸭外星史迪仔</v>
      </c>
      <c r="H1032" s="44">
        <v>101</v>
      </c>
      <c r="I1032" s="45">
        <v>660</v>
      </c>
      <c r="J1032" s="45" t="s">
        <v>32</v>
      </c>
      <c r="K1032" s="45" t="s">
        <v>33</v>
      </c>
      <c r="L1032" s="46"/>
      <c r="M1032" s="43"/>
      <c r="N1032" s="46"/>
      <c r="O1032" s="44"/>
      <c r="P1032" s="48"/>
    </row>
    <row r="1033" ht="29.1" customHeight="1" spans="1:16">
      <c r="A1033" s="40">
        <v>46186</v>
      </c>
      <c r="B1033" s="52" t="s">
        <v>922</v>
      </c>
      <c r="C1033" s="42" t="s">
        <v>1393</v>
      </c>
      <c r="D1033" s="43" t="s">
        <v>1394</v>
      </c>
      <c r="E1033" s="139" t="s">
        <v>1395</v>
      </c>
      <c r="F1033" s="44">
        <v>33477</v>
      </c>
      <c r="G1033" s="44" t="str">
        <f>VLOOKUP(F1033,[2]装箱单!$A:$C,3,0)</f>
        <v>搪小鸭外星史迪仔</v>
      </c>
      <c r="H1033" s="44"/>
      <c r="I1033" s="45">
        <v>550</v>
      </c>
      <c r="J1033" s="45" t="s">
        <v>32</v>
      </c>
      <c r="K1033" s="45" t="s">
        <v>33</v>
      </c>
      <c r="L1033" s="46"/>
      <c r="M1033" s="43"/>
      <c r="N1033" s="46"/>
      <c r="O1033" s="44"/>
      <c r="P1033" s="48"/>
    </row>
    <row r="1034" ht="29.1" customHeight="1" spans="1:16">
      <c r="A1034" s="40">
        <v>46186</v>
      </c>
      <c r="B1034" s="52" t="s">
        <v>922</v>
      </c>
      <c r="C1034" s="42" t="s">
        <v>1396</v>
      </c>
      <c r="D1034" s="43" t="s">
        <v>1397</v>
      </c>
      <c r="E1034" s="139" t="s">
        <v>1398</v>
      </c>
      <c r="F1034" s="44">
        <v>33477</v>
      </c>
      <c r="G1034" s="44" t="str">
        <f>VLOOKUP(F1034,[2]装箱单!$A:$C,3,0)</f>
        <v>搪小鸭外星史迪仔</v>
      </c>
      <c r="H1034" s="44"/>
      <c r="I1034" s="45">
        <v>440</v>
      </c>
      <c r="J1034" s="45" t="s">
        <v>32</v>
      </c>
      <c r="K1034" s="45" t="s">
        <v>33</v>
      </c>
      <c r="L1034" s="46"/>
      <c r="M1034" s="43"/>
      <c r="N1034" s="46"/>
      <c r="O1034" s="44"/>
      <c r="P1034" s="48"/>
    </row>
    <row r="1035" ht="29.1" customHeight="1" spans="1:16">
      <c r="A1035" s="40">
        <v>46186</v>
      </c>
      <c r="B1035" s="52" t="s">
        <v>922</v>
      </c>
      <c r="C1035" s="42" t="s">
        <v>1399</v>
      </c>
      <c r="D1035" s="43" t="s">
        <v>1400</v>
      </c>
      <c r="E1035" s="139" t="s">
        <v>1401</v>
      </c>
      <c r="F1035" s="44">
        <v>33477</v>
      </c>
      <c r="G1035" s="44" t="str">
        <f>VLOOKUP(F1035,[2]装箱单!$A:$C,3,0)</f>
        <v>搪小鸭外星史迪仔</v>
      </c>
      <c r="H1035" s="44"/>
      <c r="I1035" s="45">
        <v>330</v>
      </c>
      <c r="J1035" s="45" t="s">
        <v>32</v>
      </c>
      <c r="K1035" s="45" t="s">
        <v>33</v>
      </c>
      <c r="L1035" s="46"/>
      <c r="M1035" s="43"/>
      <c r="N1035" s="46"/>
      <c r="O1035" s="44"/>
      <c r="P1035" s="48"/>
    </row>
    <row r="1036" ht="29.1" customHeight="1" spans="1:16">
      <c r="A1036" s="40">
        <v>46186</v>
      </c>
      <c r="B1036" s="52" t="s">
        <v>922</v>
      </c>
      <c r="C1036" s="42" t="s">
        <v>1402</v>
      </c>
      <c r="D1036" s="43" t="s">
        <v>1403</v>
      </c>
      <c r="E1036" s="139" t="s">
        <v>1404</v>
      </c>
      <c r="F1036" s="44">
        <v>33477</v>
      </c>
      <c r="G1036" s="44" t="str">
        <f>VLOOKUP(F1036,[2]装箱单!$A:$C,3,0)</f>
        <v>搪小鸭外星史迪仔</v>
      </c>
      <c r="H1036" s="44"/>
      <c r="I1036" s="45">
        <v>770</v>
      </c>
      <c r="J1036" s="45" t="s">
        <v>32</v>
      </c>
      <c r="K1036" s="45" t="s">
        <v>33</v>
      </c>
      <c r="L1036" s="46"/>
      <c r="M1036" s="43"/>
      <c r="N1036" s="46"/>
      <c r="O1036" s="44"/>
      <c r="P1036" s="48"/>
    </row>
    <row r="1037" ht="29.1" customHeight="1" spans="1:16">
      <c r="A1037" s="40">
        <v>46186</v>
      </c>
      <c r="B1037" s="52" t="s">
        <v>922</v>
      </c>
      <c r="C1037" s="42" t="s">
        <v>1405</v>
      </c>
      <c r="D1037" s="43" t="s">
        <v>1406</v>
      </c>
      <c r="E1037" s="139" t="s">
        <v>1407</v>
      </c>
      <c r="F1037" s="44">
        <v>33477</v>
      </c>
      <c r="G1037" s="44" t="str">
        <f>VLOOKUP(F1037,[2]装箱单!$A:$C,3,0)</f>
        <v>搪小鸭外星史迪仔</v>
      </c>
      <c r="H1037" s="44"/>
      <c r="I1037" s="45">
        <v>440</v>
      </c>
      <c r="J1037" s="45" t="s">
        <v>32</v>
      </c>
      <c r="K1037" s="45" t="s">
        <v>33</v>
      </c>
      <c r="L1037" s="46"/>
      <c r="M1037" s="43"/>
      <c r="N1037" s="46"/>
      <c r="O1037" s="44"/>
      <c r="P1037" s="48"/>
    </row>
    <row r="1038" ht="29.1" customHeight="1" spans="1:16">
      <c r="A1038" s="40">
        <v>46186</v>
      </c>
      <c r="B1038" s="52" t="s">
        <v>922</v>
      </c>
      <c r="C1038" s="42" t="s">
        <v>1408</v>
      </c>
      <c r="D1038" s="43" t="s">
        <v>1409</v>
      </c>
      <c r="E1038" s="139" t="s">
        <v>1410</v>
      </c>
      <c r="F1038" s="44">
        <v>33477</v>
      </c>
      <c r="G1038" s="44" t="str">
        <f>VLOOKUP(F1038,[2]装箱单!$A:$C,3,0)</f>
        <v>搪小鸭外星史迪仔</v>
      </c>
      <c r="H1038" s="44"/>
      <c r="I1038" s="45">
        <v>770</v>
      </c>
      <c r="J1038" s="45" t="s">
        <v>32</v>
      </c>
      <c r="K1038" s="45" t="s">
        <v>33</v>
      </c>
      <c r="L1038" s="46"/>
      <c r="M1038" s="43"/>
      <c r="N1038" s="46"/>
      <c r="O1038" s="44"/>
      <c r="P1038" s="48"/>
    </row>
    <row r="1039" ht="29.1" customHeight="1" spans="1:16">
      <c r="A1039" s="40">
        <v>46186</v>
      </c>
      <c r="B1039" s="52" t="s">
        <v>922</v>
      </c>
      <c r="C1039" s="42" t="s">
        <v>1411</v>
      </c>
      <c r="D1039" s="43" t="s">
        <v>1412</v>
      </c>
      <c r="E1039" s="44" t="s">
        <v>1413</v>
      </c>
      <c r="F1039" s="44">
        <v>33477</v>
      </c>
      <c r="G1039" s="44" t="str">
        <f>VLOOKUP(F1039,[2]装箱单!$A:$C,3,0)</f>
        <v>搪小鸭外星史迪仔</v>
      </c>
      <c r="H1039" s="44"/>
      <c r="I1039" s="45">
        <v>1875</v>
      </c>
      <c r="J1039" s="45" t="s">
        <v>32</v>
      </c>
      <c r="K1039" s="45" t="s">
        <v>33</v>
      </c>
      <c r="L1039" s="46"/>
      <c r="M1039" s="43"/>
      <c r="N1039" s="46"/>
      <c r="O1039" s="44"/>
      <c r="P1039" s="48"/>
    </row>
    <row r="1040" ht="29.1" customHeight="1" spans="1:16">
      <c r="A1040" s="40">
        <v>46186</v>
      </c>
      <c r="B1040" s="52" t="s">
        <v>922</v>
      </c>
      <c r="C1040" s="42" t="s">
        <v>1414</v>
      </c>
      <c r="D1040" s="43" t="s">
        <v>1415</v>
      </c>
      <c r="E1040" s="44">
        <v>0</v>
      </c>
      <c r="F1040" s="44">
        <v>33477</v>
      </c>
      <c r="G1040" s="44" t="str">
        <f>VLOOKUP(F1040,[2]装箱单!$A:$C,3,0)</f>
        <v>搪小鸭外星史迪仔</v>
      </c>
      <c r="H1040" s="44"/>
      <c r="I1040" s="45">
        <v>500</v>
      </c>
      <c r="J1040" s="45" t="s">
        <v>32</v>
      </c>
      <c r="K1040" s="45" t="s">
        <v>33</v>
      </c>
      <c r="L1040" s="46"/>
      <c r="M1040" s="43"/>
      <c r="N1040" s="46"/>
      <c r="O1040" s="44"/>
      <c r="P1040" s="48"/>
    </row>
    <row r="1041" ht="29.1" customHeight="1" spans="1:22">
      <c r="A1041" s="40">
        <v>46186</v>
      </c>
      <c r="B1041" s="52" t="s">
        <v>922</v>
      </c>
      <c r="C1041" s="42" t="s">
        <v>1416</v>
      </c>
      <c r="D1041" s="43" t="s">
        <v>1417</v>
      </c>
      <c r="E1041" s="44" t="s">
        <v>1418</v>
      </c>
      <c r="F1041" s="44">
        <v>33477</v>
      </c>
      <c r="G1041" s="44" t="str">
        <f>VLOOKUP(F1041,[2]装箱单!$A:$C,3,0)</f>
        <v>搪小鸭外星史迪仔</v>
      </c>
      <c r="H1041" s="44"/>
      <c r="I1041" s="45">
        <v>668</v>
      </c>
      <c r="J1041" s="45" t="s">
        <v>32</v>
      </c>
      <c r="K1041" s="45" t="s">
        <v>33</v>
      </c>
      <c r="L1041" s="46"/>
      <c r="M1041" s="43"/>
      <c r="N1041" s="46"/>
      <c r="O1041" s="44"/>
      <c r="P1041" s="48"/>
    </row>
    <row r="1042" ht="29.1" customHeight="1" spans="1:22">
      <c r="A1042" s="40">
        <v>46186</v>
      </c>
      <c r="B1042" s="52" t="s">
        <v>922</v>
      </c>
      <c r="C1042" s="42" t="s">
        <v>1194</v>
      </c>
      <c r="D1042" s="43" t="s">
        <v>1195</v>
      </c>
      <c r="E1042" s="44">
        <v>0</v>
      </c>
      <c r="F1042" s="44">
        <v>33416</v>
      </c>
      <c r="G1042" s="44" t="str">
        <f>VLOOKUP(F1042,[2]装箱单!$A:$C,3,0)</f>
        <v>史迪仔</v>
      </c>
      <c r="H1042" s="44">
        <v>9</v>
      </c>
      <c r="I1042" s="45">
        <v>680</v>
      </c>
      <c r="J1042" s="45" t="s">
        <v>32</v>
      </c>
      <c r="K1042" s="45" t="s">
        <v>33</v>
      </c>
      <c r="L1042" s="46"/>
      <c r="M1042" s="43"/>
      <c r="N1042" s="46"/>
      <c r="O1042" s="44"/>
      <c r="P1042" s="48"/>
    </row>
    <row r="1043" ht="29.1" customHeight="1" spans="1:22">
      <c r="A1043" s="40">
        <v>46188</v>
      </c>
      <c r="B1043" s="41" t="s">
        <v>40</v>
      </c>
      <c r="C1043" s="42" t="s">
        <v>1376</v>
      </c>
      <c r="D1043" s="43" t="s">
        <v>1377</v>
      </c>
      <c r="E1043" s="44">
        <v>993550644</v>
      </c>
      <c r="F1043" s="44">
        <v>28483</v>
      </c>
      <c r="G1043" s="44" t="str">
        <f>VLOOKUP(F1043,[3]装箱单!$A:$C,3,0)</f>
        <v>振动球</v>
      </c>
      <c r="H1043" s="44">
        <v>7560</v>
      </c>
      <c r="I1043" s="45">
        <v>7560</v>
      </c>
      <c r="J1043" s="45" t="s">
        <v>32</v>
      </c>
      <c r="K1043" s="45" t="s">
        <v>33</v>
      </c>
      <c r="L1043" s="46">
        <v>7560</v>
      </c>
      <c r="M1043" s="43">
        <f>+U1043</f>
        <v>43.6415364</v>
      </c>
      <c r="N1043" s="46" t="s">
        <v>34</v>
      </c>
      <c r="O1043" s="44"/>
      <c r="P1043" s="47" t="s">
        <v>1419</v>
      </c>
      <c r="Q1043" s="8">
        <f>VLOOKUP($F1043,[3]装箱单!$A:$E,5,0)</f>
        <v>16.83</v>
      </c>
      <c r="R1043" s="8">
        <f>VLOOKUP($F1043,[3]装箱单!$A:$F,6,0)</f>
        <v>17.15</v>
      </c>
      <c r="S1043" s="8">
        <f>VLOOKUP($F1043,[3]装箱单!$A:$G,7,0)</f>
        <v>20</v>
      </c>
      <c r="T1043" s="10">
        <f>VLOOKUP($F1043,[3]装箱单!$A:$J,10,0)</f>
        <v>0.00577269</v>
      </c>
      <c r="U1043" s="11">
        <f>+T1043*L1043</f>
        <v>43.6415364</v>
      </c>
    </row>
    <row r="1044" ht="29.1" customHeight="1" spans="1:22">
      <c r="A1044" s="40">
        <v>46188</v>
      </c>
      <c r="B1044" s="41" t="s">
        <v>40</v>
      </c>
      <c r="C1044" s="42" t="s">
        <v>1378</v>
      </c>
      <c r="D1044" s="43" t="s">
        <v>1379</v>
      </c>
      <c r="E1044" s="44">
        <v>993550643</v>
      </c>
      <c r="F1044" s="44">
        <v>28483</v>
      </c>
      <c r="G1044" s="44" t="str">
        <f>VLOOKUP(F1044,[3]装箱单!$A:$C,3,0)</f>
        <v>振动球</v>
      </c>
      <c r="H1044" s="44">
        <v>3780</v>
      </c>
      <c r="I1044" s="45">
        <v>3780</v>
      </c>
      <c r="J1044" s="45" t="s">
        <v>32</v>
      </c>
      <c r="K1044" s="45" t="s">
        <v>33</v>
      </c>
      <c r="L1044" s="46">
        <v>3780</v>
      </c>
      <c r="M1044" s="43">
        <f>+U1044</f>
        <v>21.8207682</v>
      </c>
      <c r="N1044" s="46" t="s">
        <v>34</v>
      </c>
      <c r="O1044" s="44"/>
      <c r="P1044" s="48"/>
      <c r="Q1044" s="8">
        <f>VLOOKUP($F1044,[3]装箱单!$A:$E,5,0)</f>
        <v>16.83</v>
      </c>
      <c r="R1044" s="8">
        <f>VLOOKUP($F1044,[3]装箱单!$A:$F,6,0)</f>
        <v>17.15</v>
      </c>
      <c r="S1044" s="8">
        <f>VLOOKUP($F1044,[3]装箱单!$A:$G,7,0)</f>
        <v>20</v>
      </c>
      <c r="T1044" s="10">
        <f>VLOOKUP($F1044,[3]装箱单!$A:$J,10,0)</f>
        <v>0.00577269</v>
      </c>
      <c r="U1044" s="11">
        <f>+T1044*L1044</f>
        <v>21.8207682</v>
      </c>
    </row>
    <row r="1045" ht="29.1" customHeight="1" spans="1:22">
      <c r="A1045" s="40">
        <v>46188</v>
      </c>
      <c r="B1045" s="41" t="s">
        <v>40</v>
      </c>
      <c r="C1045" s="42" t="s">
        <v>1380</v>
      </c>
      <c r="D1045" s="43" t="s">
        <v>1381</v>
      </c>
      <c r="E1045" s="44">
        <v>993550647</v>
      </c>
      <c r="F1045" s="44">
        <v>28483</v>
      </c>
      <c r="G1045" s="44" t="str">
        <f>VLOOKUP(F1045,[3]装箱单!$A:$C,3,0)</f>
        <v>振动球</v>
      </c>
      <c r="H1045" s="44">
        <v>5580</v>
      </c>
      <c r="I1045" s="45">
        <v>5580</v>
      </c>
      <c r="J1045" s="45" t="s">
        <v>32</v>
      </c>
      <c r="K1045" s="45" t="s">
        <v>33</v>
      </c>
      <c r="L1045" s="46">
        <v>3420</v>
      </c>
      <c r="M1045" s="43">
        <f>+U1045</f>
        <v>19.7425998</v>
      </c>
      <c r="N1045" s="46" t="s">
        <v>34</v>
      </c>
      <c r="O1045" s="44"/>
      <c r="P1045" s="48"/>
      <c r="Q1045" s="8">
        <f>VLOOKUP($F1045,[3]装箱单!$A:$E,5,0)</f>
        <v>16.83</v>
      </c>
      <c r="R1045" s="8">
        <f>VLOOKUP($F1045,[3]装箱单!$A:$F,6,0)</f>
        <v>17.15</v>
      </c>
      <c r="S1045" s="8">
        <f>VLOOKUP($F1045,[3]装箱单!$A:$G,7,0)</f>
        <v>20</v>
      </c>
      <c r="T1045" s="10">
        <f>VLOOKUP($F1045,[3]装箱单!$A:$J,10,0)</f>
        <v>0.00577269</v>
      </c>
      <c r="U1045" s="11">
        <f>+T1045*L1045</f>
        <v>19.7425998</v>
      </c>
    </row>
    <row r="1046" ht="29.1" customHeight="1" spans="1:22">
      <c r="A1046" s="40">
        <v>46188</v>
      </c>
      <c r="B1046" s="41" t="s">
        <v>415</v>
      </c>
      <c r="C1046" s="42" t="s">
        <v>1420</v>
      </c>
      <c r="D1046" s="43" t="s">
        <v>1338</v>
      </c>
      <c r="E1046" s="44"/>
      <c r="F1046" s="44">
        <v>470764</v>
      </c>
      <c r="G1046" s="44" t="str">
        <f>VLOOKUP(F1046,[3]装箱单!$A:$C,3,0)</f>
        <v>大型自卸车</v>
      </c>
      <c r="H1046" s="44">
        <v>2494</v>
      </c>
      <c r="I1046" s="45">
        <f>+L1046</f>
        <v>1522</v>
      </c>
      <c r="J1046" s="45" t="s">
        <v>32</v>
      </c>
      <c r="K1046" s="45" t="s">
        <v>33</v>
      </c>
      <c r="L1046" s="46">
        <v>1522</v>
      </c>
      <c r="M1046" s="43">
        <f>+U1046</f>
        <v>40.783512</v>
      </c>
      <c r="N1046" s="46" t="s">
        <v>34</v>
      </c>
      <c r="O1046" s="44"/>
      <c r="P1046" s="48"/>
      <c r="Q1046" s="8">
        <f>VLOOKUP($F1046,[3]装箱单!$A:$E,5,0)</f>
        <v>42</v>
      </c>
      <c r="R1046" s="8">
        <f>VLOOKUP($F1046,[3]装箱单!$A:$F,6,0)</f>
        <v>22</v>
      </c>
      <c r="S1046" s="8">
        <f>VLOOKUP($F1046,[3]装箱单!$A:$G,7,0)</f>
        <v>29</v>
      </c>
      <c r="T1046" s="10">
        <f>VLOOKUP($F1046,[3]装箱单!$A:$J,10,0)</f>
        <v>0.026796</v>
      </c>
      <c r="U1046" s="11">
        <f>+T1046*L1046</f>
        <v>40.783512</v>
      </c>
    </row>
    <row r="1047" ht="29.1" customHeight="1" spans="1:22">
      <c r="A1047" s="40"/>
      <c r="B1047" s="41"/>
      <c r="C1047" s="42"/>
      <c r="D1047" s="43"/>
      <c r="E1047" s="44"/>
      <c r="F1047" s="44"/>
      <c r="G1047" s="44"/>
      <c r="H1047" s="44"/>
      <c r="I1047" s="45"/>
      <c r="J1047" s="45"/>
      <c r="K1047" s="45"/>
      <c r="L1047" s="46"/>
      <c r="M1047" s="43">
        <f>SUM(M1043:M1046)</f>
        <v>125.9884164</v>
      </c>
      <c r="N1047" s="46"/>
      <c r="O1047" s="44"/>
      <c r="P1047" s="51"/>
    </row>
    <row r="1048" ht="29.1" customHeight="1" spans="1:22">
      <c r="A1048" s="40">
        <v>46189</v>
      </c>
      <c r="B1048" s="41" t="s">
        <v>52</v>
      </c>
      <c r="C1048" s="57">
        <v>46346</v>
      </c>
      <c r="D1048" s="58" t="s">
        <v>1331</v>
      </c>
      <c r="E1048" s="59"/>
      <c r="F1048" s="44">
        <v>320398</v>
      </c>
      <c r="G1048" s="44" t="str">
        <f>VLOOKUP(F1048,[3]装箱单!$A:$C,3,0)</f>
        <v>兔子家族</v>
      </c>
      <c r="H1048" s="44">
        <v>750</v>
      </c>
      <c r="I1048" s="45">
        <f>+L1048*4</f>
        <v>3000</v>
      </c>
      <c r="J1048" s="45" t="s">
        <v>47</v>
      </c>
      <c r="K1048" s="45" t="s">
        <v>33</v>
      </c>
      <c r="L1048" s="46">
        <v>750</v>
      </c>
      <c r="M1048" s="43">
        <f>+U1048</f>
        <v>7.7175</v>
      </c>
      <c r="N1048" s="46" t="s">
        <v>34</v>
      </c>
      <c r="O1048" s="44"/>
      <c r="P1048" s="47" t="s">
        <v>1421</v>
      </c>
      <c r="Q1048" s="8">
        <f>VLOOKUP($F1048,[3]装箱单!$A:$E,5,0)</f>
        <v>24.5</v>
      </c>
      <c r="R1048" s="8">
        <f>VLOOKUP($F1048,[3]装箱单!$A:$F,6,0)</f>
        <v>21</v>
      </c>
      <c r="S1048" s="8">
        <f>VLOOKUP($F1048,[3]装箱单!$A:$G,7,0)</f>
        <v>20</v>
      </c>
      <c r="T1048" s="10">
        <f>VLOOKUP($F1048,[3]装箱单!$A:$J,10,0)</f>
        <v>0.01029</v>
      </c>
      <c r="U1048" s="11">
        <f>+T1048*L1048</f>
        <v>7.7175</v>
      </c>
    </row>
    <row r="1049" ht="29.1" customHeight="1" spans="1:22">
      <c r="A1049" s="40">
        <v>46189</v>
      </c>
      <c r="B1049" s="41" t="s">
        <v>52</v>
      </c>
      <c r="C1049" s="57">
        <v>46554</v>
      </c>
      <c r="D1049" s="58" t="s">
        <v>1422</v>
      </c>
      <c r="E1049" s="59"/>
      <c r="F1049" s="60">
        <v>320398</v>
      </c>
      <c r="G1049" s="44" t="str">
        <f>VLOOKUP(F1049,[3]装箱单!$A:$C,3,0)</f>
        <v>兔子家族</v>
      </c>
      <c r="H1049" s="44">
        <v>750</v>
      </c>
      <c r="I1049" s="45">
        <f>+L1049*4</f>
        <v>3000</v>
      </c>
      <c r="J1049" s="45" t="s">
        <v>47</v>
      </c>
      <c r="K1049" s="45" t="s">
        <v>33</v>
      </c>
      <c r="L1049" s="46">
        <v>750</v>
      </c>
      <c r="M1049" s="43">
        <f>+U1049</f>
        <v>7.7175</v>
      </c>
      <c r="N1049" s="46" t="s">
        <v>34</v>
      </c>
      <c r="O1049" s="44"/>
      <c r="P1049" s="48"/>
      <c r="Q1049" s="8">
        <f>VLOOKUP($F1049,[3]装箱单!$A:$E,5,0)</f>
        <v>24.5</v>
      </c>
      <c r="R1049" s="8">
        <f>VLOOKUP($F1049,[3]装箱单!$A:$F,6,0)</f>
        <v>21</v>
      </c>
      <c r="S1049" s="8">
        <f>VLOOKUP($F1049,[3]装箱单!$A:$G,7,0)</f>
        <v>20</v>
      </c>
      <c r="T1049" s="10">
        <f>VLOOKUP($F1049,[3]装箱单!$A:$J,10,0)</f>
        <v>0.01029</v>
      </c>
      <c r="U1049" s="11">
        <f>+T1049*L1049</f>
        <v>7.7175</v>
      </c>
    </row>
    <row r="1050" ht="29.1" customHeight="1" spans="1:22">
      <c r="A1050" s="40">
        <v>46189</v>
      </c>
      <c r="B1050" s="41" t="s">
        <v>52</v>
      </c>
      <c r="C1050" s="42">
        <v>46346</v>
      </c>
      <c r="D1050" s="43" t="s">
        <v>1331</v>
      </c>
      <c r="E1050" s="44"/>
      <c r="F1050" s="45">
        <v>320401</v>
      </c>
      <c r="G1050" s="44" t="str">
        <f>VLOOKUP(F1050,[3]装箱单!$A:$C,3,0)</f>
        <v>狗家族</v>
      </c>
      <c r="H1050" s="44">
        <v>750</v>
      </c>
      <c r="I1050" s="45">
        <f>+L1050*4</f>
        <v>3000</v>
      </c>
      <c r="J1050" s="45" t="s">
        <v>47</v>
      </c>
      <c r="K1050" s="45" t="s">
        <v>33</v>
      </c>
      <c r="L1050" s="46">
        <v>750</v>
      </c>
      <c r="M1050" s="43">
        <f>+U1050</f>
        <v>7.7175</v>
      </c>
      <c r="N1050" s="46" t="s">
        <v>34</v>
      </c>
      <c r="O1050" s="44"/>
      <c r="P1050" s="48"/>
      <c r="Q1050" s="8">
        <f>VLOOKUP($F1050,[3]装箱单!$A:$E,5,0)</f>
        <v>24.5</v>
      </c>
      <c r="R1050" s="8">
        <f>VLOOKUP($F1050,[3]装箱单!$A:$F,6,0)</f>
        <v>21</v>
      </c>
      <c r="S1050" s="8">
        <f>VLOOKUP($F1050,[3]装箱单!$A:$G,7,0)</f>
        <v>20</v>
      </c>
      <c r="T1050" s="10">
        <f>VLOOKUP($F1050,[3]装箱单!$A:$J,10,0)</f>
        <v>0.01029</v>
      </c>
      <c r="U1050" s="11">
        <f>+T1050*L1050</f>
        <v>7.7175</v>
      </c>
    </row>
    <row r="1051" ht="29.1" customHeight="1" spans="1:22">
      <c r="A1051" s="40">
        <v>46189</v>
      </c>
      <c r="B1051" s="41" t="s">
        <v>52</v>
      </c>
      <c r="C1051" s="42">
        <v>46554</v>
      </c>
      <c r="D1051" s="43" t="s">
        <v>1423</v>
      </c>
      <c r="E1051" s="44"/>
      <c r="F1051" s="45">
        <v>570974</v>
      </c>
      <c r="G1051" s="44" t="str">
        <f>VLOOKUP(F1051,[3]装箱单!$A:$C,3,0)</f>
        <v>蓝球</v>
      </c>
      <c r="H1051" s="44">
        <v>3800</v>
      </c>
      <c r="I1051" s="45">
        <f>+L1051</f>
        <v>1116</v>
      </c>
      <c r="J1051" s="45" t="s">
        <v>32</v>
      </c>
      <c r="K1051" s="45" t="s">
        <v>33</v>
      </c>
      <c r="L1051" s="46">
        <v>1116</v>
      </c>
      <c r="M1051" s="43">
        <f>+U1051</f>
        <v>95.89180065696</v>
      </c>
      <c r="N1051" s="46" t="s">
        <v>34</v>
      </c>
      <c r="O1051" s="44"/>
      <c r="P1051" s="48"/>
      <c r="Q1051" s="8">
        <f>VLOOKUP($F1051,[3]装箱单!$A:$E,5,0)</f>
        <v>59.05</v>
      </c>
      <c r="R1051" s="8">
        <f>VLOOKUP($F1051,[3]装箱单!$A:$F,6,0)</f>
        <v>26.04</v>
      </c>
      <c r="S1051" s="8">
        <f>VLOOKUP($F1051,[3]装箱单!$A:$G,7,0)</f>
        <v>55.88</v>
      </c>
      <c r="T1051" s="10">
        <f>VLOOKUP($F1051,[3]装箱单!$A:$J,10,0)</f>
        <v>0.08592455256</v>
      </c>
      <c r="U1051" s="11">
        <f>+T1051*L1051</f>
        <v>95.89180065696</v>
      </c>
    </row>
    <row r="1052" ht="29.1" customHeight="1" spans="1:22">
      <c r="A1052" s="40">
        <v>46189</v>
      </c>
      <c r="B1052" s="41" t="s">
        <v>1346</v>
      </c>
      <c r="C1052" s="42" t="s">
        <v>1347</v>
      </c>
      <c r="D1052" s="43" t="s">
        <v>1424</v>
      </c>
      <c r="E1052" s="44">
        <v>20219090</v>
      </c>
      <c r="F1052" s="45">
        <v>571299</v>
      </c>
      <c r="G1052" s="44" t="str">
        <f>VLOOKUP(F1052,[3]装箱单!$A:$C,3,0)</f>
        <v>自卸车</v>
      </c>
      <c r="H1052" s="44">
        <v>1430</v>
      </c>
      <c r="I1052" s="45">
        <f>+L1052</f>
        <v>761</v>
      </c>
      <c r="J1052" s="45" t="s">
        <v>32</v>
      </c>
      <c r="K1052" s="45" t="s">
        <v>33</v>
      </c>
      <c r="L1052" s="46">
        <v>761</v>
      </c>
      <c r="M1052" s="43">
        <f>+U1052</f>
        <v>20.391756</v>
      </c>
      <c r="N1052" s="46" t="s">
        <v>34</v>
      </c>
      <c r="O1052" s="61"/>
      <c r="P1052" s="48"/>
      <c r="Q1052" s="8">
        <f>VLOOKUP($F1052,[3]装箱单!$A:$E,5,0)</f>
        <v>42</v>
      </c>
      <c r="R1052" s="8">
        <f>VLOOKUP($F1052,[3]装箱单!$A:$F,6,0)</f>
        <v>22</v>
      </c>
      <c r="S1052" s="8">
        <f>VLOOKUP($F1052,[3]装箱单!$A:$G,7,0)</f>
        <v>29</v>
      </c>
      <c r="T1052" s="10">
        <f>VLOOKUP($F1052,[3]装箱单!$A:$J,10,0)</f>
        <v>0.026796</v>
      </c>
      <c r="U1052" s="11">
        <f>+T1052*L1052</f>
        <v>20.391756</v>
      </c>
    </row>
    <row r="1053" ht="29.1" customHeight="1" spans="1:22">
      <c r="A1053" s="40"/>
      <c r="B1053" s="41"/>
      <c r="C1053" s="42"/>
      <c r="D1053" s="43"/>
      <c r="E1053" s="44"/>
      <c r="F1053" s="45"/>
      <c r="G1053" s="44"/>
      <c r="H1053" s="44"/>
      <c r="I1053" s="45"/>
      <c r="J1053" s="45"/>
      <c r="K1053" s="45"/>
      <c r="L1053" s="46"/>
      <c r="M1053" s="43">
        <f>SUM(M1048:M1052)</f>
        <v>139.43605665696</v>
      </c>
      <c r="N1053" s="46"/>
      <c r="O1053" s="61"/>
      <c r="P1053" s="51"/>
    </row>
    <row r="1054" s="1" customFormat="1" ht="29.1" customHeight="1" spans="1:22">
      <c r="A1054" s="62">
        <v>46190</v>
      </c>
      <c r="B1054" s="63" t="s">
        <v>1373</v>
      </c>
      <c r="C1054" s="64" t="s">
        <v>1389</v>
      </c>
      <c r="D1054" s="65" t="s">
        <v>1389</v>
      </c>
      <c r="E1054" s="66">
        <v>2592515</v>
      </c>
      <c r="F1054" s="66">
        <v>46132</v>
      </c>
      <c r="G1054" s="67" t="str">
        <f>VLOOKUP(F1054,[4]装箱单!$A:$C,3,0)</f>
        <v>赛车总动员系列</v>
      </c>
      <c r="H1054" s="67">
        <v>1826</v>
      </c>
      <c r="I1054" s="68">
        <v>3652</v>
      </c>
      <c r="J1054" s="45" t="s">
        <v>47</v>
      </c>
      <c r="K1054" s="68" t="s">
        <v>33</v>
      </c>
      <c r="L1054" s="69">
        <f>1826-1507</f>
        <v>319</v>
      </c>
      <c r="M1054" s="65">
        <f>+U1054</f>
        <v>7.134664052208</v>
      </c>
      <c r="N1054" s="69" t="s">
        <v>34</v>
      </c>
      <c r="O1054" s="67"/>
      <c r="P1054" s="70" t="s">
        <v>1425</v>
      </c>
      <c r="Q1054" s="71">
        <f>VLOOKUP($F1054,[4]装箱单!$A:$E,5,0)</f>
        <v>40.01</v>
      </c>
      <c r="R1054" s="71">
        <f>VLOOKUP($F1054,[4]装箱单!$A:$F,6,0)</f>
        <v>26.67</v>
      </c>
      <c r="S1054" s="71">
        <f>VLOOKUP($F1054,[4]装箱单!$A:$G,7,0)</f>
        <v>20.96</v>
      </c>
      <c r="T1054" s="72">
        <f>VLOOKUP($F1054,[4]装箱单!$A:$J,10,0)</f>
        <v>0.022365718032</v>
      </c>
      <c r="U1054" s="73">
        <f>+T1054*L1054</f>
        <v>7.134664052208</v>
      </c>
      <c r="V1054" s="12"/>
    </row>
    <row r="1055" s="1" customFormat="1" ht="29.1" customHeight="1" spans="1:22">
      <c r="A1055" s="62">
        <v>46190</v>
      </c>
      <c r="B1055" s="63" t="s">
        <v>1373</v>
      </c>
      <c r="C1055" s="64" t="s">
        <v>1426</v>
      </c>
      <c r="D1055" s="65" t="s">
        <v>1427</v>
      </c>
      <c r="E1055" s="66">
        <v>2592518</v>
      </c>
      <c r="F1055" s="66">
        <v>46462</v>
      </c>
      <c r="G1055" s="67" t="str">
        <f>VLOOKUP(F1055,[4]装箱单!$A:$C,3,0)</f>
        <v>史迪仔系列</v>
      </c>
      <c r="H1055" s="67">
        <v>1784</v>
      </c>
      <c r="I1055" s="68">
        <v>3568</v>
      </c>
      <c r="J1055" s="45" t="s">
        <v>47</v>
      </c>
      <c r="K1055" s="68" t="s">
        <v>33</v>
      </c>
      <c r="L1055" s="69">
        <v>1784</v>
      </c>
      <c r="M1055" s="65">
        <f>+U1055</f>
        <v>39.900440969088</v>
      </c>
      <c r="N1055" s="69" t="s">
        <v>34</v>
      </c>
      <c r="O1055" s="67"/>
      <c r="P1055" s="74"/>
      <c r="Q1055" s="71">
        <f>VLOOKUP($F1055,[4]装箱单!$A:$E,5,0)</f>
        <v>40.01</v>
      </c>
      <c r="R1055" s="71">
        <f>VLOOKUP($F1055,[4]装箱单!$A:$F,6,0)</f>
        <v>26.67</v>
      </c>
      <c r="S1055" s="71">
        <f>VLOOKUP($F1055,[4]装箱单!$A:$G,7,0)</f>
        <v>20.96</v>
      </c>
      <c r="T1055" s="72">
        <f>VLOOKUP($F1055,[4]装箱单!$A:$J,10,0)</f>
        <v>0.022365718032</v>
      </c>
      <c r="U1055" s="73">
        <f>+T1055*L1055</f>
        <v>39.900440969088</v>
      </c>
      <c r="V1055" s="12"/>
    </row>
    <row r="1056" s="1" customFormat="1" ht="29.1" customHeight="1" spans="1:22">
      <c r="A1056" s="62">
        <v>46190</v>
      </c>
      <c r="B1056" s="63" t="s">
        <v>1373</v>
      </c>
      <c r="C1056" s="64" t="s">
        <v>1428</v>
      </c>
      <c r="D1056" s="65" t="s">
        <v>1429</v>
      </c>
      <c r="E1056" s="66">
        <v>2586042</v>
      </c>
      <c r="F1056" s="66">
        <v>46094</v>
      </c>
      <c r="G1056" s="67" t="str">
        <f>VLOOKUP(F1056,[4]装箱单!$A:$C,3,0)</f>
        <v>漫威系列</v>
      </c>
      <c r="H1056" s="67">
        <v>3000</v>
      </c>
      <c r="I1056" s="68">
        <v>6000</v>
      </c>
      <c r="J1056" s="45" t="s">
        <v>47</v>
      </c>
      <c r="K1056" s="68" t="s">
        <v>33</v>
      </c>
      <c r="L1056" s="69">
        <v>3000</v>
      </c>
      <c r="M1056" s="65">
        <f>+U1056</f>
        <v>67.097154096</v>
      </c>
      <c r="N1056" s="69" t="s">
        <v>34</v>
      </c>
      <c r="O1056" s="67"/>
      <c r="P1056" s="74"/>
      <c r="Q1056" s="71">
        <f>VLOOKUP($F1056,[4]装箱单!$A:$E,5,0)</f>
        <v>40.01</v>
      </c>
      <c r="R1056" s="71">
        <f>VLOOKUP($F1056,[4]装箱单!$A:$F,6,0)</f>
        <v>26.67</v>
      </c>
      <c r="S1056" s="71">
        <f>VLOOKUP($F1056,[4]装箱单!$A:$G,7,0)</f>
        <v>20.96</v>
      </c>
      <c r="T1056" s="72">
        <f>VLOOKUP($F1056,[4]装箱单!$A:$J,10,0)</f>
        <v>0.022365718032</v>
      </c>
      <c r="U1056" s="73">
        <f>+T1056*L1056</f>
        <v>67.097154096</v>
      </c>
      <c r="V1056" s="12"/>
    </row>
    <row r="1057" s="1" customFormat="1" ht="29.1" customHeight="1" spans="1:22">
      <c r="A1057" s="62">
        <v>46190</v>
      </c>
      <c r="B1057" s="63" t="s">
        <v>1373</v>
      </c>
      <c r="C1057" s="64" t="s">
        <v>1430</v>
      </c>
      <c r="D1057" s="65" t="s">
        <v>1431</v>
      </c>
      <c r="E1057" s="66">
        <v>2592514</v>
      </c>
      <c r="F1057" s="66">
        <v>46496</v>
      </c>
      <c r="G1057" s="67" t="str">
        <f>VLOOKUP(F1057,[4]装箱单!$A:$C,3,0)</f>
        <v>米妮系列</v>
      </c>
      <c r="H1057" s="67">
        <v>1418</v>
      </c>
      <c r="I1057" s="68">
        <v>2836</v>
      </c>
      <c r="J1057" s="45" t="s">
        <v>47</v>
      </c>
      <c r="K1057" s="68" t="s">
        <v>33</v>
      </c>
      <c r="L1057" s="69">
        <v>945</v>
      </c>
      <c r="M1057" s="65">
        <f>+U1057</f>
        <v>21.13560354024</v>
      </c>
      <c r="N1057" s="69" t="s">
        <v>34</v>
      </c>
      <c r="O1057" s="67"/>
      <c r="P1057" s="74"/>
      <c r="Q1057" s="71">
        <f>VLOOKUP($F1057,[4]装箱单!$A:$E,5,0)</f>
        <v>40.01</v>
      </c>
      <c r="R1057" s="71">
        <f>VLOOKUP($F1057,[4]装箱单!$A:$F,6,0)</f>
        <v>26.67</v>
      </c>
      <c r="S1057" s="71">
        <f>VLOOKUP($F1057,[4]装箱单!$A:$G,7,0)</f>
        <v>20.96</v>
      </c>
      <c r="T1057" s="72">
        <f>VLOOKUP($F1057,[4]装箱单!$A:$J,10,0)</f>
        <v>0.022365718032</v>
      </c>
      <c r="U1057" s="73">
        <f>+T1057*L1057</f>
        <v>21.13560354024</v>
      </c>
      <c r="V1057" s="12"/>
    </row>
    <row r="1058" s="1" customFormat="1" ht="29.1" customHeight="1" spans="1:22">
      <c r="A1058" s="62"/>
      <c r="B1058" s="63"/>
      <c r="C1058" s="64"/>
      <c r="D1058" s="65"/>
      <c r="E1058" s="66"/>
      <c r="F1058" s="66"/>
      <c r="G1058" s="67"/>
      <c r="H1058" s="67"/>
      <c r="I1058" s="68"/>
      <c r="J1058" s="68"/>
      <c r="K1058" s="68"/>
      <c r="L1058" s="69"/>
      <c r="M1058" s="65">
        <f>SUM(M1054:M1057)</f>
        <v>135.267862657536</v>
      </c>
      <c r="N1058" s="69"/>
      <c r="O1058" s="67"/>
      <c r="P1058" s="75"/>
      <c r="Q1058" s="71"/>
      <c r="R1058" s="71"/>
      <c r="S1058" s="71"/>
      <c r="T1058" s="72"/>
      <c r="U1058" s="73"/>
      <c r="V1058" s="12"/>
    </row>
    <row r="1059" s="1" customFormat="1" ht="29.1" customHeight="1" spans="1:22">
      <c r="A1059" s="62">
        <v>46193</v>
      </c>
      <c r="B1059" s="63" t="s">
        <v>1373</v>
      </c>
      <c r="C1059" s="64" t="s">
        <v>1430</v>
      </c>
      <c r="D1059" s="65" t="s">
        <v>1431</v>
      </c>
      <c r="E1059" s="66">
        <v>2592514</v>
      </c>
      <c r="F1059" s="66">
        <v>46496</v>
      </c>
      <c r="G1059" s="67" t="str">
        <f>VLOOKUP(F1059,[4]装箱单!$A:$C,3,0)</f>
        <v>米妮系列</v>
      </c>
      <c r="H1059" s="67">
        <v>1418</v>
      </c>
      <c r="I1059" s="68">
        <f>+L1059*2</f>
        <v>952</v>
      </c>
      <c r="J1059" s="45" t="s">
        <v>47</v>
      </c>
      <c r="K1059" s="68" t="s">
        <v>33</v>
      </c>
      <c r="L1059" s="76">
        <v>476</v>
      </c>
      <c r="M1059" s="65">
        <f t="shared" ref="M1059:M1084" si="108">+U1059</f>
        <v>10.646081783232</v>
      </c>
      <c r="N1059" s="69" t="s">
        <v>34</v>
      </c>
      <c r="O1059" s="67"/>
      <c r="P1059" s="70" t="s">
        <v>1432</v>
      </c>
      <c r="Q1059" s="71">
        <f>VLOOKUP($F1059,[4]装箱单!$A:$E,5,0)</f>
        <v>40.01</v>
      </c>
      <c r="R1059" s="71">
        <f>VLOOKUP($F1059,[4]装箱单!$A:$F,6,0)</f>
        <v>26.67</v>
      </c>
      <c r="S1059" s="71">
        <f>VLOOKUP($F1059,[4]装箱单!$A:$G,7,0)</f>
        <v>20.96</v>
      </c>
      <c r="T1059" s="72">
        <f>VLOOKUP($F1059,[4]装箱单!$A:$J,10,0)</f>
        <v>0.022365718032</v>
      </c>
      <c r="U1059" s="73">
        <f t="shared" ref="U1059:U1084" si="109">+T1059*L1059</f>
        <v>10.646081783232</v>
      </c>
      <c r="V1059" s="12"/>
    </row>
    <row r="1060" s="1" customFormat="1" ht="29.1" customHeight="1" spans="1:22">
      <c r="A1060" s="62">
        <v>46193</v>
      </c>
      <c r="B1060" s="63" t="s">
        <v>54</v>
      </c>
      <c r="C1060" s="64" t="s">
        <v>1433</v>
      </c>
      <c r="D1060" s="65" t="s">
        <v>1366</v>
      </c>
      <c r="E1060" s="66">
        <v>996501390</v>
      </c>
      <c r="F1060" s="68">
        <v>570989</v>
      </c>
      <c r="G1060" s="67" t="str">
        <f>VLOOKUP(F1060,[4]装箱单!$A:$C,3,0)</f>
        <v>盲盒系列</v>
      </c>
      <c r="H1060" s="67">
        <v>600</v>
      </c>
      <c r="I1060" s="68">
        <f t="shared" ref="I1060:I1065" si="110">+L1060*27</f>
        <v>16200</v>
      </c>
      <c r="J1060" s="68" t="s">
        <v>32</v>
      </c>
      <c r="K1060" s="68" t="s">
        <v>33</v>
      </c>
      <c r="L1060" s="69">
        <v>600</v>
      </c>
      <c r="M1060" s="65">
        <f t="shared" si="108"/>
        <v>6.69500677125</v>
      </c>
      <c r="N1060" s="69" t="s">
        <v>34</v>
      </c>
      <c r="O1060" s="67"/>
      <c r="P1060" s="74"/>
      <c r="Q1060" s="71">
        <f>VLOOKUP($F1060,[4]装箱单!$A:$E,5,0)</f>
        <v>31.115</v>
      </c>
      <c r="R1060" s="71">
        <f>VLOOKUP($F1060,[4]装箱单!$A:$F,6,0)</f>
        <v>22.59</v>
      </c>
      <c r="S1060" s="71">
        <f>VLOOKUP($F1060,[4]装箱单!$A:$G,7,0)</f>
        <v>15.875</v>
      </c>
      <c r="T1060" s="72">
        <f>VLOOKUP($F1060,[4]装箱单!$A:$J,10,0)</f>
        <v>0.01115834461875</v>
      </c>
      <c r="U1060" s="73">
        <f t="shared" si="109"/>
        <v>6.69500677125</v>
      </c>
      <c r="V1060" s="12"/>
    </row>
    <row r="1061" s="1" customFormat="1" ht="29.1" customHeight="1" spans="1:22">
      <c r="A1061" s="62">
        <v>46193</v>
      </c>
      <c r="B1061" s="63" t="s">
        <v>54</v>
      </c>
      <c r="C1061" s="64" t="s">
        <v>1434</v>
      </c>
      <c r="D1061" s="65" t="s">
        <v>1366</v>
      </c>
      <c r="E1061" s="66">
        <v>996501388</v>
      </c>
      <c r="F1061" s="68">
        <v>570989</v>
      </c>
      <c r="G1061" s="67" t="str">
        <f>VLOOKUP(F1061,[4]装箱单!$A:$C,3,0)</f>
        <v>盲盒系列</v>
      </c>
      <c r="H1061" s="67">
        <v>480</v>
      </c>
      <c r="I1061" s="68">
        <f t="shared" si="110"/>
        <v>12960</v>
      </c>
      <c r="J1061" s="68" t="s">
        <v>32</v>
      </c>
      <c r="K1061" s="68" t="s">
        <v>33</v>
      </c>
      <c r="L1061" s="69">
        <v>480</v>
      </c>
      <c r="M1061" s="65">
        <f t="shared" si="108"/>
        <v>5.356005417</v>
      </c>
      <c r="N1061" s="69" t="s">
        <v>34</v>
      </c>
      <c r="O1061" s="77"/>
      <c r="P1061" s="74"/>
      <c r="Q1061" s="71">
        <f>VLOOKUP($F1061,[4]装箱单!$A:$E,5,0)</f>
        <v>31.115</v>
      </c>
      <c r="R1061" s="71">
        <f>VLOOKUP($F1061,[4]装箱单!$A:$F,6,0)</f>
        <v>22.59</v>
      </c>
      <c r="S1061" s="71">
        <f>VLOOKUP($F1061,[4]装箱单!$A:$G,7,0)</f>
        <v>15.875</v>
      </c>
      <c r="T1061" s="72">
        <f>VLOOKUP($F1061,[4]装箱单!$A:$J,10,0)</f>
        <v>0.01115834461875</v>
      </c>
      <c r="U1061" s="73">
        <f t="shared" si="109"/>
        <v>5.356005417</v>
      </c>
      <c r="V1061" s="12"/>
    </row>
    <row r="1062" s="1" customFormat="1" ht="29.1" customHeight="1" spans="1:22">
      <c r="A1062" s="62">
        <v>46193</v>
      </c>
      <c r="B1062" s="63" t="s">
        <v>54</v>
      </c>
      <c r="C1062" s="64" t="s">
        <v>1435</v>
      </c>
      <c r="D1062" s="65" t="s">
        <v>1366</v>
      </c>
      <c r="E1062" s="66">
        <v>996501399</v>
      </c>
      <c r="F1062" s="68">
        <v>570989</v>
      </c>
      <c r="G1062" s="67" t="str">
        <f>VLOOKUP(F1062,[4]装箱单!$A:$C,3,0)</f>
        <v>盲盒系列</v>
      </c>
      <c r="H1062" s="67">
        <v>360</v>
      </c>
      <c r="I1062" s="68">
        <f t="shared" si="110"/>
        <v>9720</v>
      </c>
      <c r="J1062" s="68" t="s">
        <v>32</v>
      </c>
      <c r="K1062" s="68" t="s">
        <v>33</v>
      </c>
      <c r="L1062" s="69">
        <v>360</v>
      </c>
      <c r="M1062" s="65">
        <f t="shared" si="108"/>
        <v>4.01700406275</v>
      </c>
      <c r="N1062" s="69" t="s">
        <v>34</v>
      </c>
      <c r="O1062" s="77"/>
      <c r="P1062" s="74"/>
      <c r="Q1062" s="71">
        <f>VLOOKUP($F1062,[4]装箱单!$A:$E,5,0)</f>
        <v>31.115</v>
      </c>
      <c r="R1062" s="71">
        <f>VLOOKUP($F1062,[4]装箱单!$A:$F,6,0)</f>
        <v>22.59</v>
      </c>
      <c r="S1062" s="71">
        <f>VLOOKUP($F1062,[4]装箱单!$A:$G,7,0)</f>
        <v>15.875</v>
      </c>
      <c r="T1062" s="72">
        <f>VLOOKUP($F1062,[4]装箱单!$A:$J,10,0)</f>
        <v>0.01115834461875</v>
      </c>
      <c r="U1062" s="73">
        <f t="shared" si="109"/>
        <v>4.01700406275</v>
      </c>
      <c r="V1062" s="12"/>
    </row>
    <row r="1063" s="1" customFormat="1" ht="29.1" customHeight="1" spans="1:22">
      <c r="A1063" s="62">
        <v>46193</v>
      </c>
      <c r="B1063" s="63" t="s">
        <v>54</v>
      </c>
      <c r="C1063" s="64" t="s">
        <v>1436</v>
      </c>
      <c r="D1063" s="65" t="s">
        <v>1366</v>
      </c>
      <c r="E1063" s="66">
        <v>996501400</v>
      </c>
      <c r="F1063" s="68">
        <v>570989</v>
      </c>
      <c r="G1063" s="67" t="str">
        <f>VLOOKUP(F1063,[4]装箱单!$A:$C,3,0)</f>
        <v>盲盒系列</v>
      </c>
      <c r="H1063" s="67">
        <v>480</v>
      </c>
      <c r="I1063" s="68">
        <f t="shared" si="110"/>
        <v>12960</v>
      </c>
      <c r="J1063" s="68" t="s">
        <v>32</v>
      </c>
      <c r="K1063" s="68" t="s">
        <v>33</v>
      </c>
      <c r="L1063" s="69">
        <v>480</v>
      </c>
      <c r="M1063" s="65">
        <f t="shared" si="108"/>
        <v>5.356005417</v>
      </c>
      <c r="N1063" s="69" t="s">
        <v>34</v>
      </c>
      <c r="O1063" s="77"/>
      <c r="P1063" s="74"/>
      <c r="Q1063" s="71">
        <f>VLOOKUP($F1063,[4]装箱单!$A:$E,5,0)</f>
        <v>31.115</v>
      </c>
      <c r="R1063" s="71">
        <f>VLOOKUP($F1063,[4]装箱单!$A:$F,6,0)</f>
        <v>22.59</v>
      </c>
      <c r="S1063" s="71">
        <f>VLOOKUP($F1063,[4]装箱单!$A:$G,7,0)</f>
        <v>15.875</v>
      </c>
      <c r="T1063" s="72">
        <f>VLOOKUP($F1063,[4]装箱单!$A:$J,10,0)</f>
        <v>0.01115834461875</v>
      </c>
      <c r="U1063" s="73">
        <f t="shared" si="109"/>
        <v>5.356005417</v>
      </c>
      <c r="V1063" s="12"/>
    </row>
    <row r="1064" s="1" customFormat="1" ht="29.1" customHeight="1" spans="1:22">
      <c r="A1064" s="62">
        <v>46193</v>
      </c>
      <c r="B1064" s="63" t="s">
        <v>54</v>
      </c>
      <c r="C1064" s="64" t="s">
        <v>1437</v>
      </c>
      <c r="D1064" s="65" t="s">
        <v>1366</v>
      </c>
      <c r="E1064" s="66">
        <v>996501427</v>
      </c>
      <c r="F1064" s="68">
        <v>570989</v>
      </c>
      <c r="G1064" s="67" t="str">
        <f>VLOOKUP(F1064,[4]装箱单!$A:$C,3,0)</f>
        <v>盲盒系列</v>
      </c>
      <c r="H1064" s="67">
        <v>480</v>
      </c>
      <c r="I1064" s="68">
        <f t="shared" si="110"/>
        <v>12960</v>
      </c>
      <c r="J1064" s="68" t="s">
        <v>32</v>
      </c>
      <c r="K1064" s="68" t="s">
        <v>33</v>
      </c>
      <c r="L1064" s="69">
        <v>480</v>
      </c>
      <c r="M1064" s="65">
        <f t="shared" si="108"/>
        <v>5.356005417</v>
      </c>
      <c r="N1064" s="69" t="s">
        <v>34</v>
      </c>
      <c r="O1064" s="77"/>
      <c r="P1064" s="74"/>
      <c r="Q1064" s="71">
        <f>VLOOKUP($F1064,[4]装箱单!$A:$E,5,0)</f>
        <v>31.115</v>
      </c>
      <c r="R1064" s="71">
        <f>VLOOKUP($F1064,[4]装箱单!$A:$F,6,0)</f>
        <v>22.59</v>
      </c>
      <c r="S1064" s="71">
        <f>VLOOKUP($F1064,[4]装箱单!$A:$G,7,0)</f>
        <v>15.875</v>
      </c>
      <c r="T1064" s="72">
        <f>VLOOKUP($F1064,[4]装箱单!$A:$J,10,0)</f>
        <v>0.01115834461875</v>
      </c>
      <c r="U1064" s="73">
        <f t="shared" si="109"/>
        <v>5.356005417</v>
      </c>
      <c r="V1064" s="12"/>
    </row>
    <row r="1065" s="1" customFormat="1" ht="29.1" customHeight="1" spans="1:22">
      <c r="A1065" s="62">
        <v>46193</v>
      </c>
      <c r="B1065" s="63" t="s">
        <v>54</v>
      </c>
      <c r="C1065" s="64" t="s">
        <v>1438</v>
      </c>
      <c r="D1065" s="65" t="s">
        <v>1366</v>
      </c>
      <c r="E1065" s="66">
        <v>996501483</v>
      </c>
      <c r="F1065" s="68">
        <v>570989</v>
      </c>
      <c r="G1065" s="67" t="str">
        <f>VLOOKUP(F1065,[4]装箱单!$A:$C,3,0)</f>
        <v>盲盒系列</v>
      </c>
      <c r="H1065" s="67">
        <v>360</v>
      </c>
      <c r="I1065" s="68">
        <f t="shared" si="110"/>
        <v>9720</v>
      </c>
      <c r="J1065" s="68" t="s">
        <v>32</v>
      </c>
      <c r="K1065" s="68" t="s">
        <v>33</v>
      </c>
      <c r="L1065" s="69">
        <v>360</v>
      </c>
      <c r="M1065" s="65">
        <f t="shared" si="108"/>
        <v>4.01700406275</v>
      </c>
      <c r="N1065" s="69" t="s">
        <v>34</v>
      </c>
      <c r="O1065" s="77"/>
      <c r="P1065" s="74"/>
      <c r="Q1065" s="71">
        <f>VLOOKUP($F1065,[4]装箱单!$A:$E,5,0)</f>
        <v>31.115</v>
      </c>
      <c r="R1065" s="71">
        <f>VLOOKUP($F1065,[4]装箱单!$A:$F,6,0)</f>
        <v>22.59</v>
      </c>
      <c r="S1065" s="71">
        <f>VLOOKUP($F1065,[4]装箱单!$A:$G,7,0)</f>
        <v>15.875</v>
      </c>
      <c r="T1065" s="72">
        <f>VLOOKUP($F1065,[4]装箱单!$A:$J,10,0)</f>
        <v>0.01115834461875</v>
      </c>
      <c r="U1065" s="73">
        <f t="shared" si="109"/>
        <v>4.01700406275</v>
      </c>
      <c r="V1065" s="12"/>
    </row>
    <row r="1066" s="1" customFormat="1" ht="29.1" customHeight="1" spans="1:22">
      <c r="A1066" s="62">
        <v>46193</v>
      </c>
      <c r="B1066" s="63" t="s">
        <v>1439</v>
      </c>
      <c r="C1066" s="64" t="s">
        <v>1440</v>
      </c>
      <c r="D1066" s="65" t="s">
        <v>1441</v>
      </c>
      <c r="E1066" s="67" t="s">
        <v>1442</v>
      </c>
      <c r="F1066" s="67" t="s">
        <v>45</v>
      </c>
      <c r="G1066" s="67" t="str">
        <f>VLOOKUP(F1066,[4]装箱单!$A:$C,3,0)</f>
        <v>鸭子</v>
      </c>
      <c r="H1066" s="67">
        <v>381</v>
      </c>
      <c r="I1066" s="68">
        <f t="shared" ref="I1066:I1079" si="111">+L1066*18</f>
        <v>6858</v>
      </c>
      <c r="J1066" s="68" t="s">
        <v>32</v>
      </c>
      <c r="K1066" s="68" t="s">
        <v>33</v>
      </c>
      <c r="L1066" s="69">
        <v>381</v>
      </c>
      <c r="M1066" s="65">
        <f t="shared" si="108"/>
        <v>2.2071378034575</v>
      </c>
      <c r="N1066" s="69" t="s">
        <v>34</v>
      </c>
      <c r="O1066" s="67"/>
      <c r="P1066" s="74"/>
      <c r="Q1066" s="71">
        <f>VLOOKUP($F1066,[4]装箱单!$A:$E,5,0)</f>
        <v>32.385</v>
      </c>
      <c r="R1066" s="71">
        <f>VLOOKUP($F1066,[4]装箱单!$A:$F,6,0)</f>
        <v>18.78</v>
      </c>
      <c r="S1066" s="71">
        <f>VLOOKUP($F1066,[4]装箱单!$A:$G,7,0)</f>
        <v>9.525</v>
      </c>
      <c r="T1066" s="72">
        <f>VLOOKUP($F1066,[4]装箱单!$A:$J,10,0)</f>
        <v>0.0057930126075</v>
      </c>
      <c r="U1066" s="73">
        <f t="shared" si="109"/>
        <v>2.2071378034575</v>
      </c>
      <c r="V1066" s="12"/>
    </row>
    <row r="1067" s="1" customFormat="1" ht="29.1" customHeight="1" spans="1:22">
      <c r="A1067" s="62">
        <v>46193</v>
      </c>
      <c r="B1067" s="63" t="s">
        <v>1439</v>
      </c>
      <c r="C1067" s="64" t="s">
        <v>1440</v>
      </c>
      <c r="D1067" s="65" t="s">
        <v>1441</v>
      </c>
      <c r="E1067" s="67" t="s">
        <v>1442</v>
      </c>
      <c r="F1067" s="67" t="s">
        <v>45</v>
      </c>
      <c r="G1067" s="67" t="str">
        <f>VLOOKUP(F1067,[4]装箱单!$A:$C,3,0)</f>
        <v>鸭子</v>
      </c>
      <c r="H1067" s="67">
        <v>381</v>
      </c>
      <c r="I1067" s="68">
        <f t="shared" si="111"/>
        <v>6858</v>
      </c>
      <c r="J1067" s="68" t="s">
        <v>32</v>
      </c>
      <c r="K1067" s="68" t="s">
        <v>33</v>
      </c>
      <c r="L1067" s="69">
        <v>381</v>
      </c>
      <c r="M1067" s="65">
        <f t="shared" si="108"/>
        <v>2.2071378034575</v>
      </c>
      <c r="N1067" s="69" t="s">
        <v>34</v>
      </c>
      <c r="O1067" s="67"/>
      <c r="P1067" s="74"/>
      <c r="Q1067" s="71">
        <f>VLOOKUP($F1067,[4]装箱单!$A:$E,5,0)</f>
        <v>32.385</v>
      </c>
      <c r="R1067" s="71">
        <f>VLOOKUP($F1067,[4]装箱单!$A:$F,6,0)</f>
        <v>18.78</v>
      </c>
      <c r="S1067" s="71">
        <f>VLOOKUP($F1067,[4]装箱单!$A:$G,7,0)</f>
        <v>9.525</v>
      </c>
      <c r="T1067" s="72">
        <f>VLOOKUP($F1067,[4]装箱单!$A:$J,10,0)</f>
        <v>0.0057930126075</v>
      </c>
      <c r="U1067" s="73">
        <f t="shared" si="109"/>
        <v>2.2071378034575</v>
      </c>
      <c r="V1067" s="12"/>
    </row>
    <row r="1068" s="1" customFormat="1" ht="29.1" customHeight="1" spans="1:22">
      <c r="A1068" s="62">
        <v>46193</v>
      </c>
      <c r="B1068" s="63" t="s">
        <v>1439</v>
      </c>
      <c r="C1068" s="64" t="s">
        <v>1440</v>
      </c>
      <c r="D1068" s="65" t="s">
        <v>1441</v>
      </c>
      <c r="E1068" s="67" t="s">
        <v>1442</v>
      </c>
      <c r="F1068" s="67" t="s">
        <v>45</v>
      </c>
      <c r="G1068" s="67" t="str">
        <f>VLOOKUP(F1068,[4]装箱单!$A:$C,3,0)</f>
        <v>鸭子</v>
      </c>
      <c r="H1068" s="67">
        <v>381</v>
      </c>
      <c r="I1068" s="68">
        <f t="shared" si="111"/>
        <v>6858</v>
      </c>
      <c r="J1068" s="68" t="s">
        <v>32</v>
      </c>
      <c r="K1068" s="68" t="s">
        <v>33</v>
      </c>
      <c r="L1068" s="69">
        <v>381</v>
      </c>
      <c r="M1068" s="65">
        <f t="shared" si="108"/>
        <v>2.2071378034575</v>
      </c>
      <c r="N1068" s="69" t="s">
        <v>34</v>
      </c>
      <c r="O1068" s="67"/>
      <c r="P1068" s="74"/>
      <c r="Q1068" s="71">
        <f>VLOOKUP($F1068,[4]装箱单!$A:$E,5,0)</f>
        <v>32.385</v>
      </c>
      <c r="R1068" s="71">
        <f>VLOOKUP($F1068,[4]装箱单!$A:$F,6,0)</f>
        <v>18.78</v>
      </c>
      <c r="S1068" s="71">
        <f>VLOOKUP($F1068,[4]装箱单!$A:$G,7,0)</f>
        <v>9.525</v>
      </c>
      <c r="T1068" s="72">
        <f>VLOOKUP($F1068,[4]装箱单!$A:$J,10,0)</f>
        <v>0.0057930126075</v>
      </c>
      <c r="U1068" s="73">
        <f t="shared" si="109"/>
        <v>2.2071378034575</v>
      </c>
      <c r="V1068" s="12"/>
    </row>
    <row r="1069" s="1" customFormat="1" ht="29.1" customHeight="1" spans="1:22">
      <c r="A1069" s="62">
        <v>46193</v>
      </c>
      <c r="B1069" s="63" t="s">
        <v>1439</v>
      </c>
      <c r="C1069" s="64" t="s">
        <v>1443</v>
      </c>
      <c r="D1069" s="65" t="s">
        <v>1444</v>
      </c>
      <c r="E1069" s="67" t="s">
        <v>1445</v>
      </c>
      <c r="F1069" s="67" t="s">
        <v>45</v>
      </c>
      <c r="G1069" s="67" t="str">
        <f>VLOOKUP(F1069,[4]装箱单!$A:$C,3,0)</f>
        <v>鸭子</v>
      </c>
      <c r="H1069" s="67">
        <v>326</v>
      </c>
      <c r="I1069" s="68">
        <f t="shared" si="111"/>
        <v>5868</v>
      </c>
      <c r="J1069" s="68" t="s">
        <v>32</v>
      </c>
      <c r="K1069" s="68" t="s">
        <v>33</v>
      </c>
      <c r="L1069" s="69">
        <v>326</v>
      </c>
      <c r="M1069" s="65">
        <f t="shared" si="108"/>
        <v>1.888522110045</v>
      </c>
      <c r="N1069" s="69" t="s">
        <v>34</v>
      </c>
      <c r="O1069" s="67"/>
      <c r="P1069" s="74"/>
      <c r="Q1069" s="71">
        <f>VLOOKUP($F1069,[4]装箱单!$A:$E,5,0)</f>
        <v>32.385</v>
      </c>
      <c r="R1069" s="71">
        <f>VLOOKUP($F1069,[4]装箱单!$A:$F,6,0)</f>
        <v>18.78</v>
      </c>
      <c r="S1069" s="71">
        <f>VLOOKUP($F1069,[4]装箱单!$A:$G,7,0)</f>
        <v>9.525</v>
      </c>
      <c r="T1069" s="72">
        <f>VLOOKUP($F1069,[4]装箱单!$A:$J,10,0)</f>
        <v>0.0057930126075</v>
      </c>
      <c r="U1069" s="73">
        <f t="shared" si="109"/>
        <v>1.888522110045</v>
      </c>
      <c r="V1069" s="12"/>
    </row>
    <row r="1070" s="1" customFormat="1" ht="29.1" customHeight="1" spans="1:22">
      <c r="A1070" s="62">
        <v>46193</v>
      </c>
      <c r="B1070" s="63" t="s">
        <v>1439</v>
      </c>
      <c r="C1070" s="64" t="s">
        <v>1443</v>
      </c>
      <c r="D1070" s="65" t="s">
        <v>1444</v>
      </c>
      <c r="E1070" s="67" t="s">
        <v>1445</v>
      </c>
      <c r="F1070" s="67" t="s">
        <v>45</v>
      </c>
      <c r="G1070" s="67" t="str">
        <f>VLOOKUP(F1070,[4]装箱单!$A:$C,3,0)</f>
        <v>鸭子</v>
      </c>
      <c r="H1070" s="67">
        <v>326</v>
      </c>
      <c r="I1070" s="68">
        <f t="shared" si="111"/>
        <v>5868</v>
      </c>
      <c r="J1070" s="68" t="s">
        <v>32</v>
      </c>
      <c r="K1070" s="68" t="s">
        <v>33</v>
      </c>
      <c r="L1070" s="69">
        <v>326</v>
      </c>
      <c r="M1070" s="65">
        <f t="shared" si="108"/>
        <v>1.888522110045</v>
      </c>
      <c r="N1070" s="69" t="s">
        <v>34</v>
      </c>
      <c r="O1070" s="67"/>
      <c r="P1070" s="74"/>
      <c r="Q1070" s="71">
        <f>VLOOKUP($F1070,[4]装箱单!$A:$E,5,0)</f>
        <v>32.385</v>
      </c>
      <c r="R1070" s="71">
        <f>VLOOKUP($F1070,[4]装箱单!$A:$F,6,0)</f>
        <v>18.78</v>
      </c>
      <c r="S1070" s="71">
        <f>VLOOKUP($F1070,[4]装箱单!$A:$G,7,0)</f>
        <v>9.525</v>
      </c>
      <c r="T1070" s="72">
        <f>VLOOKUP($F1070,[4]装箱单!$A:$J,10,0)</f>
        <v>0.0057930126075</v>
      </c>
      <c r="U1070" s="73">
        <f t="shared" si="109"/>
        <v>1.888522110045</v>
      </c>
      <c r="V1070" s="12"/>
    </row>
    <row r="1071" s="1" customFormat="1" ht="29.1" customHeight="1" spans="1:22">
      <c r="A1071" s="62">
        <v>46193</v>
      </c>
      <c r="B1071" s="63" t="s">
        <v>1439</v>
      </c>
      <c r="C1071" s="64" t="s">
        <v>1443</v>
      </c>
      <c r="D1071" s="65" t="s">
        <v>1444</v>
      </c>
      <c r="E1071" s="67" t="s">
        <v>1445</v>
      </c>
      <c r="F1071" s="67" t="s">
        <v>45</v>
      </c>
      <c r="G1071" s="67" t="str">
        <f>VLOOKUP(F1071,[4]装箱单!$A:$C,3,0)</f>
        <v>鸭子</v>
      </c>
      <c r="H1071" s="67">
        <v>326</v>
      </c>
      <c r="I1071" s="68">
        <f t="shared" si="111"/>
        <v>5868</v>
      </c>
      <c r="J1071" s="68" t="s">
        <v>32</v>
      </c>
      <c r="K1071" s="68" t="s">
        <v>33</v>
      </c>
      <c r="L1071" s="69">
        <v>326</v>
      </c>
      <c r="M1071" s="65">
        <f t="shared" si="108"/>
        <v>1.888522110045</v>
      </c>
      <c r="N1071" s="69" t="s">
        <v>34</v>
      </c>
      <c r="O1071" s="67"/>
      <c r="P1071" s="74"/>
      <c r="Q1071" s="71">
        <f>VLOOKUP($F1071,[4]装箱单!$A:$E,5,0)</f>
        <v>32.385</v>
      </c>
      <c r="R1071" s="71">
        <f>VLOOKUP($F1071,[4]装箱单!$A:$F,6,0)</f>
        <v>18.78</v>
      </c>
      <c r="S1071" s="71">
        <f>VLOOKUP($F1071,[4]装箱单!$A:$G,7,0)</f>
        <v>9.525</v>
      </c>
      <c r="T1071" s="72">
        <f>VLOOKUP($F1071,[4]装箱单!$A:$J,10,0)</f>
        <v>0.0057930126075</v>
      </c>
      <c r="U1071" s="73">
        <f t="shared" si="109"/>
        <v>1.888522110045</v>
      </c>
      <c r="V1071" s="12"/>
    </row>
    <row r="1072" s="1" customFormat="1" ht="29.1" customHeight="1" spans="1:22">
      <c r="A1072" s="62">
        <v>46193</v>
      </c>
      <c r="B1072" s="63" t="s">
        <v>1439</v>
      </c>
      <c r="C1072" s="64" t="s">
        <v>1440</v>
      </c>
      <c r="D1072" s="65" t="s">
        <v>1441</v>
      </c>
      <c r="E1072" s="67" t="s">
        <v>1442</v>
      </c>
      <c r="F1072" s="67" t="s">
        <v>111</v>
      </c>
      <c r="G1072" s="67" t="str">
        <f>VLOOKUP(F1072,[4]装箱单!$A:$C,3,0)</f>
        <v>鸭子</v>
      </c>
      <c r="H1072" s="67">
        <v>381</v>
      </c>
      <c r="I1072" s="68">
        <f t="shared" si="111"/>
        <v>6858</v>
      </c>
      <c r="J1072" s="68" t="s">
        <v>32</v>
      </c>
      <c r="K1072" s="68" t="s">
        <v>33</v>
      </c>
      <c r="L1072" s="69">
        <v>381</v>
      </c>
      <c r="M1072" s="65">
        <f t="shared" si="108"/>
        <v>2.2071378034575</v>
      </c>
      <c r="N1072" s="69" t="s">
        <v>34</v>
      </c>
      <c r="O1072" s="67"/>
      <c r="P1072" s="74"/>
      <c r="Q1072" s="71">
        <f>VLOOKUP($F1072,[4]装箱单!$A:$E,5,0)</f>
        <v>32.385</v>
      </c>
      <c r="R1072" s="71">
        <f>VLOOKUP($F1072,[4]装箱单!$A:$F,6,0)</f>
        <v>18.78</v>
      </c>
      <c r="S1072" s="71">
        <f>VLOOKUP($F1072,[4]装箱单!$A:$G,7,0)</f>
        <v>9.525</v>
      </c>
      <c r="T1072" s="72">
        <f>VLOOKUP($F1072,[4]装箱单!$A:$J,10,0)</f>
        <v>0.0057930126075</v>
      </c>
      <c r="U1072" s="73">
        <f t="shared" si="109"/>
        <v>2.2071378034575</v>
      </c>
      <c r="V1072" s="12"/>
    </row>
    <row r="1073" s="1" customFormat="1" ht="29.1" customHeight="1" spans="1:22">
      <c r="A1073" s="62">
        <v>46193</v>
      </c>
      <c r="B1073" s="63" t="s">
        <v>1439</v>
      </c>
      <c r="C1073" s="64" t="s">
        <v>1440</v>
      </c>
      <c r="D1073" s="65" t="s">
        <v>1441</v>
      </c>
      <c r="E1073" s="67" t="s">
        <v>1442</v>
      </c>
      <c r="F1073" s="67" t="s">
        <v>111</v>
      </c>
      <c r="G1073" s="67" t="str">
        <f>VLOOKUP(F1073,[4]装箱单!$A:$C,3,0)</f>
        <v>鸭子</v>
      </c>
      <c r="H1073" s="67">
        <v>381</v>
      </c>
      <c r="I1073" s="68">
        <f t="shared" si="111"/>
        <v>6858</v>
      </c>
      <c r="J1073" s="68" t="s">
        <v>32</v>
      </c>
      <c r="K1073" s="68" t="s">
        <v>33</v>
      </c>
      <c r="L1073" s="69">
        <v>381</v>
      </c>
      <c r="M1073" s="65">
        <f t="shared" si="108"/>
        <v>2.2071378034575</v>
      </c>
      <c r="N1073" s="69" t="s">
        <v>34</v>
      </c>
      <c r="O1073" s="67"/>
      <c r="P1073" s="74"/>
      <c r="Q1073" s="71">
        <f>VLOOKUP($F1073,[4]装箱单!$A:$E,5,0)</f>
        <v>32.385</v>
      </c>
      <c r="R1073" s="71">
        <f>VLOOKUP($F1073,[4]装箱单!$A:$F,6,0)</f>
        <v>18.78</v>
      </c>
      <c r="S1073" s="71">
        <f>VLOOKUP($F1073,[4]装箱单!$A:$G,7,0)</f>
        <v>9.525</v>
      </c>
      <c r="T1073" s="72">
        <f>VLOOKUP($F1073,[4]装箱单!$A:$J,10,0)</f>
        <v>0.0057930126075</v>
      </c>
      <c r="U1073" s="73">
        <f t="shared" si="109"/>
        <v>2.2071378034575</v>
      </c>
      <c r="V1073" s="12"/>
    </row>
    <row r="1074" s="1" customFormat="1" ht="29.1" customHeight="1" spans="1:22">
      <c r="A1074" s="62">
        <v>46193</v>
      </c>
      <c r="B1074" s="63" t="s">
        <v>1439</v>
      </c>
      <c r="C1074" s="64" t="s">
        <v>1440</v>
      </c>
      <c r="D1074" s="65" t="s">
        <v>1441</v>
      </c>
      <c r="E1074" s="67" t="s">
        <v>1442</v>
      </c>
      <c r="F1074" s="67" t="s">
        <v>111</v>
      </c>
      <c r="G1074" s="67" t="str">
        <f>VLOOKUP(F1074,[4]装箱单!$A:$C,3,0)</f>
        <v>鸭子</v>
      </c>
      <c r="H1074" s="67">
        <v>381</v>
      </c>
      <c r="I1074" s="68">
        <f t="shared" si="111"/>
        <v>6858</v>
      </c>
      <c r="J1074" s="68" t="s">
        <v>32</v>
      </c>
      <c r="K1074" s="68" t="s">
        <v>33</v>
      </c>
      <c r="L1074" s="69">
        <v>381</v>
      </c>
      <c r="M1074" s="65">
        <f t="shared" si="108"/>
        <v>2.2071378034575</v>
      </c>
      <c r="N1074" s="69" t="s">
        <v>34</v>
      </c>
      <c r="O1074" s="67"/>
      <c r="P1074" s="74"/>
      <c r="Q1074" s="71">
        <f>VLOOKUP($F1074,[4]装箱单!$A:$E,5,0)</f>
        <v>32.385</v>
      </c>
      <c r="R1074" s="71">
        <f>VLOOKUP($F1074,[4]装箱单!$A:$F,6,0)</f>
        <v>18.78</v>
      </c>
      <c r="S1074" s="71">
        <f>VLOOKUP($F1074,[4]装箱单!$A:$G,7,0)</f>
        <v>9.525</v>
      </c>
      <c r="T1074" s="72">
        <f>VLOOKUP($F1074,[4]装箱单!$A:$J,10,0)</f>
        <v>0.0057930126075</v>
      </c>
      <c r="U1074" s="73">
        <f t="shared" si="109"/>
        <v>2.2071378034575</v>
      </c>
      <c r="V1074" s="12"/>
    </row>
    <row r="1075" s="1" customFormat="1" ht="29.1" customHeight="1" spans="1:22">
      <c r="A1075" s="62">
        <v>46193</v>
      </c>
      <c r="B1075" s="63" t="s">
        <v>1439</v>
      </c>
      <c r="C1075" s="64" t="s">
        <v>1443</v>
      </c>
      <c r="D1075" s="65" t="s">
        <v>1444</v>
      </c>
      <c r="E1075" s="67" t="s">
        <v>1445</v>
      </c>
      <c r="F1075" s="67" t="s">
        <v>111</v>
      </c>
      <c r="G1075" s="67" t="str">
        <f>VLOOKUP(F1075,[4]装箱单!$A:$C,3,0)</f>
        <v>鸭子</v>
      </c>
      <c r="H1075" s="67">
        <v>326</v>
      </c>
      <c r="I1075" s="68">
        <f t="shared" si="111"/>
        <v>5868</v>
      </c>
      <c r="J1075" s="68" t="s">
        <v>32</v>
      </c>
      <c r="K1075" s="68" t="s">
        <v>33</v>
      </c>
      <c r="L1075" s="69">
        <v>326</v>
      </c>
      <c r="M1075" s="65">
        <f t="shared" si="108"/>
        <v>1.888522110045</v>
      </c>
      <c r="N1075" s="69" t="s">
        <v>34</v>
      </c>
      <c r="O1075" s="67"/>
      <c r="P1075" s="74"/>
      <c r="Q1075" s="71">
        <f>VLOOKUP($F1075,[4]装箱单!$A:$E,5,0)</f>
        <v>32.385</v>
      </c>
      <c r="R1075" s="71">
        <f>VLOOKUP($F1075,[4]装箱单!$A:$F,6,0)</f>
        <v>18.78</v>
      </c>
      <c r="S1075" s="71">
        <f>VLOOKUP($F1075,[4]装箱单!$A:$G,7,0)</f>
        <v>9.525</v>
      </c>
      <c r="T1075" s="72">
        <f>VLOOKUP($F1075,[4]装箱单!$A:$J,10,0)</f>
        <v>0.0057930126075</v>
      </c>
      <c r="U1075" s="73">
        <f t="shared" si="109"/>
        <v>1.888522110045</v>
      </c>
      <c r="V1075" s="12"/>
    </row>
    <row r="1076" s="1" customFormat="1" ht="29.1" customHeight="1" spans="1:22">
      <c r="A1076" s="62">
        <v>46193</v>
      </c>
      <c r="B1076" s="63" t="s">
        <v>1439</v>
      </c>
      <c r="C1076" s="64" t="s">
        <v>1443</v>
      </c>
      <c r="D1076" s="65" t="s">
        <v>1444</v>
      </c>
      <c r="E1076" s="67" t="s">
        <v>1445</v>
      </c>
      <c r="F1076" s="67" t="s">
        <v>111</v>
      </c>
      <c r="G1076" s="67" t="str">
        <f>VLOOKUP(F1076,[4]装箱单!$A:$C,3,0)</f>
        <v>鸭子</v>
      </c>
      <c r="H1076" s="67">
        <v>326</v>
      </c>
      <c r="I1076" s="68">
        <f t="shared" si="111"/>
        <v>5868</v>
      </c>
      <c r="J1076" s="68" t="s">
        <v>32</v>
      </c>
      <c r="K1076" s="68" t="s">
        <v>33</v>
      </c>
      <c r="L1076" s="69">
        <v>326</v>
      </c>
      <c r="M1076" s="65">
        <f t="shared" si="108"/>
        <v>1.888522110045</v>
      </c>
      <c r="N1076" s="69" t="s">
        <v>34</v>
      </c>
      <c r="O1076" s="67"/>
      <c r="P1076" s="74"/>
      <c r="Q1076" s="71">
        <f>VLOOKUP($F1076,[4]装箱单!$A:$E,5,0)</f>
        <v>32.385</v>
      </c>
      <c r="R1076" s="71">
        <f>VLOOKUP($F1076,[4]装箱单!$A:$F,6,0)</f>
        <v>18.78</v>
      </c>
      <c r="S1076" s="71">
        <f>VLOOKUP($F1076,[4]装箱单!$A:$G,7,0)</f>
        <v>9.525</v>
      </c>
      <c r="T1076" s="72">
        <f>VLOOKUP($F1076,[4]装箱单!$A:$J,10,0)</f>
        <v>0.0057930126075</v>
      </c>
      <c r="U1076" s="73">
        <f t="shared" si="109"/>
        <v>1.888522110045</v>
      </c>
      <c r="V1076" s="12"/>
    </row>
    <row r="1077" s="1" customFormat="1" ht="29.1" customHeight="1" spans="1:22">
      <c r="A1077" s="62">
        <v>46193</v>
      </c>
      <c r="B1077" s="63" t="s">
        <v>1439</v>
      </c>
      <c r="C1077" s="64" t="s">
        <v>1443</v>
      </c>
      <c r="D1077" s="65" t="s">
        <v>1444</v>
      </c>
      <c r="E1077" s="67" t="s">
        <v>1445</v>
      </c>
      <c r="F1077" s="67" t="s">
        <v>228</v>
      </c>
      <c r="G1077" s="67" t="str">
        <f>VLOOKUP(F1077,[4]装箱单!$A:$C,3,0)</f>
        <v>搪胶小鸭</v>
      </c>
      <c r="H1077" s="67">
        <v>326</v>
      </c>
      <c r="I1077" s="68">
        <f t="shared" si="111"/>
        <v>5868</v>
      </c>
      <c r="J1077" s="68" t="s">
        <v>32</v>
      </c>
      <c r="K1077" s="68" t="s">
        <v>33</v>
      </c>
      <c r="L1077" s="69">
        <v>326</v>
      </c>
      <c r="M1077" s="65">
        <f t="shared" si="108"/>
        <v>2.07460695</v>
      </c>
      <c r="N1077" s="69" t="s">
        <v>34</v>
      </c>
      <c r="O1077" s="67"/>
      <c r="P1077" s="74"/>
      <c r="Q1077" s="71">
        <f>VLOOKUP($F1077,[4]装箱单!$A:$E,5,0)</f>
        <v>32.5</v>
      </c>
      <c r="R1077" s="71">
        <f>VLOOKUP($F1077,[4]装箱单!$A:$F,6,0)</f>
        <v>18.3</v>
      </c>
      <c r="S1077" s="71">
        <f>VLOOKUP($F1077,[4]装箱单!$A:$G,7,0)</f>
        <v>10.7</v>
      </c>
      <c r="T1077" s="72">
        <f>VLOOKUP($F1077,[4]装箱单!$A:$J,10,0)</f>
        <v>0.006363825</v>
      </c>
      <c r="U1077" s="73">
        <f t="shared" si="109"/>
        <v>2.07460695</v>
      </c>
      <c r="V1077" s="12"/>
    </row>
    <row r="1078" s="1" customFormat="1" ht="29.1" customHeight="1" spans="1:22">
      <c r="A1078" s="62">
        <v>46193</v>
      </c>
      <c r="B1078" s="63" t="s">
        <v>1439</v>
      </c>
      <c r="C1078" s="64" t="s">
        <v>1440</v>
      </c>
      <c r="D1078" s="65" t="s">
        <v>1441</v>
      </c>
      <c r="E1078" s="67" t="s">
        <v>1442</v>
      </c>
      <c r="F1078" s="67" t="s">
        <v>279</v>
      </c>
      <c r="G1078" s="67" t="str">
        <f>VLOOKUP(F1078,[4]装箱单!$A:$C,3,0)</f>
        <v>假日小鸭</v>
      </c>
      <c r="H1078" s="67">
        <v>381</v>
      </c>
      <c r="I1078" s="68">
        <f t="shared" si="111"/>
        <v>6858</v>
      </c>
      <c r="J1078" s="68" t="s">
        <v>32</v>
      </c>
      <c r="K1078" s="68" t="s">
        <v>33</v>
      </c>
      <c r="L1078" s="69">
        <v>381</v>
      </c>
      <c r="M1078" s="65">
        <f t="shared" si="108"/>
        <v>2.2071378034575</v>
      </c>
      <c r="N1078" s="69" t="s">
        <v>34</v>
      </c>
      <c r="O1078" s="67"/>
      <c r="P1078" s="74"/>
      <c r="Q1078" s="71">
        <f>VLOOKUP($F1078,[4]装箱单!$A:$E,5,0)</f>
        <v>32.385</v>
      </c>
      <c r="R1078" s="71">
        <f>VLOOKUP($F1078,[4]装箱单!$A:$F,6,0)</f>
        <v>18.78</v>
      </c>
      <c r="S1078" s="71">
        <f>VLOOKUP($F1078,[4]装箱单!$A:$G,7,0)</f>
        <v>9.525</v>
      </c>
      <c r="T1078" s="72">
        <f>VLOOKUP($F1078,[4]装箱单!$A:$J,10,0)</f>
        <v>0.0057930126075</v>
      </c>
      <c r="U1078" s="73">
        <f t="shared" si="109"/>
        <v>2.2071378034575</v>
      </c>
      <c r="V1078" s="12"/>
    </row>
    <row r="1079" s="1" customFormat="1" ht="29.1" customHeight="1" spans="1:22">
      <c r="A1079" s="62">
        <v>46193</v>
      </c>
      <c r="B1079" s="63" t="s">
        <v>1439</v>
      </c>
      <c r="C1079" s="66" t="s">
        <v>1443</v>
      </c>
      <c r="D1079" s="65" t="s">
        <v>1444</v>
      </c>
      <c r="E1079" s="67" t="s">
        <v>1445</v>
      </c>
      <c r="F1079" s="67" t="s">
        <v>280</v>
      </c>
      <c r="G1079" s="67" t="str">
        <f>VLOOKUP(F1079,[4]装箱单!$A:$C,3,0)</f>
        <v>鸭子</v>
      </c>
      <c r="H1079" s="67">
        <v>176</v>
      </c>
      <c r="I1079" s="68">
        <f t="shared" si="111"/>
        <v>3168</v>
      </c>
      <c r="J1079" s="68" t="s">
        <v>32</v>
      </c>
      <c r="K1079" s="68" t="s">
        <v>33</v>
      </c>
      <c r="L1079" s="69">
        <v>176</v>
      </c>
      <c r="M1079" s="65">
        <f t="shared" si="108"/>
        <v>1.01957021892</v>
      </c>
      <c r="N1079" s="69" t="s">
        <v>34</v>
      </c>
      <c r="O1079" s="67"/>
      <c r="P1079" s="74"/>
      <c r="Q1079" s="71">
        <f>VLOOKUP($F1079,[4]装箱单!$A:$E,5,0)</f>
        <v>32.385</v>
      </c>
      <c r="R1079" s="71">
        <f>VLOOKUP($F1079,[4]装箱单!$A:$F,6,0)</f>
        <v>18.78</v>
      </c>
      <c r="S1079" s="71">
        <f>VLOOKUP($F1079,[4]装箱单!$A:$G,7,0)</f>
        <v>9.525</v>
      </c>
      <c r="T1079" s="72">
        <f>VLOOKUP($F1079,[4]装箱单!$A:$J,10,0)</f>
        <v>0.0057930126075</v>
      </c>
      <c r="U1079" s="73">
        <f t="shared" si="109"/>
        <v>1.01957021892</v>
      </c>
      <c r="V1079" s="12"/>
    </row>
    <row r="1080" s="1" customFormat="1" ht="29.1" customHeight="1" spans="1:22">
      <c r="A1080" s="62">
        <v>46193</v>
      </c>
      <c r="B1080" s="63" t="s">
        <v>138</v>
      </c>
      <c r="C1080" s="64" t="s">
        <v>1446</v>
      </c>
      <c r="D1080" s="65" t="s">
        <v>1447</v>
      </c>
      <c r="E1080" s="67" t="s">
        <v>1448</v>
      </c>
      <c r="F1080" s="66" t="s">
        <v>279</v>
      </c>
      <c r="G1080" s="67" t="str">
        <f>VLOOKUP(F1080,[4]装箱单!$A:$C,3,0)</f>
        <v>假日小鸭</v>
      </c>
      <c r="H1080" s="67">
        <v>50</v>
      </c>
      <c r="I1080" s="68">
        <v>900</v>
      </c>
      <c r="J1080" s="68" t="s">
        <v>32</v>
      </c>
      <c r="K1080" s="68" t="s">
        <v>33</v>
      </c>
      <c r="L1080" s="69">
        <v>50</v>
      </c>
      <c r="M1080" s="65">
        <f t="shared" si="108"/>
        <v>0.289650630375</v>
      </c>
      <c r="N1080" s="69" t="s">
        <v>34</v>
      </c>
      <c r="O1080" s="67"/>
      <c r="P1080" s="74"/>
      <c r="Q1080" s="71">
        <f>VLOOKUP($F1080,[4]装箱单!$A:$E,5,0)</f>
        <v>32.385</v>
      </c>
      <c r="R1080" s="71">
        <f>VLOOKUP($F1080,[4]装箱单!$A:$F,6,0)</f>
        <v>18.78</v>
      </c>
      <c r="S1080" s="71">
        <f>VLOOKUP($F1080,[4]装箱单!$A:$G,7,0)</f>
        <v>9.525</v>
      </c>
      <c r="T1080" s="72">
        <f>VLOOKUP($F1080,[4]装箱单!$A:$J,10,0)</f>
        <v>0.0057930126075</v>
      </c>
      <c r="U1080" s="73">
        <f t="shared" si="109"/>
        <v>0.289650630375</v>
      </c>
      <c r="V1080" s="12"/>
    </row>
    <row r="1081" s="1" customFormat="1" ht="29.1" customHeight="1" spans="1:22">
      <c r="A1081" s="62">
        <v>46193</v>
      </c>
      <c r="B1081" s="63" t="s">
        <v>138</v>
      </c>
      <c r="C1081" s="64" t="s">
        <v>1446</v>
      </c>
      <c r="D1081" s="65" t="s">
        <v>1447</v>
      </c>
      <c r="E1081" s="67" t="s">
        <v>1448</v>
      </c>
      <c r="F1081" s="66" t="s">
        <v>1161</v>
      </c>
      <c r="G1081" s="67" t="str">
        <f>VLOOKUP(F1081,[4]装箱单!$A:$C,3,0)</f>
        <v>搪胶小鸭</v>
      </c>
      <c r="H1081" s="67">
        <v>51</v>
      </c>
      <c r="I1081" s="68">
        <v>918</v>
      </c>
      <c r="J1081" s="68" t="s">
        <v>32</v>
      </c>
      <c r="K1081" s="68" t="s">
        <v>33</v>
      </c>
      <c r="L1081" s="69">
        <v>51</v>
      </c>
      <c r="M1081" s="65">
        <f t="shared" si="108"/>
        <v>0.298359274248</v>
      </c>
      <c r="N1081" s="69" t="s">
        <v>34</v>
      </c>
      <c r="O1081" s="67"/>
      <c r="P1081" s="74"/>
      <c r="Q1081" s="71">
        <f>VLOOKUP($F1081,[4]装箱单!$A:$E,5,0)</f>
        <v>32.385</v>
      </c>
      <c r="R1081" s="71">
        <f>VLOOKUP($F1081,[4]装箱单!$A:$F,6,0)</f>
        <v>17.78</v>
      </c>
      <c r="S1081" s="71">
        <f>VLOOKUP($F1081,[4]装箱单!$A:$G,7,0)</f>
        <v>10.16</v>
      </c>
      <c r="T1081" s="72">
        <f>VLOOKUP($F1081,[4]装箱单!$A:$J,10,0)</f>
        <v>0.005850181848</v>
      </c>
      <c r="U1081" s="73">
        <f t="shared" si="109"/>
        <v>0.298359274248</v>
      </c>
      <c r="V1081" s="12"/>
    </row>
    <row r="1082" s="1" customFormat="1" ht="29.1" customHeight="1" spans="1:22">
      <c r="A1082" s="62">
        <v>46193</v>
      </c>
      <c r="B1082" s="78" t="s">
        <v>138</v>
      </c>
      <c r="C1082" s="79" t="s">
        <v>1446</v>
      </c>
      <c r="D1082" s="80" t="s">
        <v>1447</v>
      </c>
      <c r="E1082" s="81" t="s">
        <v>1448</v>
      </c>
      <c r="F1082" s="82">
        <v>46462</v>
      </c>
      <c r="G1082" s="81" t="str">
        <f>VLOOKUP(F1082,[4]装箱单!$A:$C,3,0)</f>
        <v>史迪仔系列</v>
      </c>
      <c r="H1082" s="81">
        <v>400</v>
      </c>
      <c r="I1082" s="83">
        <v>800</v>
      </c>
      <c r="J1082" s="45" t="s">
        <v>47</v>
      </c>
      <c r="K1082" s="83" t="s">
        <v>33</v>
      </c>
      <c r="L1082" s="76">
        <v>400</v>
      </c>
      <c r="M1082" s="80">
        <f t="shared" si="108"/>
        <v>8.9462872128</v>
      </c>
      <c r="N1082" s="76" t="s">
        <v>34</v>
      </c>
      <c r="O1082" s="81"/>
      <c r="P1082" s="84"/>
      <c r="Q1082" s="71">
        <f>VLOOKUP($F1082,[4]装箱单!$A:$E,5,0)</f>
        <v>40.01</v>
      </c>
      <c r="R1082" s="71">
        <f>VLOOKUP($F1082,[4]装箱单!$A:$F,6,0)</f>
        <v>26.67</v>
      </c>
      <c r="S1082" s="71">
        <f>VLOOKUP($F1082,[4]装箱单!$A:$G,7,0)</f>
        <v>20.96</v>
      </c>
      <c r="T1082" s="72">
        <f>VLOOKUP($F1082,[4]装箱单!$A:$J,10,0)</f>
        <v>0.022365718032</v>
      </c>
      <c r="U1082" s="73">
        <f t="shared" si="109"/>
        <v>8.9462872128</v>
      </c>
      <c r="V1082" s="12"/>
    </row>
    <row r="1083" s="1" customFormat="1" ht="29.1" customHeight="1" spans="1:22">
      <c r="A1083" s="62">
        <v>46193</v>
      </c>
      <c r="B1083" s="63" t="s">
        <v>1283</v>
      </c>
      <c r="C1083" s="64" t="s">
        <v>1284</v>
      </c>
      <c r="D1083" s="65" t="s">
        <v>1285</v>
      </c>
      <c r="E1083" s="67" t="s">
        <v>1286</v>
      </c>
      <c r="F1083" s="67" t="s">
        <v>1449</v>
      </c>
      <c r="G1083" s="67" t="str">
        <f>VLOOKUP(F1083,[4]装箱单!$A:$C,3,0)</f>
        <v>鸭子</v>
      </c>
      <c r="H1083" s="67">
        <v>576</v>
      </c>
      <c r="I1083" s="68">
        <f>+L1083*18</f>
        <v>10368</v>
      </c>
      <c r="J1083" s="68" t="s">
        <v>32</v>
      </c>
      <c r="K1083" s="68" t="s">
        <v>33</v>
      </c>
      <c r="L1083" s="69">
        <v>576</v>
      </c>
      <c r="M1083" s="65">
        <f t="shared" si="108"/>
        <v>23.542947648</v>
      </c>
      <c r="N1083" s="69" t="s">
        <v>34</v>
      </c>
      <c r="O1083" s="67" t="s">
        <v>216</v>
      </c>
      <c r="P1083" s="74"/>
      <c r="Q1083" s="71">
        <f>VLOOKUP($F1083,[4]装箱单!$A:$E,5,0)</f>
        <v>37.15</v>
      </c>
      <c r="R1083" s="71">
        <f>VLOOKUP($F1083,[4]装箱单!$A:$F,6,0)</f>
        <v>33</v>
      </c>
      <c r="S1083" s="71">
        <f>VLOOKUP($F1083,[4]装箱单!$A:$G,7,0)</f>
        <v>33.34</v>
      </c>
      <c r="T1083" s="72">
        <f>VLOOKUP($F1083,[4]装箱单!$A:$J,10,0)</f>
        <v>0.040873173</v>
      </c>
      <c r="U1083" s="73">
        <f t="shared" si="109"/>
        <v>23.542947648</v>
      </c>
      <c r="V1083" s="12"/>
    </row>
    <row r="1084" s="1" customFormat="1" ht="29.1" customHeight="1" spans="1:22">
      <c r="A1084" s="62">
        <v>46193</v>
      </c>
      <c r="B1084" s="63" t="s">
        <v>1283</v>
      </c>
      <c r="C1084" s="64" t="s">
        <v>1287</v>
      </c>
      <c r="D1084" s="65" t="s">
        <v>1288</v>
      </c>
      <c r="E1084" s="67" t="s">
        <v>1289</v>
      </c>
      <c r="F1084" s="67" t="s">
        <v>1449</v>
      </c>
      <c r="G1084" s="67" t="str">
        <f>VLOOKUP(F1084,[4]装箱单!$A:$C,3,0)</f>
        <v>鸭子</v>
      </c>
      <c r="H1084" s="67">
        <v>624</v>
      </c>
      <c r="I1084" s="68">
        <f>+L1084*18</f>
        <v>11232</v>
      </c>
      <c r="J1084" s="68" t="s">
        <v>32</v>
      </c>
      <c r="K1084" s="68" t="s">
        <v>33</v>
      </c>
      <c r="L1084" s="69">
        <v>624</v>
      </c>
      <c r="M1084" s="65">
        <f t="shared" si="108"/>
        <v>25.504859952</v>
      </c>
      <c r="N1084" s="69" t="s">
        <v>34</v>
      </c>
      <c r="O1084" s="67" t="s">
        <v>216</v>
      </c>
      <c r="P1084" s="74"/>
      <c r="Q1084" s="71">
        <f>VLOOKUP($F1084,[4]装箱单!$A:$E,5,0)</f>
        <v>37.15</v>
      </c>
      <c r="R1084" s="71">
        <f>VLOOKUP($F1084,[4]装箱单!$A:$F,6,0)</f>
        <v>33</v>
      </c>
      <c r="S1084" s="71">
        <f>VLOOKUP($F1084,[4]装箱单!$A:$G,7,0)</f>
        <v>33.34</v>
      </c>
      <c r="T1084" s="72">
        <f>VLOOKUP($F1084,[4]装箱单!$A:$J,10,0)</f>
        <v>0.040873173</v>
      </c>
      <c r="U1084" s="73">
        <f t="shared" si="109"/>
        <v>25.504859952</v>
      </c>
      <c r="V1084" s="12"/>
    </row>
    <row r="1085" s="1" customFormat="1" ht="29.1" customHeight="1" spans="1:22">
      <c r="A1085" s="62"/>
      <c r="B1085" s="63"/>
      <c r="C1085" s="64"/>
      <c r="D1085" s="65"/>
      <c r="E1085" s="67"/>
      <c r="F1085" s="67"/>
      <c r="G1085" s="67"/>
      <c r="H1085" s="67"/>
      <c r="I1085" s="68"/>
      <c r="J1085" s="68"/>
      <c r="K1085" s="68"/>
      <c r="L1085" s="69"/>
      <c r="M1085" s="65">
        <f>SUM(M1059:M1084)</f>
        <v>128.011969991752</v>
      </c>
      <c r="N1085" s="69"/>
      <c r="O1085" s="67"/>
      <c r="P1085" s="75"/>
      <c r="Q1085" s="71"/>
      <c r="R1085" s="71"/>
      <c r="S1085" s="71"/>
      <c r="T1085" s="72"/>
      <c r="U1085" s="73"/>
      <c r="V1085" s="12"/>
    </row>
    <row r="1086" s="1" customFormat="1" ht="29.1" customHeight="1" spans="1:22">
      <c r="A1086" s="62">
        <v>46193</v>
      </c>
      <c r="B1086" s="63" t="s">
        <v>1190</v>
      </c>
      <c r="C1086" s="64" t="s">
        <v>1450</v>
      </c>
      <c r="D1086" s="65">
        <v>46101</v>
      </c>
      <c r="E1086" s="67" t="s">
        <v>1160</v>
      </c>
      <c r="F1086" s="67">
        <v>46462</v>
      </c>
      <c r="G1086" s="67" t="str">
        <f>VLOOKUP(F1086,[4]装箱单!$A:$C,3,0)</f>
        <v>史迪仔系列</v>
      </c>
      <c r="H1086" s="67">
        <v>200</v>
      </c>
      <c r="I1086" s="68">
        <f>+L1086*2</f>
        <v>400</v>
      </c>
      <c r="J1086" s="45" t="s">
        <v>47</v>
      </c>
      <c r="K1086" s="68" t="s">
        <v>33</v>
      </c>
      <c r="L1086" s="69">
        <v>200</v>
      </c>
      <c r="M1086" s="65">
        <f>+U1086</f>
        <v>4.4731436064</v>
      </c>
      <c r="N1086" s="69" t="s">
        <v>34</v>
      </c>
      <c r="O1086" s="67"/>
      <c r="P1086" s="70" t="s">
        <v>1451</v>
      </c>
      <c r="Q1086" s="71">
        <f>VLOOKUP($F1086,[4]装箱单!$A:$E,5,0)</f>
        <v>40.01</v>
      </c>
      <c r="R1086" s="71">
        <f>VLOOKUP($F1086,[4]装箱单!$A:$F,6,0)</f>
        <v>26.67</v>
      </c>
      <c r="S1086" s="71">
        <f>VLOOKUP($F1086,[4]装箱单!$A:$G,7,0)</f>
        <v>20.96</v>
      </c>
      <c r="T1086" s="72">
        <f>VLOOKUP($F1086,[4]装箱单!$A:$J,10,0)</f>
        <v>0.022365718032</v>
      </c>
      <c r="U1086" s="73">
        <f>+T1086*L1086</f>
        <v>4.4731436064</v>
      </c>
      <c r="V1086" s="12"/>
    </row>
    <row r="1087" s="1" customFormat="1" ht="29.1" customHeight="1" spans="1:22">
      <c r="A1087" s="62">
        <v>46193</v>
      </c>
      <c r="B1087" s="63" t="s">
        <v>1452</v>
      </c>
      <c r="C1087" s="64" t="s">
        <v>1453</v>
      </c>
      <c r="D1087" s="65" t="s">
        <v>1454</v>
      </c>
      <c r="E1087" s="66">
        <v>117407441</v>
      </c>
      <c r="F1087" s="67">
        <v>33776</v>
      </c>
      <c r="G1087" s="67" t="str">
        <f>VLOOKUP(F1087,[4]装箱单!$A:$C,3,0)</f>
        <v>搪胶小鸭子系列</v>
      </c>
      <c r="H1087" s="67">
        <v>802</v>
      </c>
      <c r="I1087" s="68">
        <v>76992</v>
      </c>
      <c r="J1087" s="68" t="s">
        <v>32</v>
      </c>
      <c r="K1087" s="68" t="s">
        <v>33</v>
      </c>
      <c r="L1087" s="69">
        <v>802</v>
      </c>
      <c r="M1087" s="65">
        <f>+U1087</f>
        <v>66.0764249145</v>
      </c>
      <c r="N1087" s="69" t="s">
        <v>34</v>
      </c>
      <c r="O1087" s="67"/>
      <c r="P1087" s="74"/>
      <c r="Q1087" s="71">
        <f>VLOOKUP($F1087,[4]装箱单!$A:$E,5,0)</f>
        <v>54.95</v>
      </c>
      <c r="R1087" s="71">
        <f>VLOOKUP($F1087,[4]装箱单!$A:$F,6,0)</f>
        <v>34.95</v>
      </c>
      <c r="S1087" s="71">
        <f>VLOOKUP($F1087,[4]装箱单!$A:$G,7,0)</f>
        <v>42.9</v>
      </c>
      <c r="T1087" s="72">
        <f>VLOOKUP($F1087,[4]装箱单!$A:$J,10,0)</f>
        <v>0.08238955725</v>
      </c>
      <c r="U1087" s="73">
        <f>+T1087*L1087</f>
        <v>66.0764249145</v>
      </c>
      <c r="V1087" s="12"/>
    </row>
    <row r="1088" s="1" customFormat="1" ht="29.1" customHeight="1" spans="1:22">
      <c r="A1088" s="62">
        <v>46193</v>
      </c>
      <c r="B1088" s="63" t="s">
        <v>1452</v>
      </c>
      <c r="C1088" s="64" t="s">
        <v>1455</v>
      </c>
      <c r="D1088" s="65" t="s">
        <v>1456</v>
      </c>
      <c r="E1088" s="66">
        <v>117407440</v>
      </c>
      <c r="F1088" s="67">
        <v>33776</v>
      </c>
      <c r="G1088" s="67" t="str">
        <f>VLOOKUP(F1088,[4]装箱单!$A:$C,3,0)</f>
        <v>搪胶小鸭子系列</v>
      </c>
      <c r="H1088" s="67">
        <v>888</v>
      </c>
      <c r="I1088" s="68">
        <v>85248</v>
      </c>
      <c r="J1088" s="68" t="s">
        <v>32</v>
      </c>
      <c r="K1088" s="68" t="s">
        <v>33</v>
      </c>
      <c r="L1088" s="69">
        <v>888</v>
      </c>
      <c r="M1088" s="65">
        <f>+U1088</f>
        <v>73.161926838</v>
      </c>
      <c r="N1088" s="69" t="s">
        <v>34</v>
      </c>
      <c r="O1088" s="67"/>
      <c r="P1088" s="74"/>
      <c r="Q1088" s="71">
        <f>VLOOKUP($F1088,[4]装箱单!$A:$E,5,0)</f>
        <v>54.95</v>
      </c>
      <c r="R1088" s="71">
        <f>VLOOKUP($F1088,[4]装箱单!$A:$F,6,0)</f>
        <v>34.95</v>
      </c>
      <c r="S1088" s="71">
        <f>VLOOKUP($F1088,[4]装箱单!$A:$G,7,0)</f>
        <v>42.9</v>
      </c>
      <c r="T1088" s="72">
        <f>VLOOKUP($F1088,[4]装箱单!$A:$J,10,0)</f>
        <v>0.08238955725</v>
      </c>
      <c r="U1088" s="73">
        <f>+T1088*L1088</f>
        <v>73.161926838</v>
      </c>
      <c r="V1088" s="12"/>
    </row>
    <row r="1089" s="1" customFormat="1" ht="29.1" customHeight="1" spans="1:22">
      <c r="A1089" s="62"/>
      <c r="B1089" s="63"/>
      <c r="C1089" s="64"/>
      <c r="D1089" s="65"/>
      <c r="E1089" s="66"/>
      <c r="F1089" s="67"/>
      <c r="G1089" s="67"/>
      <c r="H1089" s="67"/>
      <c r="I1089" s="68"/>
      <c r="J1089" s="68"/>
      <c r="K1089" s="68"/>
      <c r="L1089" s="69"/>
      <c r="M1089" s="65">
        <f>SUM(M1086:M1088)</f>
        <v>143.7114953589</v>
      </c>
      <c r="N1089" s="69"/>
      <c r="O1089" s="67"/>
      <c r="P1089" s="75"/>
      <c r="Q1089" s="71"/>
      <c r="R1089" s="71"/>
      <c r="S1089" s="71"/>
      <c r="T1089" s="72"/>
      <c r="U1089" s="73"/>
      <c r="V1089" s="12"/>
    </row>
    <row r="1090" s="1" customFormat="1" ht="29.1" customHeight="1" spans="1:22">
      <c r="A1090" s="62">
        <v>46195</v>
      </c>
      <c r="B1090" s="63" t="s">
        <v>316</v>
      </c>
      <c r="C1090" s="64" t="s">
        <v>1457</v>
      </c>
      <c r="D1090" s="65" t="s">
        <v>1458</v>
      </c>
      <c r="E1090" s="67">
        <v>36664</v>
      </c>
      <c r="F1090" s="68" t="s">
        <v>80</v>
      </c>
      <c r="G1090" s="67" t="str">
        <f>VLOOKUP(F1090,[4]装箱单!$A:$C,3,0)</f>
        <v>钥匙扣系列</v>
      </c>
      <c r="H1090" s="67">
        <v>200</v>
      </c>
      <c r="I1090" s="68">
        <f>+L1090*18</f>
        <v>3600</v>
      </c>
      <c r="J1090" s="68" t="s">
        <v>32</v>
      </c>
      <c r="K1090" s="68" t="s">
        <v>33</v>
      </c>
      <c r="L1090" s="69">
        <v>200</v>
      </c>
      <c r="M1090" s="65">
        <f t="shared" ref="M1090:M1107" si="112">+U1090</f>
        <v>3.0024864</v>
      </c>
      <c r="N1090" s="69" t="s">
        <v>57</v>
      </c>
      <c r="O1090" s="67"/>
      <c r="P1090" s="70" t="s">
        <v>1459</v>
      </c>
      <c r="Q1090" s="71">
        <f>VLOOKUP($F1090,[4]装箱单!$A:$E,5,0)</f>
        <v>42.48</v>
      </c>
      <c r="R1090" s="71">
        <f>VLOOKUP($F1090,[4]装箱单!$A:$F,6,0)</f>
        <v>22.8</v>
      </c>
      <c r="S1090" s="71">
        <f>VLOOKUP($F1090,[4]装箱单!$A:$G,7,0)</f>
        <v>15.5</v>
      </c>
      <c r="T1090" s="72">
        <f>VLOOKUP($F1090,[4]装箱单!$A:$J,10,0)</f>
        <v>0.015012432</v>
      </c>
      <c r="U1090" s="73">
        <f t="shared" ref="U1090:U1107" si="113">+T1090*L1090</f>
        <v>3.0024864</v>
      </c>
      <c r="V1090" s="12"/>
    </row>
    <row r="1091" s="1" customFormat="1" ht="29.1" customHeight="1" spans="1:22">
      <c r="A1091" s="62">
        <v>46195</v>
      </c>
      <c r="B1091" s="63" t="s">
        <v>1176</v>
      </c>
      <c r="C1091" s="64" t="s">
        <v>1460</v>
      </c>
      <c r="D1091" s="65" t="s">
        <v>1461</v>
      </c>
      <c r="E1091" s="67">
        <v>47949978</v>
      </c>
      <c r="F1091" s="68" t="s">
        <v>80</v>
      </c>
      <c r="G1091" s="67" t="str">
        <f>VLOOKUP(F1091,[4]装箱单!$A:$C,3,0)</f>
        <v>钥匙扣系列</v>
      </c>
      <c r="H1091" s="67">
        <v>45</v>
      </c>
      <c r="I1091" s="68">
        <f>+L1091*18</f>
        <v>810</v>
      </c>
      <c r="J1091" s="68" t="s">
        <v>32</v>
      </c>
      <c r="K1091" s="68" t="s">
        <v>33</v>
      </c>
      <c r="L1091" s="69">
        <v>45</v>
      </c>
      <c r="M1091" s="65">
        <f t="shared" si="112"/>
        <v>0.67555944</v>
      </c>
      <c r="N1091" s="69" t="s">
        <v>57</v>
      </c>
      <c r="O1091" s="67"/>
      <c r="P1091" s="74"/>
      <c r="Q1091" s="71">
        <f>VLOOKUP($F1091,[4]装箱单!$A:$E,5,0)</f>
        <v>42.48</v>
      </c>
      <c r="R1091" s="71">
        <f>VLOOKUP($F1091,[4]装箱单!$A:$F,6,0)</f>
        <v>22.8</v>
      </c>
      <c r="S1091" s="71">
        <f>VLOOKUP($F1091,[4]装箱单!$A:$G,7,0)</f>
        <v>15.5</v>
      </c>
      <c r="T1091" s="72">
        <f>VLOOKUP($F1091,[4]装箱单!$A:$J,10,0)</f>
        <v>0.015012432</v>
      </c>
      <c r="U1091" s="73">
        <f t="shared" si="113"/>
        <v>0.67555944</v>
      </c>
      <c r="V1091" s="12"/>
    </row>
    <row r="1092" s="1" customFormat="1" ht="29.1" customHeight="1" spans="1:22">
      <c r="A1092" s="62">
        <v>46195</v>
      </c>
      <c r="B1092" s="63" t="s">
        <v>1176</v>
      </c>
      <c r="C1092" s="64" t="s">
        <v>1462</v>
      </c>
      <c r="D1092" s="65" t="s">
        <v>1463</v>
      </c>
      <c r="E1092" s="67">
        <v>47949979</v>
      </c>
      <c r="F1092" s="68" t="s">
        <v>80</v>
      </c>
      <c r="G1092" s="67" t="str">
        <f>VLOOKUP(F1092,[4]装箱单!$A:$C,3,0)</f>
        <v>钥匙扣系列</v>
      </c>
      <c r="H1092" s="67">
        <v>40</v>
      </c>
      <c r="I1092" s="68">
        <f>+L1092*18</f>
        <v>720</v>
      </c>
      <c r="J1092" s="68" t="s">
        <v>32</v>
      </c>
      <c r="K1092" s="68" t="s">
        <v>33</v>
      </c>
      <c r="L1092" s="69">
        <v>40</v>
      </c>
      <c r="M1092" s="65">
        <f t="shared" si="112"/>
        <v>0.60049728</v>
      </c>
      <c r="N1092" s="69" t="s">
        <v>57</v>
      </c>
      <c r="O1092" s="67"/>
      <c r="P1092" s="74"/>
      <c r="Q1092" s="71">
        <f>VLOOKUP($F1092,[4]装箱单!$A:$E,5,0)</f>
        <v>42.48</v>
      </c>
      <c r="R1092" s="71">
        <f>VLOOKUP($F1092,[4]装箱单!$A:$F,6,0)</f>
        <v>22.8</v>
      </c>
      <c r="S1092" s="71">
        <f>VLOOKUP($F1092,[4]装箱单!$A:$G,7,0)</f>
        <v>15.5</v>
      </c>
      <c r="T1092" s="72">
        <f>VLOOKUP($F1092,[4]装箱单!$A:$J,10,0)</f>
        <v>0.015012432</v>
      </c>
      <c r="U1092" s="73">
        <f t="shared" si="113"/>
        <v>0.60049728</v>
      </c>
      <c r="V1092" s="12"/>
    </row>
    <row r="1093" s="1" customFormat="1" ht="29.1" customHeight="1" spans="1:22">
      <c r="A1093" s="62">
        <v>46195</v>
      </c>
      <c r="B1093" s="63" t="s">
        <v>1176</v>
      </c>
      <c r="C1093" s="64" t="s">
        <v>1464</v>
      </c>
      <c r="D1093" s="65" t="s">
        <v>1465</v>
      </c>
      <c r="E1093" s="67">
        <v>47949980</v>
      </c>
      <c r="F1093" s="68" t="s">
        <v>80</v>
      </c>
      <c r="G1093" s="67" t="str">
        <f>VLOOKUP(F1093,[4]装箱单!$A:$C,3,0)</f>
        <v>钥匙扣系列</v>
      </c>
      <c r="H1093" s="67">
        <v>31</v>
      </c>
      <c r="I1093" s="68">
        <f>+L1093*18</f>
        <v>558</v>
      </c>
      <c r="J1093" s="68" t="s">
        <v>32</v>
      </c>
      <c r="K1093" s="68" t="s">
        <v>33</v>
      </c>
      <c r="L1093" s="69">
        <v>31</v>
      </c>
      <c r="M1093" s="65">
        <f t="shared" si="112"/>
        <v>0.465385392</v>
      </c>
      <c r="N1093" s="69" t="s">
        <v>57</v>
      </c>
      <c r="O1093" s="67"/>
      <c r="P1093" s="74"/>
      <c r="Q1093" s="71">
        <f>VLOOKUP($F1093,[4]装箱单!$A:$E,5,0)</f>
        <v>42.48</v>
      </c>
      <c r="R1093" s="71">
        <f>VLOOKUP($F1093,[4]装箱单!$A:$F,6,0)</f>
        <v>22.8</v>
      </c>
      <c r="S1093" s="71">
        <f>VLOOKUP($F1093,[4]装箱单!$A:$G,7,0)</f>
        <v>15.5</v>
      </c>
      <c r="T1093" s="72">
        <f>VLOOKUP($F1093,[4]装箱单!$A:$J,10,0)</f>
        <v>0.015012432</v>
      </c>
      <c r="U1093" s="73">
        <f t="shared" si="113"/>
        <v>0.465385392</v>
      </c>
      <c r="V1093" s="12"/>
    </row>
    <row r="1094" s="1" customFormat="1" ht="29.1" customHeight="1" spans="1:22">
      <c r="A1094" s="62">
        <v>46195</v>
      </c>
      <c r="B1094" s="63" t="s">
        <v>1176</v>
      </c>
      <c r="C1094" s="64" t="s">
        <v>1466</v>
      </c>
      <c r="D1094" s="65" t="s">
        <v>1467</v>
      </c>
      <c r="E1094" s="67">
        <v>47949981</v>
      </c>
      <c r="F1094" s="68" t="s">
        <v>80</v>
      </c>
      <c r="G1094" s="67" t="str">
        <f>VLOOKUP(F1094,[4]装箱单!$A:$C,3,0)</f>
        <v>钥匙扣系列</v>
      </c>
      <c r="H1094" s="67">
        <v>13</v>
      </c>
      <c r="I1094" s="68">
        <f>+L1094*18</f>
        <v>234</v>
      </c>
      <c r="J1094" s="68" t="s">
        <v>32</v>
      </c>
      <c r="K1094" s="68" t="s">
        <v>33</v>
      </c>
      <c r="L1094" s="69">
        <v>13</v>
      </c>
      <c r="M1094" s="65">
        <f t="shared" si="112"/>
        <v>0.195161616</v>
      </c>
      <c r="N1094" s="69" t="s">
        <v>57</v>
      </c>
      <c r="O1094" s="67"/>
      <c r="P1094" s="74"/>
      <c r="Q1094" s="71">
        <f>VLOOKUP($F1094,[4]装箱单!$A:$E,5,0)</f>
        <v>42.48</v>
      </c>
      <c r="R1094" s="71">
        <f>VLOOKUP($F1094,[4]装箱单!$A:$F,6,0)</f>
        <v>22.8</v>
      </c>
      <c r="S1094" s="71">
        <f>VLOOKUP($F1094,[4]装箱单!$A:$G,7,0)</f>
        <v>15.5</v>
      </c>
      <c r="T1094" s="72">
        <f>VLOOKUP($F1094,[4]装箱单!$A:$J,10,0)</f>
        <v>0.015012432</v>
      </c>
      <c r="U1094" s="73">
        <f t="shared" si="113"/>
        <v>0.195161616</v>
      </c>
      <c r="V1094" s="12"/>
    </row>
    <row r="1095" s="1" customFormat="1" ht="29.1" customHeight="1" spans="1:22">
      <c r="A1095" s="62">
        <v>46195</v>
      </c>
      <c r="B1095" s="63" t="s">
        <v>1452</v>
      </c>
      <c r="C1095" s="64" t="s">
        <v>1468</v>
      </c>
      <c r="D1095" s="65" t="s">
        <v>1469</v>
      </c>
      <c r="E1095" s="66">
        <v>117407450</v>
      </c>
      <c r="F1095" s="67">
        <v>33776</v>
      </c>
      <c r="G1095" s="67" t="str">
        <f>VLOOKUP(F1095,[4]装箱单!$A:$C,3,0)</f>
        <v>搪胶小鸭子系列</v>
      </c>
      <c r="H1095" s="67">
        <v>888</v>
      </c>
      <c r="I1095" s="68">
        <v>85248</v>
      </c>
      <c r="J1095" s="68" t="s">
        <v>32</v>
      </c>
      <c r="K1095" s="68" t="s">
        <v>33</v>
      </c>
      <c r="L1095" s="69">
        <v>888</v>
      </c>
      <c r="M1095" s="65">
        <f t="shared" si="112"/>
        <v>73.161926838</v>
      </c>
      <c r="N1095" s="69" t="s">
        <v>34</v>
      </c>
      <c r="O1095" s="67"/>
      <c r="P1095" s="74"/>
      <c r="Q1095" s="71">
        <f>VLOOKUP($F1095,[4]装箱单!$A:$E,5,0)</f>
        <v>54.95</v>
      </c>
      <c r="R1095" s="71">
        <f>VLOOKUP($F1095,[4]装箱单!$A:$F,6,0)</f>
        <v>34.95</v>
      </c>
      <c r="S1095" s="71">
        <f>VLOOKUP($F1095,[4]装箱单!$A:$G,7,0)</f>
        <v>42.9</v>
      </c>
      <c r="T1095" s="72">
        <f>VLOOKUP($F1095,[4]装箱单!$A:$J,10,0)</f>
        <v>0.08238955725</v>
      </c>
      <c r="U1095" s="73">
        <f t="shared" si="113"/>
        <v>73.161926838</v>
      </c>
      <c r="V1095" s="12"/>
    </row>
    <row r="1096" s="1" customFormat="1" ht="29.1" customHeight="1" spans="1:22">
      <c r="A1096" s="62">
        <v>46195</v>
      </c>
      <c r="B1096" s="63" t="s">
        <v>1470</v>
      </c>
      <c r="C1096" s="64" t="s">
        <v>1471</v>
      </c>
      <c r="D1096" s="65" t="s">
        <v>1472</v>
      </c>
      <c r="E1096" s="67"/>
      <c r="F1096" s="66">
        <v>46097</v>
      </c>
      <c r="G1096" s="67" t="str">
        <f>VLOOKUP(F1096,[4]装箱单!$A:$C,3,0)</f>
        <v>小熊维尼历险记系列</v>
      </c>
      <c r="H1096" s="67">
        <v>180</v>
      </c>
      <c r="I1096" s="68">
        <v>360</v>
      </c>
      <c r="J1096" s="45" t="s">
        <v>47</v>
      </c>
      <c r="K1096" s="68" t="s">
        <v>33</v>
      </c>
      <c r="L1096" s="69">
        <v>180</v>
      </c>
      <c r="M1096" s="65">
        <f t="shared" si="112"/>
        <v>4.02582924576</v>
      </c>
      <c r="N1096" s="69" t="s">
        <v>34</v>
      </c>
      <c r="O1096" s="67"/>
      <c r="P1096" s="74"/>
      <c r="Q1096" s="71">
        <f>VLOOKUP($F1096,[4]装箱单!$A:$E,5,0)</f>
        <v>40.01</v>
      </c>
      <c r="R1096" s="71">
        <f>VLOOKUP($F1096,[4]装箱单!$A:$F,6,0)</f>
        <v>26.67</v>
      </c>
      <c r="S1096" s="71">
        <f>VLOOKUP($F1096,[4]装箱单!$A:$G,7,0)</f>
        <v>20.96</v>
      </c>
      <c r="T1096" s="72">
        <f>VLOOKUP($F1096,[4]装箱单!$A:$J,10,0)</f>
        <v>0.022365718032</v>
      </c>
      <c r="U1096" s="73">
        <f t="shared" si="113"/>
        <v>4.02582924576</v>
      </c>
      <c r="V1096" s="12"/>
    </row>
    <row r="1097" s="1" customFormat="1" ht="29.1" customHeight="1" spans="1:22">
      <c r="A1097" s="62">
        <v>46195</v>
      </c>
      <c r="B1097" s="63" t="s">
        <v>1470</v>
      </c>
      <c r="C1097" s="64" t="s">
        <v>1471</v>
      </c>
      <c r="D1097" s="65" t="s">
        <v>1472</v>
      </c>
      <c r="E1097" s="67"/>
      <c r="F1097" s="66">
        <v>46099</v>
      </c>
      <c r="G1097" s="67" t="str">
        <f>VLOOKUP(F1097,[4]装箱单!$A:$C,3,0)</f>
        <v>米奇老鼠系列</v>
      </c>
      <c r="H1097" s="67">
        <v>180</v>
      </c>
      <c r="I1097" s="68">
        <v>360</v>
      </c>
      <c r="J1097" s="45" t="s">
        <v>47</v>
      </c>
      <c r="K1097" s="68" t="s">
        <v>33</v>
      </c>
      <c r="L1097" s="69">
        <v>180</v>
      </c>
      <c r="M1097" s="65">
        <f t="shared" si="112"/>
        <v>4.02582924576</v>
      </c>
      <c r="N1097" s="69" t="s">
        <v>34</v>
      </c>
      <c r="O1097" s="67"/>
      <c r="P1097" s="74"/>
      <c r="Q1097" s="71">
        <f>VLOOKUP($F1097,[4]装箱单!$A:$E,5,0)</f>
        <v>40.01</v>
      </c>
      <c r="R1097" s="71">
        <f>VLOOKUP($F1097,[4]装箱单!$A:$F,6,0)</f>
        <v>26.67</v>
      </c>
      <c r="S1097" s="71">
        <f>VLOOKUP($F1097,[4]装箱单!$A:$G,7,0)</f>
        <v>20.96</v>
      </c>
      <c r="T1097" s="72">
        <f>VLOOKUP($F1097,[4]装箱单!$A:$J,10,0)</f>
        <v>0.022365718032</v>
      </c>
      <c r="U1097" s="73">
        <f t="shared" si="113"/>
        <v>4.02582924576</v>
      </c>
      <c r="V1097" s="12"/>
    </row>
    <row r="1098" s="1" customFormat="1" ht="29.1" customHeight="1" spans="1:22">
      <c r="A1098" s="62">
        <v>46195</v>
      </c>
      <c r="B1098" s="63" t="s">
        <v>1470</v>
      </c>
      <c r="C1098" s="64" t="s">
        <v>1471</v>
      </c>
      <c r="D1098" s="65" t="s">
        <v>1472</v>
      </c>
      <c r="E1098" s="66"/>
      <c r="F1098" s="66">
        <v>46132</v>
      </c>
      <c r="G1098" s="67" t="str">
        <f>VLOOKUP(F1098,[4]装箱单!$A:$C,3,0)</f>
        <v>赛车总动员系列</v>
      </c>
      <c r="H1098" s="67">
        <v>120</v>
      </c>
      <c r="I1098" s="68">
        <v>240</v>
      </c>
      <c r="J1098" s="45" t="s">
        <v>47</v>
      </c>
      <c r="K1098" s="68" t="s">
        <v>33</v>
      </c>
      <c r="L1098" s="69">
        <v>120</v>
      </c>
      <c r="M1098" s="65">
        <f t="shared" si="112"/>
        <v>2.68388616384</v>
      </c>
      <c r="N1098" s="69" t="s">
        <v>34</v>
      </c>
      <c r="O1098" s="67"/>
      <c r="P1098" s="74"/>
      <c r="Q1098" s="71">
        <f>VLOOKUP($F1098,[4]装箱单!$A:$E,5,0)</f>
        <v>40.01</v>
      </c>
      <c r="R1098" s="71">
        <f>VLOOKUP($F1098,[4]装箱单!$A:$F,6,0)</f>
        <v>26.67</v>
      </c>
      <c r="S1098" s="71">
        <f>VLOOKUP($F1098,[4]装箱单!$A:$G,7,0)</f>
        <v>20.96</v>
      </c>
      <c r="T1098" s="72">
        <f>VLOOKUP($F1098,[4]装箱单!$A:$J,10,0)</f>
        <v>0.022365718032</v>
      </c>
      <c r="U1098" s="73">
        <f t="shared" si="113"/>
        <v>2.68388616384</v>
      </c>
      <c r="V1098" s="12"/>
    </row>
    <row r="1099" s="1" customFormat="1" ht="29.1" customHeight="1" spans="1:22">
      <c r="A1099" s="62">
        <v>46195</v>
      </c>
      <c r="B1099" s="63" t="s">
        <v>1470</v>
      </c>
      <c r="C1099" s="64" t="s">
        <v>1471</v>
      </c>
      <c r="D1099" s="65" t="s">
        <v>1472</v>
      </c>
      <c r="E1099" s="67"/>
      <c r="F1099" s="66">
        <v>46133</v>
      </c>
      <c r="G1099" s="67" t="str">
        <f>VLOOKUP(F1099,[4]装箱单!$A:$C,3,0)</f>
        <v>小美人鱼系列</v>
      </c>
      <c r="H1099" s="67">
        <v>180</v>
      </c>
      <c r="I1099" s="68">
        <v>360</v>
      </c>
      <c r="J1099" s="45" t="s">
        <v>47</v>
      </c>
      <c r="K1099" s="68" t="s">
        <v>33</v>
      </c>
      <c r="L1099" s="69">
        <v>180</v>
      </c>
      <c r="M1099" s="65">
        <f t="shared" si="112"/>
        <v>4.02582924576</v>
      </c>
      <c r="N1099" s="69" t="s">
        <v>34</v>
      </c>
      <c r="O1099" s="67"/>
      <c r="P1099" s="74"/>
      <c r="Q1099" s="71">
        <f>VLOOKUP($F1099,[4]装箱单!$A:$E,5,0)</f>
        <v>40.01</v>
      </c>
      <c r="R1099" s="71">
        <f>VLOOKUP($F1099,[4]装箱单!$A:$F,6,0)</f>
        <v>26.67</v>
      </c>
      <c r="S1099" s="71">
        <f>VLOOKUP($F1099,[4]装箱单!$A:$G,7,0)</f>
        <v>20.96</v>
      </c>
      <c r="T1099" s="72">
        <f>VLOOKUP($F1099,[4]装箱单!$A:$J,10,0)</f>
        <v>0.022365718032</v>
      </c>
      <c r="U1099" s="73">
        <f t="shared" si="113"/>
        <v>4.02582924576</v>
      </c>
      <c r="V1099" s="12"/>
    </row>
    <row r="1100" s="1" customFormat="1" ht="29.1" customHeight="1" spans="1:22">
      <c r="A1100" s="62">
        <v>46195</v>
      </c>
      <c r="B1100" s="63" t="s">
        <v>1473</v>
      </c>
      <c r="C1100" s="64" t="s">
        <v>1474</v>
      </c>
      <c r="D1100" s="65" t="s">
        <v>1475</v>
      </c>
      <c r="E1100" s="67" t="s">
        <v>1476</v>
      </c>
      <c r="F1100" s="67">
        <v>46099</v>
      </c>
      <c r="G1100" s="67" t="str">
        <f>VLOOKUP(F1100,[4]装箱单!$A:$C,3,0)</f>
        <v>米奇老鼠系列</v>
      </c>
      <c r="H1100" s="67">
        <v>100</v>
      </c>
      <c r="I1100" s="68">
        <f>+L1100*2</f>
        <v>200</v>
      </c>
      <c r="J1100" s="45" t="s">
        <v>47</v>
      </c>
      <c r="K1100" s="68" t="s">
        <v>33</v>
      </c>
      <c r="L1100" s="69">
        <v>100</v>
      </c>
      <c r="M1100" s="65">
        <f t="shared" si="112"/>
        <v>2.2365718032</v>
      </c>
      <c r="N1100" s="69" t="s">
        <v>34</v>
      </c>
      <c r="O1100" s="67"/>
      <c r="P1100" s="74"/>
      <c r="Q1100" s="71">
        <f>VLOOKUP($F1100,[4]装箱单!$A:$E,5,0)</f>
        <v>40.01</v>
      </c>
      <c r="R1100" s="71">
        <f>VLOOKUP($F1100,[4]装箱单!$A:$F,6,0)</f>
        <v>26.67</v>
      </c>
      <c r="S1100" s="71">
        <f>VLOOKUP($F1100,[4]装箱单!$A:$G,7,0)</f>
        <v>20.96</v>
      </c>
      <c r="T1100" s="72">
        <f>VLOOKUP($F1100,[4]装箱单!$A:$J,10,0)</f>
        <v>0.022365718032</v>
      </c>
      <c r="U1100" s="73">
        <f t="shared" si="113"/>
        <v>2.2365718032</v>
      </c>
      <c r="V1100" s="12"/>
    </row>
    <row r="1101" s="1" customFormat="1" ht="29.1" customHeight="1" spans="1:22">
      <c r="A1101" s="62">
        <v>46195</v>
      </c>
      <c r="B1101" s="63" t="s">
        <v>1477</v>
      </c>
      <c r="C1101" s="64" t="s">
        <v>923</v>
      </c>
      <c r="D1101" s="65" t="s">
        <v>924</v>
      </c>
      <c r="E1101" s="67">
        <v>50002320</v>
      </c>
      <c r="F1101" s="67">
        <v>46099</v>
      </c>
      <c r="G1101" s="67" t="str">
        <f>VLOOKUP(F1101,[4]装箱单!$A:$C,3,0)</f>
        <v>米奇老鼠系列</v>
      </c>
      <c r="H1101" s="67">
        <v>240</v>
      </c>
      <c r="I1101" s="68">
        <f>+L1101*2</f>
        <v>480</v>
      </c>
      <c r="J1101" s="45" t="s">
        <v>47</v>
      </c>
      <c r="K1101" s="68" t="s">
        <v>33</v>
      </c>
      <c r="L1101" s="69">
        <v>240</v>
      </c>
      <c r="M1101" s="65">
        <f t="shared" si="112"/>
        <v>5.36777232768</v>
      </c>
      <c r="N1101" s="69" t="s">
        <v>34</v>
      </c>
      <c r="O1101" s="67"/>
      <c r="P1101" s="74"/>
      <c r="Q1101" s="71">
        <f>VLOOKUP($F1101,[4]装箱单!$A:$E,5,0)</f>
        <v>40.01</v>
      </c>
      <c r="R1101" s="71">
        <f>VLOOKUP($F1101,[4]装箱单!$A:$F,6,0)</f>
        <v>26.67</v>
      </c>
      <c r="S1101" s="71">
        <f>VLOOKUP($F1101,[4]装箱单!$A:$G,7,0)</f>
        <v>20.96</v>
      </c>
      <c r="T1101" s="72">
        <f>VLOOKUP($F1101,[4]装箱单!$A:$J,10,0)</f>
        <v>0.022365718032</v>
      </c>
      <c r="U1101" s="73">
        <f t="shared" si="113"/>
        <v>5.36777232768</v>
      </c>
      <c r="V1101" s="12"/>
    </row>
    <row r="1102" s="1" customFormat="1" ht="29.1" customHeight="1" spans="1:22">
      <c r="A1102" s="62">
        <v>46195</v>
      </c>
      <c r="B1102" s="63" t="s">
        <v>1473</v>
      </c>
      <c r="C1102" s="64" t="s">
        <v>1474</v>
      </c>
      <c r="D1102" s="65" t="s">
        <v>1475</v>
      </c>
      <c r="E1102" s="67" t="s">
        <v>1476</v>
      </c>
      <c r="F1102" s="67">
        <v>46092</v>
      </c>
      <c r="G1102" s="67" t="str">
        <f>VLOOKUP(F1102,[4]装箱单!$A:$C,3,0)</f>
        <v>玩具总动员系列</v>
      </c>
      <c r="H1102" s="67">
        <v>60</v>
      </c>
      <c r="I1102" s="68">
        <f>+L1102*2</f>
        <v>120</v>
      </c>
      <c r="J1102" s="45" t="s">
        <v>47</v>
      </c>
      <c r="K1102" s="68" t="s">
        <v>33</v>
      </c>
      <c r="L1102" s="69">
        <v>60</v>
      </c>
      <c r="M1102" s="65">
        <f t="shared" si="112"/>
        <v>1.34194308192</v>
      </c>
      <c r="N1102" s="69" t="s">
        <v>34</v>
      </c>
      <c r="O1102" s="67"/>
      <c r="P1102" s="74"/>
      <c r="Q1102" s="71">
        <f>VLOOKUP($F1102,[4]装箱单!$A:$E,5,0)</f>
        <v>40.01</v>
      </c>
      <c r="R1102" s="71">
        <f>VLOOKUP($F1102,[4]装箱单!$A:$F,6,0)</f>
        <v>26.67</v>
      </c>
      <c r="S1102" s="71">
        <f>VLOOKUP($F1102,[4]装箱单!$A:$G,7,0)</f>
        <v>20.96</v>
      </c>
      <c r="T1102" s="72">
        <f>VLOOKUP($F1102,[4]装箱单!$A:$J,10,0)</f>
        <v>0.022365718032</v>
      </c>
      <c r="U1102" s="73">
        <f t="shared" si="113"/>
        <v>1.34194308192</v>
      </c>
      <c r="V1102" s="12"/>
    </row>
    <row r="1103" s="1" customFormat="1" ht="29.1" customHeight="1" spans="1:22">
      <c r="A1103" s="62">
        <v>46195</v>
      </c>
      <c r="B1103" s="63" t="s">
        <v>432</v>
      </c>
      <c r="C1103" s="64" t="s">
        <v>1478</v>
      </c>
      <c r="D1103" s="65" t="s">
        <v>1479</v>
      </c>
      <c r="E1103" s="67" t="s">
        <v>1480</v>
      </c>
      <c r="F1103" s="67" t="s">
        <v>1481</v>
      </c>
      <c r="G1103" s="67" t="str">
        <f>VLOOKUP(F1103,[4]装箱单!$A:$C,3,0)</f>
        <v>搪胶小鸭子系列</v>
      </c>
      <c r="H1103" s="67">
        <v>834</v>
      </c>
      <c r="I1103" s="68">
        <f>+L1103*48</f>
        <v>40032</v>
      </c>
      <c r="J1103" s="68" t="s">
        <v>32</v>
      </c>
      <c r="K1103" s="68" t="s">
        <v>33</v>
      </c>
      <c r="L1103" s="69">
        <v>834</v>
      </c>
      <c r="M1103" s="65">
        <f t="shared" si="112"/>
        <v>14.74071648</v>
      </c>
      <c r="N1103" s="69" t="s">
        <v>34</v>
      </c>
      <c r="O1103" s="67"/>
      <c r="P1103" s="74"/>
      <c r="Q1103" s="71">
        <f>VLOOKUP($F1103,[4]装箱单!$A:$E,5,0)</f>
        <v>36.7</v>
      </c>
      <c r="R1103" s="71">
        <f>VLOOKUP($F1103,[4]装箱单!$A:$F,6,0)</f>
        <v>28</v>
      </c>
      <c r="S1103" s="71">
        <f>VLOOKUP($F1103,[4]装箱单!$A:$G,7,0)</f>
        <v>17.2</v>
      </c>
      <c r="T1103" s="72">
        <f>VLOOKUP($F1103,[4]装箱单!$A:$J,10,0)</f>
        <v>0.01767472</v>
      </c>
      <c r="U1103" s="73">
        <f t="shared" si="113"/>
        <v>14.74071648</v>
      </c>
      <c r="V1103" s="12"/>
    </row>
    <row r="1104" s="1" customFormat="1" ht="29.1" customHeight="1" spans="1:22">
      <c r="A1104" s="62">
        <v>46195</v>
      </c>
      <c r="B1104" s="63" t="s">
        <v>1439</v>
      </c>
      <c r="C1104" s="64" t="s">
        <v>1443</v>
      </c>
      <c r="D1104" s="65" t="s">
        <v>1444</v>
      </c>
      <c r="E1104" s="67" t="s">
        <v>1445</v>
      </c>
      <c r="F1104" s="67" t="s">
        <v>279</v>
      </c>
      <c r="G1104" s="67" t="str">
        <f>VLOOKUP(F1104,[4]装箱单!$A:$C,3,0)</f>
        <v>假日小鸭</v>
      </c>
      <c r="H1104" s="67">
        <v>326</v>
      </c>
      <c r="I1104" s="68">
        <f>+L1104*18</f>
        <v>5868</v>
      </c>
      <c r="J1104" s="68" t="s">
        <v>32</v>
      </c>
      <c r="K1104" s="68" t="s">
        <v>33</v>
      </c>
      <c r="L1104" s="69">
        <v>326</v>
      </c>
      <c r="M1104" s="65">
        <f t="shared" si="112"/>
        <v>1.888522110045</v>
      </c>
      <c r="N1104" s="69" t="s">
        <v>34</v>
      </c>
      <c r="O1104" s="67"/>
      <c r="P1104" s="74"/>
      <c r="Q1104" s="71">
        <f>VLOOKUP($F1104,[4]装箱单!$A:$E,5,0)</f>
        <v>32.385</v>
      </c>
      <c r="R1104" s="71">
        <f>VLOOKUP($F1104,[4]装箱单!$A:$F,6,0)</f>
        <v>18.78</v>
      </c>
      <c r="S1104" s="71">
        <f>VLOOKUP($F1104,[4]装箱单!$A:$G,7,0)</f>
        <v>9.525</v>
      </c>
      <c r="T1104" s="72">
        <f>VLOOKUP($F1104,[4]装箱单!$A:$J,10,0)</f>
        <v>0.0057930126075</v>
      </c>
      <c r="U1104" s="73">
        <f t="shared" si="113"/>
        <v>1.888522110045</v>
      </c>
      <c r="V1104" s="12"/>
    </row>
    <row r="1105" s="1" customFormat="1" ht="29.1" customHeight="1" spans="1:22">
      <c r="A1105" s="62">
        <v>46195</v>
      </c>
      <c r="B1105" s="63" t="s">
        <v>1439</v>
      </c>
      <c r="C1105" s="66" t="s">
        <v>1440</v>
      </c>
      <c r="D1105" s="65" t="s">
        <v>1441</v>
      </c>
      <c r="E1105" s="67" t="s">
        <v>1442</v>
      </c>
      <c r="F1105" s="67" t="s">
        <v>280</v>
      </c>
      <c r="G1105" s="67" t="str">
        <f>VLOOKUP(F1105,[4]装箱单!$A:$C,3,0)</f>
        <v>鸭子</v>
      </c>
      <c r="H1105" s="67">
        <v>381</v>
      </c>
      <c r="I1105" s="68">
        <f>+L1105*18</f>
        <v>6858</v>
      </c>
      <c r="J1105" s="68" t="s">
        <v>32</v>
      </c>
      <c r="K1105" s="68" t="s">
        <v>33</v>
      </c>
      <c r="L1105" s="69">
        <v>381</v>
      </c>
      <c r="M1105" s="65">
        <f t="shared" si="112"/>
        <v>2.2071378034575</v>
      </c>
      <c r="N1105" s="69" t="s">
        <v>34</v>
      </c>
      <c r="O1105" s="67"/>
      <c r="P1105" s="74"/>
      <c r="Q1105" s="71">
        <f>VLOOKUP($F1105,[4]装箱单!$A:$E,5,0)</f>
        <v>32.385</v>
      </c>
      <c r="R1105" s="71">
        <f>VLOOKUP($F1105,[4]装箱单!$A:$F,6,0)</f>
        <v>18.78</v>
      </c>
      <c r="S1105" s="71">
        <f>VLOOKUP($F1105,[4]装箱单!$A:$G,7,0)</f>
        <v>9.525</v>
      </c>
      <c r="T1105" s="72">
        <f>VLOOKUP($F1105,[4]装箱单!$A:$J,10,0)</f>
        <v>0.0057930126075</v>
      </c>
      <c r="U1105" s="73">
        <f t="shared" si="113"/>
        <v>2.2071378034575</v>
      </c>
      <c r="V1105" s="12"/>
    </row>
    <row r="1106" s="1" customFormat="1" ht="29.1" customHeight="1" spans="1:22">
      <c r="A1106" s="62">
        <v>46195</v>
      </c>
      <c r="B1106" s="63" t="s">
        <v>1439</v>
      </c>
      <c r="C1106" s="64" t="s">
        <v>1440</v>
      </c>
      <c r="D1106" s="65" t="s">
        <v>1441</v>
      </c>
      <c r="E1106" s="67" t="s">
        <v>1442</v>
      </c>
      <c r="F1106" s="67" t="s">
        <v>228</v>
      </c>
      <c r="G1106" s="67" t="str">
        <f>VLOOKUP(F1106,[4]装箱单!$A:$C,3,0)</f>
        <v>搪胶小鸭</v>
      </c>
      <c r="H1106" s="67">
        <v>381</v>
      </c>
      <c r="I1106" s="68">
        <f>+L1106*18</f>
        <v>6858</v>
      </c>
      <c r="J1106" s="68" t="s">
        <v>32</v>
      </c>
      <c r="K1106" s="68" t="s">
        <v>33</v>
      </c>
      <c r="L1106" s="69">
        <v>381</v>
      </c>
      <c r="M1106" s="65">
        <f t="shared" si="112"/>
        <v>2.424617325</v>
      </c>
      <c r="N1106" s="69" t="s">
        <v>34</v>
      </c>
      <c r="O1106" s="67"/>
      <c r="P1106" s="74"/>
      <c r="Q1106" s="71">
        <f>VLOOKUP($F1106,[4]装箱单!$A:$E,5,0)</f>
        <v>32.5</v>
      </c>
      <c r="R1106" s="71">
        <f>VLOOKUP($F1106,[4]装箱单!$A:$F,6,0)</f>
        <v>18.3</v>
      </c>
      <c r="S1106" s="71">
        <f>VLOOKUP($F1106,[4]装箱单!$A:$G,7,0)</f>
        <v>10.7</v>
      </c>
      <c r="T1106" s="72">
        <f>VLOOKUP($F1106,[4]装箱单!$A:$J,10,0)</f>
        <v>0.006363825</v>
      </c>
      <c r="U1106" s="73">
        <f t="shared" si="113"/>
        <v>2.424617325</v>
      </c>
      <c r="V1106" s="12"/>
    </row>
    <row r="1107" s="1" customFormat="1" ht="29.1" customHeight="1" spans="1:22">
      <c r="A1107" s="62">
        <v>46195</v>
      </c>
      <c r="B1107" s="63" t="s">
        <v>1439</v>
      </c>
      <c r="C1107" s="64" t="s">
        <v>1443</v>
      </c>
      <c r="D1107" s="65" t="s">
        <v>1444</v>
      </c>
      <c r="E1107" s="67" t="s">
        <v>1445</v>
      </c>
      <c r="F1107" s="67" t="s">
        <v>111</v>
      </c>
      <c r="G1107" s="67" t="str">
        <f>VLOOKUP(F1107,[4]装箱单!$A:$C,3,0)</f>
        <v>鸭子</v>
      </c>
      <c r="H1107" s="67">
        <v>326</v>
      </c>
      <c r="I1107" s="68">
        <f>+L1107*18</f>
        <v>5868</v>
      </c>
      <c r="J1107" s="68" t="s">
        <v>32</v>
      </c>
      <c r="K1107" s="68" t="s">
        <v>33</v>
      </c>
      <c r="L1107" s="69">
        <v>326</v>
      </c>
      <c r="M1107" s="65">
        <f t="shared" si="112"/>
        <v>1.888522110045</v>
      </c>
      <c r="N1107" s="69" t="s">
        <v>34</v>
      </c>
      <c r="O1107" s="67" t="s">
        <v>1482</v>
      </c>
      <c r="P1107" s="74"/>
      <c r="Q1107" s="71">
        <f>VLOOKUP($F1107,[4]装箱单!$A:$E,5,0)</f>
        <v>32.385</v>
      </c>
      <c r="R1107" s="71">
        <f>VLOOKUP($F1107,[4]装箱单!$A:$F,6,0)</f>
        <v>18.78</v>
      </c>
      <c r="S1107" s="71">
        <f>VLOOKUP($F1107,[4]装箱单!$A:$G,7,0)</f>
        <v>9.525</v>
      </c>
      <c r="T1107" s="72">
        <f>VLOOKUP($F1107,[4]装箱单!$A:$J,10,0)</f>
        <v>0.0057930126075</v>
      </c>
      <c r="U1107" s="73">
        <f t="shared" si="113"/>
        <v>1.888522110045</v>
      </c>
      <c r="V1107" s="12"/>
    </row>
    <row r="1108" s="1" customFormat="1" ht="29.1" customHeight="1" spans="1:22">
      <c r="A1108" s="62"/>
      <c r="B1108" s="63"/>
      <c r="C1108" s="64"/>
      <c r="D1108" s="65"/>
      <c r="E1108" s="67"/>
      <c r="F1108" s="68"/>
      <c r="G1108" s="67"/>
      <c r="H1108" s="67"/>
      <c r="I1108" s="68"/>
      <c r="J1108" s="68"/>
      <c r="K1108" s="68"/>
      <c r="L1108" s="69"/>
      <c r="M1108" s="65">
        <f>SUM(M1090:M1107)</f>
        <v>124.958193908467</v>
      </c>
      <c r="N1108" s="69"/>
      <c r="O1108" s="67"/>
      <c r="P1108" s="75"/>
      <c r="Q1108" s="71"/>
      <c r="R1108" s="71"/>
      <c r="S1108" s="71"/>
      <c r="T1108" s="72"/>
      <c r="U1108" s="73"/>
      <c r="V1108" s="12"/>
    </row>
    <row r="1109" s="1" customFormat="1" ht="29.1" customHeight="1" spans="1:22">
      <c r="A1109" s="62">
        <v>46196</v>
      </c>
      <c r="B1109" s="63" t="s">
        <v>1346</v>
      </c>
      <c r="C1109" s="64" t="s">
        <v>1347</v>
      </c>
      <c r="D1109" s="65" t="s">
        <v>1424</v>
      </c>
      <c r="E1109" s="66">
        <v>20219090</v>
      </c>
      <c r="F1109" s="68">
        <v>571299</v>
      </c>
      <c r="G1109" s="67" t="str">
        <f>VLOOKUP(F1109,[4]装箱单!$A:$C,3,0)</f>
        <v>自卸车</v>
      </c>
      <c r="H1109" s="67">
        <v>1430</v>
      </c>
      <c r="I1109" s="68">
        <f>+L1109</f>
        <v>669</v>
      </c>
      <c r="J1109" s="68" t="s">
        <v>32</v>
      </c>
      <c r="K1109" s="68" t="s">
        <v>33</v>
      </c>
      <c r="L1109" s="69">
        <f>1430-761</f>
        <v>669</v>
      </c>
      <c r="M1109" s="65">
        <f>+U1109</f>
        <v>17.926524</v>
      </c>
      <c r="N1109" s="69" t="s">
        <v>34</v>
      </c>
      <c r="O1109" s="85"/>
      <c r="P1109" s="70" t="s">
        <v>1483</v>
      </c>
      <c r="Q1109" s="71">
        <f>VLOOKUP($F1109,[4]装箱单!$A:$E,5,0)</f>
        <v>42</v>
      </c>
      <c r="R1109" s="71">
        <f>VLOOKUP($F1109,[4]装箱单!$A:$F,6,0)</f>
        <v>22</v>
      </c>
      <c r="S1109" s="71">
        <f>VLOOKUP($F1109,[4]装箱单!$A:$G,7,0)</f>
        <v>29</v>
      </c>
      <c r="T1109" s="72">
        <f>VLOOKUP($F1109,[4]装箱单!$A:$J,10,0)</f>
        <v>0.026796</v>
      </c>
      <c r="U1109" s="73">
        <f>+T1109*L1109</f>
        <v>17.926524</v>
      </c>
      <c r="V1109" s="12"/>
    </row>
    <row r="1110" s="1" customFormat="1" ht="29.1" customHeight="1" spans="1:22">
      <c r="A1110" s="62">
        <v>46196</v>
      </c>
      <c r="B1110" s="63" t="s">
        <v>415</v>
      </c>
      <c r="C1110" s="64" t="s">
        <v>1337</v>
      </c>
      <c r="D1110" s="65" t="s">
        <v>1338</v>
      </c>
      <c r="E1110" s="67"/>
      <c r="F1110" s="67">
        <v>470764</v>
      </c>
      <c r="G1110" s="67" t="str">
        <f>VLOOKUP(F1110,[4]装箱单!$A:$C,3,0)</f>
        <v>大型自卸车</v>
      </c>
      <c r="H1110" s="67">
        <v>3506</v>
      </c>
      <c r="I1110" s="68">
        <f>+L1110</f>
        <v>2121</v>
      </c>
      <c r="J1110" s="68" t="s">
        <v>32</v>
      </c>
      <c r="K1110" s="68" t="s">
        <v>33</v>
      </c>
      <c r="L1110" s="69">
        <v>2121</v>
      </c>
      <c r="M1110" s="65">
        <f>+U1110</f>
        <v>56.834316</v>
      </c>
      <c r="N1110" s="69" t="s">
        <v>34</v>
      </c>
      <c r="O1110" s="67"/>
      <c r="P1110" s="74"/>
      <c r="Q1110" s="71">
        <f>VLOOKUP($F1110,[4]装箱单!$A:$E,5,0)</f>
        <v>42</v>
      </c>
      <c r="R1110" s="71">
        <f>VLOOKUP($F1110,[4]装箱单!$A:$F,6,0)</f>
        <v>22</v>
      </c>
      <c r="S1110" s="71">
        <f>VLOOKUP($F1110,[4]装箱单!$A:$G,7,0)</f>
        <v>29</v>
      </c>
      <c r="T1110" s="72">
        <f>VLOOKUP($F1110,[4]装箱单!$A:$J,10,0)</f>
        <v>0.026796</v>
      </c>
      <c r="U1110" s="73">
        <f>+T1110*L1110</f>
        <v>56.834316</v>
      </c>
      <c r="V1110" s="12"/>
    </row>
    <row r="1111" s="1" customFormat="1" ht="29.1" customHeight="1" spans="1:22">
      <c r="A1111" s="62">
        <v>46195</v>
      </c>
      <c r="B1111" s="63" t="s">
        <v>40</v>
      </c>
      <c r="C1111" s="64" t="s">
        <v>1380</v>
      </c>
      <c r="D1111" s="65" t="s">
        <v>1381</v>
      </c>
      <c r="E1111" s="66">
        <v>993550647</v>
      </c>
      <c r="F1111" s="67">
        <v>28483</v>
      </c>
      <c r="G1111" s="67" t="str">
        <f>VLOOKUP(F1111,[4]装箱单!$A:$C,3,0)</f>
        <v>振动球</v>
      </c>
      <c r="H1111" s="67">
        <v>5580</v>
      </c>
      <c r="I1111" s="68">
        <v>5580</v>
      </c>
      <c r="J1111" s="68" t="s">
        <v>32</v>
      </c>
      <c r="K1111" s="68" t="s">
        <v>33</v>
      </c>
      <c r="L1111" s="69">
        <f>5580-3420</f>
        <v>2160</v>
      </c>
      <c r="M1111" s="65">
        <f>+U1111</f>
        <v>12.4690104</v>
      </c>
      <c r="N1111" s="69" t="s">
        <v>34</v>
      </c>
      <c r="O1111" s="86"/>
      <c r="P1111" s="74"/>
      <c r="Q1111" s="71">
        <f>VLOOKUP($F1111,[4]装箱单!$A:$E,5,0)</f>
        <v>16.83</v>
      </c>
      <c r="R1111" s="71">
        <f>VLOOKUP($F1111,[4]装箱单!$A:$F,6,0)</f>
        <v>17.15</v>
      </c>
      <c r="S1111" s="71">
        <f>VLOOKUP($F1111,[4]装箱单!$A:$G,7,0)</f>
        <v>20</v>
      </c>
      <c r="T1111" s="72">
        <f>VLOOKUP($F1111,[4]装箱单!$A:$J,10,0)</f>
        <v>0.00577269</v>
      </c>
      <c r="U1111" s="73">
        <f>+T1111*L1111</f>
        <v>12.4690104</v>
      </c>
      <c r="V1111" s="12"/>
    </row>
    <row r="1112" s="1" customFormat="1" ht="29.1" customHeight="1" spans="1:22">
      <c r="A1112" s="62">
        <v>46196</v>
      </c>
      <c r="B1112" s="63" t="s">
        <v>40</v>
      </c>
      <c r="C1112" s="64" t="s">
        <v>1484</v>
      </c>
      <c r="D1112" s="65" t="s">
        <v>1485</v>
      </c>
      <c r="E1112" s="140" t="s">
        <v>1486</v>
      </c>
      <c r="F1112" s="67">
        <v>28483</v>
      </c>
      <c r="G1112" s="67" t="str">
        <f>VLOOKUP(F1112,[4]装箱单!$A:$C,3,0)</f>
        <v>振动球</v>
      </c>
      <c r="H1112" s="67">
        <v>7560</v>
      </c>
      <c r="I1112" s="68">
        <f>+L1112</f>
        <v>7560</v>
      </c>
      <c r="J1112" s="68" t="s">
        <v>32</v>
      </c>
      <c r="K1112" s="68" t="s">
        <v>33</v>
      </c>
      <c r="L1112" s="69">
        <v>7560</v>
      </c>
      <c r="M1112" s="65">
        <f>+U1112</f>
        <v>43.6415364</v>
      </c>
      <c r="N1112" s="69" t="s">
        <v>34</v>
      </c>
      <c r="O1112" s="67"/>
      <c r="P1112" s="74"/>
      <c r="Q1112" s="71">
        <f>VLOOKUP($F1112,[4]装箱单!$A:$E,5,0)</f>
        <v>16.83</v>
      </c>
      <c r="R1112" s="71">
        <f>VLOOKUP($F1112,[4]装箱单!$A:$F,6,0)</f>
        <v>17.15</v>
      </c>
      <c r="S1112" s="71">
        <f>VLOOKUP($F1112,[4]装箱单!$A:$G,7,0)</f>
        <v>20</v>
      </c>
      <c r="T1112" s="72">
        <f>VLOOKUP($F1112,[4]装箱单!$A:$J,10,0)</f>
        <v>0.00577269</v>
      </c>
      <c r="U1112" s="73">
        <f>+T1112*L1112</f>
        <v>43.6415364</v>
      </c>
      <c r="V1112" s="12"/>
    </row>
    <row r="1113" s="1" customFormat="1" ht="29.1" customHeight="1" spans="1:22">
      <c r="A1113" s="62"/>
      <c r="B1113" s="63"/>
      <c r="C1113" s="64"/>
      <c r="D1113" s="65"/>
      <c r="E1113" s="67"/>
      <c r="F1113" s="67"/>
      <c r="G1113" s="67"/>
      <c r="H1113" s="67"/>
      <c r="I1113" s="68"/>
      <c r="J1113" s="68"/>
      <c r="K1113" s="68"/>
      <c r="L1113" s="69"/>
      <c r="M1113" s="65">
        <f>SUM(M1109:M1112)</f>
        <v>130.8713868</v>
      </c>
      <c r="N1113" s="69"/>
      <c r="O1113" s="87"/>
      <c r="P1113" s="75"/>
      <c r="Q1113" s="71"/>
      <c r="R1113" s="71"/>
      <c r="S1113" s="71"/>
      <c r="T1113" s="72"/>
      <c r="U1113" s="73"/>
      <c r="V1113" s="12"/>
    </row>
    <row r="1114" s="1" customFormat="1" ht="29.1" customHeight="1" spans="1:22">
      <c r="A1114" s="62">
        <v>46197</v>
      </c>
      <c r="B1114" s="63" t="s">
        <v>1329</v>
      </c>
      <c r="C1114" s="64">
        <v>46554</v>
      </c>
      <c r="D1114" s="65" t="s">
        <v>1423</v>
      </c>
      <c r="E1114" s="66"/>
      <c r="F1114" s="67">
        <v>570974</v>
      </c>
      <c r="G1114" s="67" t="str">
        <f>VLOOKUP(F1114,[4]装箱单!$A:$C,3,0)</f>
        <v>蓝球</v>
      </c>
      <c r="H1114" s="67">
        <v>2690</v>
      </c>
      <c r="I1114" s="68">
        <f>+L1114*1</f>
        <v>1714</v>
      </c>
      <c r="J1114" s="68" t="s">
        <v>32</v>
      </c>
      <c r="K1114" s="68" t="s">
        <v>33</v>
      </c>
      <c r="L1114" s="69">
        <v>1714</v>
      </c>
      <c r="M1114" s="65">
        <f>+U1114</f>
        <v>147.27468308784</v>
      </c>
      <c r="N1114" s="69" t="s">
        <v>34</v>
      </c>
      <c r="O1114" s="67"/>
      <c r="P1114" s="70" t="s">
        <v>1419</v>
      </c>
      <c r="Q1114" s="71">
        <f>VLOOKUP($F1114,[4]装箱单!$A:$E,5,0)</f>
        <v>59.05</v>
      </c>
      <c r="R1114" s="71">
        <f>VLOOKUP($F1114,[4]装箱单!$A:$F,6,0)</f>
        <v>26.04</v>
      </c>
      <c r="S1114" s="71">
        <f>VLOOKUP($F1114,[4]装箱单!$A:$G,7,0)</f>
        <v>55.88</v>
      </c>
      <c r="T1114" s="72">
        <f>VLOOKUP($F1114,[4]装箱单!$A:$J,10,0)</f>
        <v>0.08592455256</v>
      </c>
      <c r="U1114" s="73">
        <f>+T1114*L1114</f>
        <v>147.27468308784</v>
      </c>
      <c r="V1114" s="12"/>
    </row>
    <row r="1115" s="1" customFormat="1" ht="29.1" customHeight="1" spans="1:22">
      <c r="A1115" s="62"/>
      <c r="B1115" s="63"/>
      <c r="C1115" s="64"/>
      <c r="D1115" s="65"/>
      <c r="E1115" s="66"/>
      <c r="F1115" s="67"/>
      <c r="G1115" s="67"/>
      <c r="H1115" s="67"/>
      <c r="I1115" s="68"/>
      <c r="J1115" s="68"/>
      <c r="K1115" s="68"/>
      <c r="L1115" s="69"/>
      <c r="M1115" s="65">
        <f>+M1114</f>
        <v>147.27468308784</v>
      </c>
      <c r="N1115" s="69"/>
      <c r="O1115" s="67"/>
      <c r="P1115" s="75"/>
      <c r="Q1115" s="71"/>
      <c r="R1115" s="71"/>
      <c r="S1115" s="71"/>
      <c r="T1115" s="72"/>
      <c r="U1115" s="73"/>
      <c r="V1115" s="12"/>
    </row>
    <row r="1116" s="1" customFormat="1" ht="29.1" customHeight="1" spans="1:22">
      <c r="A1116" s="62">
        <v>46198</v>
      </c>
      <c r="B1116" s="63" t="s">
        <v>415</v>
      </c>
      <c r="C1116" s="64" t="s">
        <v>1337</v>
      </c>
      <c r="D1116" s="65" t="s">
        <v>1338</v>
      </c>
      <c r="E1116" s="67"/>
      <c r="F1116" s="67">
        <v>470764</v>
      </c>
      <c r="G1116" s="67" t="str">
        <f>VLOOKUP(F1116,[4]装箱单!$A:$C,3,0)</f>
        <v>大型自卸车</v>
      </c>
      <c r="H1116" s="67">
        <v>3506</v>
      </c>
      <c r="I1116" s="68">
        <f>+L1116</f>
        <v>573</v>
      </c>
      <c r="J1116" s="68" t="s">
        <v>32</v>
      </c>
      <c r="K1116" s="68" t="s">
        <v>33</v>
      </c>
      <c r="L1116" s="69">
        <f>3506-720-92-2121</f>
        <v>573</v>
      </c>
      <c r="M1116" s="65">
        <f>+U1116</f>
        <v>15.354108</v>
      </c>
      <c r="N1116" s="69" t="s">
        <v>34</v>
      </c>
      <c r="O1116" s="67"/>
      <c r="P1116" s="70" t="s">
        <v>1487</v>
      </c>
      <c r="Q1116" s="71">
        <f>VLOOKUP($F1116,[4]装箱单!$A:$E,5,0)</f>
        <v>42</v>
      </c>
      <c r="R1116" s="71">
        <f>VLOOKUP($F1116,[4]装箱单!$A:$F,6,0)</f>
        <v>22</v>
      </c>
      <c r="S1116" s="71">
        <f>VLOOKUP($F1116,[4]装箱单!$A:$G,7,0)</f>
        <v>29</v>
      </c>
      <c r="T1116" s="72">
        <f>VLOOKUP($F1116,[4]装箱单!$A:$J,10,0)</f>
        <v>0.026796</v>
      </c>
      <c r="U1116" s="73">
        <f>+T1116*L1116</f>
        <v>15.354108</v>
      </c>
      <c r="V1116" s="12"/>
    </row>
    <row r="1117" s="1" customFormat="1" ht="29.1" customHeight="1" spans="1:22">
      <c r="A1117" s="62">
        <v>46198</v>
      </c>
      <c r="B1117" s="63" t="s">
        <v>40</v>
      </c>
      <c r="C1117" s="64" t="s">
        <v>1488</v>
      </c>
      <c r="D1117" s="65" t="s">
        <v>1489</v>
      </c>
      <c r="E1117" s="140" t="s">
        <v>1490</v>
      </c>
      <c r="F1117" s="67">
        <v>28483</v>
      </c>
      <c r="G1117" s="67" t="str">
        <f>VLOOKUP(F1117,[4]装箱单!$A:$C,3,0)</f>
        <v>振动球</v>
      </c>
      <c r="H1117" s="67">
        <v>3780</v>
      </c>
      <c r="I1117" s="68">
        <f>+L1117</f>
        <v>3780</v>
      </c>
      <c r="J1117" s="68" t="s">
        <v>32</v>
      </c>
      <c r="K1117" s="68" t="s">
        <v>33</v>
      </c>
      <c r="L1117" s="69">
        <v>3780</v>
      </c>
      <c r="M1117" s="65">
        <f>+U1117</f>
        <v>21.8207682</v>
      </c>
      <c r="N1117" s="69" t="s">
        <v>34</v>
      </c>
      <c r="O1117" s="67"/>
      <c r="P1117" s="74"/>
      <c r="Q1117" s="71">
        <f>VLOOKUP($F1117,[4]装箱单!$A:$E,5,0)</f>
        <v>16.83</v>
      </c>
      <c r="R1117" s="71">
        <f>VLOOKUP($F1117,[4]装箱单!$A:$F,6,0)</f>
        <v>17.15</v>
      </c>
      <c r="S1117" s="71">
        <f>VLOOKUP($F1117,[4]装箱单!$A:$G,7,0)</f>
        <v>20</v>
      </c>
      <c r="T1117" s="72">
        <f>VLOOKUP($F1117,[4]装箱单!$A:$J,10,0)</f>
        <v>0.00577269</v>
      </c>
      <c r="U1117" s="73">
        <f>+T1117*L1117</f>
        <v>21.8207682</v>
      </c>
      <c r="V1117" s="12"/>
    </row>
    <row r="1118" s="1" customFormat="1" ht="29.1" customHeight="1" spans="1:22">
      <c r="A1118" s="62">
        <v>46198</v>
      </c>
      <c r="B1118" s="63" t="s">
        <v>1329</v>
      </c>
      <c r="C1118" s="64">
        <v>46554</v>
      </c>
      <c r="D1118" s="65" t="s">
        <v>1423</v>
      </c>
      <c r="E1118" s="66"/>
      <c r="F1118" s="67">
        <v>570974</v>
      </c>
      <c r="G1118" s="67" t="str">
        <f>VLOOKUP(F1118,[4]装箱单!$A:$C,3,0)</f>
        <v>蓝球</v>
      </c>
      <c r="H1118" s="67">
        <v>2690</v>
      </c>
      <c r="I1118" s="68">
        <f>+L1118*1</f>
        <v>976</v>
      </c>
      <c r="J1118" s="68" t="s">
        <v>32</v>
      </c>
      <c r="K1118" s="68" t="s">
        <v>33</v>
      </c>
      <c r="L1118" s="69">
        <f>2690-1714</f>
        <v>976</v>
      </c>
      <c r="M1118" s="65">
        <f>+U1118</f>
        <v>83.86236329856</v>
      </c>
      <c r="N1118" s="69" t="s">
        <v>34</v>
      </c>
      <c r="O1118" s="67"/>
      <c r="P1118" s="74"/>
      <c r="Q1118" s="71">
        <f>VLOOKUP($F1118,[4]装箱单!$A:$E,5,0)</f>
        <v>59.05</v>
      </c>
      <c r="R1118" s="71">
        <f>VLOOKUP($F1118,[4]装箱单!$A:$F,6,0)</f>
        <v>26.04</v>
      </c>
      <c r="S1118" s="71">
        <f>VLOOKUP($F1118,[4]装箱单!$A:$G,7,0)</f>
        <v>55.88</v>
      </c>
      <c r="T1118" s="72">
        <f>VLOOKUP($F1118,[4]装箱单!$A:$J,10,0)</f>
        <v>0.08592455256</v>
      </c>
      <c r="U1118" s="73">
        <f>+T1118*L1118</f>
        <v>83.86236329856</v>
      </c>
      <c r="V1118" s="12"/>
    </row>
    <row r="1119" s="1" customFormat="1" ht="29.1" customHeight="1" spans="1:22">
      <c r="A1119" s="62"/>
      <c r="B1119" s="63"/>
      <c r="C1119" s="64"/>
      <c r="D1119" s="65"/>
      <c r="E1119" s="67"/>
      <c r="F1119" s="67"/>
      <c r="G1119" s="67"/>
      <c r="H1119" s="67"/>
      <c r="I1119" s="68"/>
      <c r="J1119" s="68"/>
      <c r="K1119" s="68"/>
      <c r="L1119" s="69"/>
      <c r="M1119" s="65">
        <f>SUM(M1116:M1118)</f>
        <v>121.03723949856</v>
      </c>
      <c r="N1119" s="69"/>
      <c r="O1119" s="87"/>
      <c r="P1119" s="75"/>
      <c r="Q1119" s="71"/>
      <c r="R1119" s="71"/>
      <c r="S1119" s="71"/>
      <c r="T1119" s="72"/>
      <c r="U1119" s="73"/>
      <c r="V1119" s="12"/>
    </row>
    <row r="1120" s="1" customFormat="1" ht="29.1" customHeight="1" spans="1:22">
      <c r="A1120" s="62">
        <v>46199</v>
      </c>
      <c r="B1120" s="63" t="s">
        <v>415</v>
      </c>
      <c r="C1120" s="64" t="s">
        <v>1491</v>
      </c>
      <c r="D1120" s="65" t="s">
        <v>1338</v>
      </c>
      <c r="E1120" s="66" t="s">
        <v>1492</v>
      </c>
      <c r="F1120" s="68">
        <v>470764</v>
      </c>
      <c r="G1120" s="67" t="str">
        <f>VLOOKUP(F1120,[4]装箱单!$A:$C,3,0)</f>
        <v>大型自卸车</v>
      </c>
      <c r="H1120" s="67">
        <v>1039</v>
      </c>
      <c r="I1120" s="68">
        <f>+L1120</f>
        <v>1039</v>
      </c>
      <c r="J1120" s="68" t="s">
        <v>32</v>
      </c>
      <c r="K1120" s="68" t="s">
        <v>33</v>
      </c>
      <c r="L1120" s="69">
        <v>1039</v>
      </c>
      <c r="M1120" s="65">
        <f>+U1120</f>
        <v>27.841044</v>
      </c>
      <c r="N1120" s="69" t="s">
        <v>34</v>
      </c>
      <c r="O1120" s="87"/>
      <c r="P1120" s="70" t="s">
        <v>1493</v>
      </c>
      <c r="Q1120" s="71">
        <f>VLOOKUP($F1120,[4]装箱单!$A:$E,5,0)</f>
        <v>42</v>
      </c>
      <c r="R1120" s="71">
        <f>VLOOKUP($F1120,[4]装箱单!$A:$F,6,0)</f>
        <v>22</v>
      </c>
      <c r="S1120" s="71">
        <f>VLOOKUP($F1120,[4]装箱单!$A:$G,7,0)</f>
        <v>29</v>
      </c>
      <c r="T1120" s="72">
        <f>VLOOKUP($F1120,[4]装箱单!$A:$J,10,0)</f>
        <v>0.026796</v>
      </c>
      <c r="U1120" s="73">
        <f>+T1120*L1120</f>
        <v>27.841044</v>
      </c>
      <c r="V1120" s="12"/>
    </row>
    <row r="1121" s="1" customFormat="1" ht="29.1" customHeight="1" spans="1:22">
      <c r="A1121" s="62">
        <v>46199</v>
      </c>
      <c r="B1121" s="63" t="s">
        <v>415</v>
      </c>
      <c r="C1121" s="64" t="s">
        <v>1494</v>
      </c>
      <c r="D1121" s="65" t="s">
        <v>1338</v>
      </c>
      <c r="E1121" s="66" t="s">
        <v>1495</v>
      </c>
      <c r="F1121" s="67">
        <v>470764</v>
      </c>
      <c r="G1121" s="67" t="str">
        <f>VLOOKUP(F1121,[4]装箱单!$A:$C,3,0)</f>
        <v>大型自卸车</v>
      </c>
      <c r="H1121" s="67">
        <v>1461</v>
      </c>
      <c r="I1121" s="68">
        <f>+L1121*1</f>
        <v>1444</v>
      </c>
      <c r="J1121" s="68" t="s">
        <v>32</v>
      </c>
      <c r="K1121" s="68" t="s">
        <v>33</v>
      </c>
      <c r="L1121" s="69">
        <v>1444</v>
      </c>
      <c r="M1121" s="65">
        <f>+U1121</f>
        <v>38.693424</v>
      </c>
      <c r="N1121" s="69" t="s">
        <v>34</v>
      </c>
      <c r="O1121" s="67"/>
      <c r="P1121" s="74"/>
      <c r="Q1121" s="71">
        <f>VLOOKUP($F1121,[4]装箱单!$A:$E,5,0)</f>
        <v>42</v>
      </c>
      <c r="R1121" s="71">
        <f>VLOOKUP($F1121,[4]装箱单!$A:$F,6,0)</f>
        <v>22</v>
      </c>
      <c r="S1121" s="71">
        <f>VLOOKUP($F1121,[4]装箱单!$A:$G,7,0)</f>
        <v>29</v>
      </c>
      <c r="T1121" s="72">
        <f>VLOOKUP($F1121,[4]装箱单!$A:$J,10,0)</f>
        <v>0.026796</v>
      </c>
      <c r="U1121" s="73">
        <f>+T1121*L1121</f>
        <v>38.693424</v>
      </c>
      <c r="V1121" s="12"/>
    </row>
    <row r="1122" s="1" customFormat="1" ht="29.1" customHeight="1" spans="1:22">
      <c r="A1122" s="62">
        <v>46199</v>
      </c>
      <c r="B1122" s="63" t="s">
        <v>40</v>
      </c>
      <c r="C1122" s="64" t="s">
        <v>1496</v>
      </c>
      <c r="D1122" s="65" t="s">
        <v>1485</v>
      </c>
      <c r="E1122" s="140" t="s">
        <v>1497</v>
      </c>
      <c r="F1122" s="67">
        <v>28483</v>
      </c>
      <c r="G1122" s="67" t="str">
        <f>VLOOKUP(F1122,[4]装箱单!$A:$C,3,0)</f>
        <v>振动球</v>
      </c>
      <c r="H1122" s="67">
        <v>5580</v>
      </c>
      <c r="I1122" s="68">
        <f>+L1122</f>
        <v>5580</v>
      </c>
      <c r="J1122" s="68" t="s">
        <v>32</v>
      </c>
      <c r="K1122" s="68" t="s">
        <v>33</v>
      </c>
      <c r="L1122" s="69">
        <v>5580</v>
      </c>
      <c r="M1122" s="65">
        <f>+U1122</f>
        <v>32.2116102</v>
      </c>
      <c r="N1122" s="69" t="s">
        <v>34</v>
      </c>
      <c r="O1122" s="67"/>
      <c r="P1122" s="74"/>
      <c r="Q1122" s="71">
        <f>VLOOKUP($F1122,[4]装箱单!$A:$E,5,0)</f>
        <v>16.83</v>
      </c>
      <c r="R1122" s="71">
        <f>VLOOKUP($F1122,[4]装箱单!$A:$F,6,0)</f>
        <v>17.15</v>
      </c>
      <c r="S1122" s="71">
        <f>VLOOKUP($F1122,[4]装箱单!$A:$G,7,0)</f>
        <v>20</v>
      </c>
      <c r="T1122" s="72">
        <f>VLOOKUP($F1122,[4]装箱单!$A:$J,10,0)</f>
        <v>0.00577269</v>
      </c>
      <c r="U1122" s="73">
        <f>+T1122*L1122</f>
        <v>32.2116102</v>
      </c>
      <c r="V1122" s="12"/>
    </row>
    <row r="1123" s="1" customFormat="1" ht="29.1" customHeight="1" spans="1:22">
      <c r="A1123" s="62">
        <v>46199</v>
      </c>
      <c r="B1123" s="63" t="s">
        <v>40</v>
      </c>
      <c r="C1123" s="64" t="s">
        <v>1498</v>
      </c>
      <c r="D1123" s="65" t="s">
        <v>1485</v>
      </c>
      <c r="E1123" s="140" t="s">
        <v>1499</v>
      </c>
      <c r="F1123" s="67">
        <v>28483</v>
      </c>
      <c r="G1123" s="67" t="str">
        <f>VLOOKUP(F1123,[4]装箱单!$A:$C,3,0)</f>
        <v>振动球</v>
      </c>
      <c r="H1123" s="67">
        <v>5580</v>
      </c>
      <c r="I1123" s="68">
        <f>+L1123</f>
        <v>5580</v>
      </c>
      <c r="J1123" s="68" t="s">
        <v>32</v>
      </c>
      <c r="K1123" s="68" t="s">
        <v>33</v>
      </c>
      <c r="L1123" s="69">
        <v>5580</v>
      </c>
      <c r="M1123" s="65">
        <f>+U1123</f>
        <v>32.2116102</v>
      </c>
      <c r="N1123" s="69" t="s">
        <v>34</v>
      </c>
      <c r="O1123" s="67"/>
      <c r="P1123" s="74"/>
      <c r="Q1123" s="71">
        <f>VLOOKUP($F1123,[4]装箱单!$A:$E,5,0)</f>
        <v>16.83</v>
      </c>
      <c r="R1123" s="71">
        <f>VLOOKUP($F1123,[4]装箱单!$A:$F,6,0)</f>
        <v>17.15</v>
      </c>
      <c r="S1123" s="71">
        <f>VLOOKUP($F1123,[4]装箱单!$A:$G,7,0)</f>
        <v>20</v>
      </c>
      <c r="T1123" s="72">
        <f>VLOOKUP($F1123,[4]装箱单!$A:$J,10,0)</f>
        <v>0.00577269</v>
      </c>
      <c r="U1123" s="73">
        <f>+T1123*L1123</f>
        <v>32.2116102</v>
      </c>
      <c r="V1123" s="12"/>
    </row>
    <row r="1124" s="1" customFormat="1" ht="29.1" customHeight="1" spans="1:22">
      <c r="A1124" s="62"/>
      <c r="B1124" s="63"/>
      <c r="C1124" s="64"/>
      <c r="D1124" s="65"/>
      <c r="E1124" s="66"/>
      <c r="F1124" s="68"/>
      <c r="G1124" s="67"/>
      <c r="H1124" s="67"/>
      <c r="I1124" s="68"/>
      <c r="J1124" s="68"/>
      <c r="K1124" s="68"/>
      <c r="L1124" s="69"/>
      <c r="M1124" s="65">
        <f>SUM(M1120:M1123)</f>
        <v>130.9576884</v>
      </c>
      <c r="N1124" s="69"/>
      <c r="O1124" s="67"/>
      <c r="P1124" s="75"/>
      <c r="Q1124" s="71"/>
      <c r="R1124" s="71"/>
      <c r="S1124" s="71"/>
      <c r="T1124" s="72"/>
      <c r="U1124" s="73"/>
      <c r="V1124" s="12"/>
    </row>
    <row r="1125" s="1" customFormat="1" ht="29.1" customHeight="1" spans="1:22">
      <c r="A1125" s="62">
        <v>46200</v>
      </c>
      <c r="B1125" s="63" t="s">
        <v>40</v>
      </c>
      <c r="C1125" s="64" t="s">
        <v>1488</v>
      </c>
      <c r="D1125" s="65" t="s">
        <v>1489</v>
      </c>
      <c r="E1125" s="140" t="s">
        <v>1490</v>
      </c>
      <c r="F1125" s="68">
        <v>28481</v>
      </c>
      <c r="G1125" s="67" t="str">
        <f>VLOOKUP(F1125,[4]装箱单!$A:$C,3,0)</f>
        <v>骰子</v>
      </c>
      <c r="H1125" s="67">
        <v>240</v>
      </c>
      <c r="I1125" s="68">
        <f>+L1125*4</f>
        <v>960</v>
      </c>
      <c r="J1125" s="45" t="s">
        <v>47</v>
      </c>
      <c r="K1125" s="68" t="s">
        <v>33</v>
      </c>
      <c r="L1125" s="69">
        <v>240</v>
      </c>
      <c r="M1125" s="65">
        <f t="shared" ref="M1125:M1132" si="114">+U1125</f>
        <v>2.41914438192</v>
      </c>
      <c r="N1125" s="69" t="s">
        <v>34</v>
      </c>
      <c r="O1125" s="67"/>
      <c r="P1125" s="70" t="s">
        <v>1500</v>
      </c>
      <c r="Q1125" s="71">
        <f>VLOOKUP($F1125,[4]装箱单!$A:$E,5,0)</f>
        <v>23.81</v>
      </c>
      <c r="R1125" s="71">
        <f>VLOOKUP($F1125,[4]装箱单!$A:$F,6,0)</f>
        <v>17.78</v>
      </c>
      <c r="S1125" s="71">
        <f>VLOOKUP($F1125,[4]装箱单!$A:$G,7,0)</f>
        <v>23.81</v>
      </c>
      <c r="T1125" s="72">
        <f>VLOOKUP($F1125,[4]装箱单!$A:$J,10,0)</f>
        <v>0.010079768258</v>
      </c>
      <c r="U1125" s="73">
        <f t="shared" ref="U1125:U1132" si="115">+T1125*L1125</f>
        <v>2.41914438192</v>
      </c>
      <c r="V1125" s="12"/>
    </row>
    <row r="1126" s="1" customFormat="1" ht="29.1" customHeight="1" spans="1:22">
      <c r="A1126" s="62">
        <v>46200</v>
      </c>
      <c r="B1126" s="63" t="s">
        <v>40</v>
      </c>
      <c r="C1126" s="64" t="s">
        <v>1484</v>
      </c>
      <c r="D1126" s="65" t="s">
        <v>1485</v>
      </c>
      <c r="E1126" s="140" t="s">
        <v>1486</v>
      </c>
      <c r="F1126" s="68">
        <v>28481</v>
      </c>
      <c r="G1126" s="67" t="str">
        <f>VLOOKUP(F1126,[4]装箱单!$A:$C,3,0)</f>
        <v>骰子</v>
      </c>
      <c r="H1126" s="67">
        <v>360</v>
      </c>
      <c r="I1126" s="68">
        <f>+L1126*4</f>
        <v>1440</v>
      </c>
      <c r="J1126" s="45" t="s">
        <v>47</v>
      </c>
      <c r="K1126" s="68" t="s">
        <v>33</v>
      </c>
      <c r="L1126" s="69">
        <v>360</v>
      </c>
      <c r="M1126" s="65">
        <f t="shared" si="114"/>
        <v>3.62871657288</v>
      </c>
      <c r="N1126" s="69" t="s">
        <v>34</v>
      </c>
      <c r="O1126" s="67"/>
      <c r="P1126" s="74"/>
      <c r="Q1126" s="71">
        <f>VLOOKUP($F1126,[4]装箱单!$A:$E,5,0)</f>
        <v>23.81</v>
      </c>
      <c r="R1126" s="71">
        <f>VLOOKUP($F1126,[4]装箱单!$A:$F,6,0)</f>
        <v>17.78</v>
      </c>
      <c r="S1126" s="71">
        <f>VLOOKUP($F1126,[4]装箱单!$A:$G,7,0)</f>
        <v>23.81</v>
      </c>
      <c r="T1126" s="72">
        <f>VLOOKUP($F1126,[4]装箱单!$A:$J,10,0)</f>
        <v>0.010079768258</v>
      </c>
      <c r="U1126" s="73">
        <f t="shared" si="115"/>
        <v>3.62871657288</v>
      </c>
      <c r="V1126" s="12"/>
    </row>
    <row r="1127" s="1" customFormat="1" ht="29.1" customHeight="1" spans="1:22">
      <c r="A1127" s="62">
        <v>46200</v>
      </c>
      <c r="B1127" s="63" t="s">
        <v>40</v>
      </c>
      <c r="C1127" s="64" t="s">
        <v>1501</v>
      </c>
      <c r="D1127" s="65" t="s">
        <v>1502</v>
      </c>
      <c r="E1127" s="66">
        <v>993550645</v>
      </c>
      <c r="F1127" s="68">
        <v>28481</v>
      </c>
      <c r="G1127" s="67" t="str">
        <f>VLOOKUP(F1127,[4]装箱单!$A:$C,3,0)</f>
        <v>骰子</v>
      </c>
      <c r="H1127" s="67">
        <v>360</v>
      </c>
      <c r="I1127" s="68">
        <f>+L1127*4</f>
        <v>1440</v>
      </c>
      <c r="J1127" s="45" t="s">
        <v>47</v>
      </c>
      <c r="K1127" s="68" t="s">
        <v>33</v>
      </c>
      <c r="L1127" s="69">
        <v>360</v>
      </c>
      <c r="M1127" s="65">
        <f t="shared" si="114"/>
        <v>3.62871657288</v>
      </c>
      <c r="N1127" s="69" t="s">
        <v>34</v>
      </c>
      <c r="O1127" s="67"/>
      <c r="P1127" s="74"/>
      <c r="Q1127" s="71">
        <f>VLOOKUP($F1127,[4]装箱单!$A:$E,5,0)</f>
        <v>23.81</v>
      </c>
      <c r="R1127" s="71">
        <f>VLOOKUP($F1127,[4]装箱单!$A:$F,6,0)</f>
        <v>17.78</v>
      </c>
      <c r="S1127" s="71">
        <f>VLOOKUP($F1127,[4]装箱单!$A:$G,7,0)</f>
        <v>23.81</v>
      </c>
      <c r="T1127" s="72">
        <f>VLOOKUP($F1127,[4]装箱单!$A:$J,10,0)</f>
        <v>0.010079768258</v>
      </c>
      <c r="U1127" s="73">
        <f t="shared" si="115"/>
        <v>3.62871657288</v>
      </c>
      <c r="V1127" s="12"/>
    </row>
    <row r="1128" s="1" customFormat="1" ht="29.1" customHeight="1" spans="1:22">
      <c r="A1128" s="62">
        <v>46200</v>
      </c>
      <c r="B1128" s="63" t="s">
        <v>40</v>
      </c>
      <c r="C1128" s="64" t="s">
        <v>1498</v>
      </c>
      <c r="D1128" s="65" t="s">
        <v>1503</v>
      </c>
      <c r="E1128" s="66">
        <v>993550642</v>
      </c>
      <c r="F1128" s="68">
        <v>28481</v>
      </c>
      <c r="G1128" s="67" t="str">
        <f>VLOOKUP(F1128,[4]装箱单!$A:$C,3,0)</f>
        <v>骰子</v>
      </c>
      <c r="H1128" s="67">
        <v>360</v>
      </c>
      <c r="I1128" s="68">
        <f>+L1128*4</f>
        <v>1440</v>
      </c>
      <c r="J1128" s="45" t="s">
        <v>47</v>
      </c>
      <c r="K1128" s="68" t="s">
        <v>33</v>
      </c>
      <c r="L1128" s="69">
        <v>360</v>
      </c>
      <c r="M1128" s="65">
        <f t="shared" si="114"/>
        <v>3.62871657288</v>
      </c>
      <c r="N1128" s="69" t="s">
        <v>34</v>
      </c>
      <c r="O1128" s="67"/>
      <c r="P1128" s="74"/>
      <c r="Q1128" s="71">
        <f>VLOOKUP($F1128,[4]装箱单!$A:$E,5,0)</f>
        <v>23.81</v>
      </c>
      <c r="R1128" s="71">
        <f>VLOOKUP($F1128,[4]装箱单!$A:$F,6,0)</f>
        <v>17.78</v>
      </c>
      <c r="S1128" s="71">
        <f>VLOOKUP($F1128,[4]装箱单!$A:$G,7,0)</f>
        <v>23.81</v>
      </c>
      <c r="T1128" s="72">
        <f>VLOOKUP($F1128,[4]装箱单!$A:$J,10,0)</f>
        <v>0.010079768258</v>
      </c>
      <c r="U1128" s="73">
        <f t="shared" si="115"/>
        <v>3.62871657288</v>
      </c>
      <c r="V1128" s="12"/>
    </row>
    <row r="1129" s="1" customFormat="1" ht="29.1" customHeight="1" spans="1:22">
      <c r="A1129" s="62">
        <v>46200</v>
      </c>
      <c r="B1129" s="88" t="s">
        <v>1504</v>
      </c>
      <c r="C1129" s="64" t="s">
        <v>1505</v>
      </c>
      <c r="D1129" s="65" t="s">
        <v>1506</v>
      </c>
      <c r="E1129" s="66" t="s">
        <v>1507</v>
      </c>
      <c r="F1129" s="66">
        <v>46092</v>
      </c>
      <c r="G1129" s="67" t="str">
        <f>VLOOKUP(F1129,[4]装箱单!$A:$C,3,0)</f>
        <v>玩具总动员系列</v>
      </c>
      <c r="H1129" s="67">
        <v>2850</v>
      </c>
      <c r="I1129" s="68">
        <v>5700</v>
      </c>
      <c r="J1129" s="45" t="s">
        <v>47</v>
      </c>
      <c r="K1129" s="68" t="s">
        <v>33</v>
      </c>
      <c r="L1129" s="69">
        <v>2850</v>
      </c>
      <c r="M1129" s="65">
        <f t="shared" si="114"/>
        <v>63.7422963912</v>
      </c>
      <c r="N1129" s="69" t="s">
        <v>34</v>
      </c>
      <c r="O1129" s="67"/>
      <c r="P1129" s="74"/>
      <c r="Q1129" s="71">
        <f>VLOOKUP($F1129,[4]装箱单!$A:$E,5,0)</f>
        <v>40.01</v>
      </c>
      <c r="R1129" s="71">
        <f>VLOOKUP($F1129,[4]装箱单!$A:$F,6,0)</f>
        <v>26.67</v>
      </c>
      <c r="S1129" s="71">
        <f>VLOOKUP($F1129,[4]装箱单!$A:$G,7,0)</f>
        <v>20.96</v>
      </c>
      <c r="T1129" s="72">
        <f>VLOOKUP($F1129,[4]装箱单!$A:$J,10,0)</f>
        <v>0.022365718032</v>
      </c>
      <c r="U1129" s="73">
        <f t="shared" si="115"/>
        <v>63.7422963912</v>
      </c>
      <c r="V1129" s="12"/>
    </row>
    <row r="1130" s="1" customFormat="1" ht="29.1" customHeight="1" spans="1:22">
      <c r="A1130" s="62">
        <v>46200</v>
      </c>
      <c r="B1130" s="63" t="s">
        <v>1283</v>
      </c>
      <c r="C1130" s="64" t="s">
        <v>1508</v>
      </c>
      <c r="D1130" s="65" t="s">
        <v>1509</v>
      </c>
      <c r="E1130" s="66">
        <v>137073</v>
      </c>
      <c r="F1130" s="67" t="s">
        <v>1449</v>
      </c>
      <c r="G1130" s="67" t="str">
        <f>VLOOKUP(F1130,[4]装箱单!$A:$C,3,0)</f>
        <v>鸭子</v>
      </c>
      <c r="H1130" s="67">
        <v>624</v>
      </c>
      <c r="I1130" s="68">
        <f>+L1130*48</f>
        <v>29952</v>
      </c>
      <c r="J1130" s="68" t="s">
        <v>32</v>
      </c>
      <c r="K1130" s="68" t="s">
        <v>33</v>
      </c>
      <c r="L1130" s="69">
        <v>624</v>
      </c>
      <c r="M1130" s="65">
        <f t="shared" si="114"/>
        <v>25.504859952</v>
      </c>
      <c r="N1130" s="69" t="s">
        <v>57</v>
      </c>
      <c r="O1130" s="67"/>
      <c r="P1130" s="74"/>
      <c r="Q1130" s="71">
        <f>VLOOKUP($F1130,[4]装箱单!$A:$E,5,0)</f>
        <v>37.15</v>
      </c>
      <c r="R1130" s="71">
        <f>VLOOKUP($F1130,[4]装箱单!$A:$F,6,0)</f>
        <v>33</v>
      </c>
      <c r="S1130" s="71">
        <f>VLOOKUP($F1130,[4]装箱单!$A:$G,7,0)</f>
        <v>33.34</v>
      </c>
      <c r="T1130" s="72">
        <f>VLOOKUP($F1130,[4]装箱单!$A:$J,10,0)</f>
        <v>0.040873173</v>
      </c>
      <c r="U1130" s="73">
        <f t="shared" si="115"/>
        <v>25.504859952</v>
      </c>
      <c r="V1130" s="12"/>
    </row>
    <row r="1131" s="1" customFormat="1" ht="29.1" customHeight="1" spans="1:22">
      <c r="A1131" s="62">
        <v>46200</v>
      </c>
      <c r="B1131" s="63" t="s">
        <v>1283</v>
      </c>
      <c r="C1131" s="64" t="s">
        <v>1510</v>
      </c>
      <c r="D1131" s="65" t="s">
        <v>1511</v>
      </c>
      <c r="E1131" s="66">
        <v>137069</v>
      </c>
      <c r="F1131" s="67" t="s">
        <v>1449</v>
      </c>
      <c r="G1131" s="67" t="str">
        <f>VLOOKUP(F1131,[4]装箱单!$A:$C,3,0)</f>
        <v>鸭子</v>
      </c>
      <c r="H1131" s="67">
        <v>576</v>
      </c>
      <c r="I1131" s="68">
        <f>+L1131*48</f>
        <v>27648</v>
      </c>
      <c r="J1131" s="68" t="s">
        <v>32</v>
      </c>
      <c r="K1131" s="68" t="s">
        <v>33</v>
      </c>
      <c r="L1131" s="69">
        <v>576</v>
      </c>
      <c r="M1131" s="65">
        <f t="shared" si="114"/>
        <v>23.542947648</v>
      </c>
      <c r="N1131" s="69" t="s">
        <v>57</v>
      </c>
      <c r="O1131" s="67"/>
      <c r="P1131" s="74"/>
      <c r="Q1131" s="71">
        <f>VLOOKUP($F1131,[4]装箱单!$A:$E,5,0)</f>
        <v>37.15</v>
      </c>
      <c r="R1131" s="71">
        <f>VLOOKUP($F1131,[4]装箱单!$A:$F,6,0)</f>
        <v>33</v>
      </c>
      <c r="S1131" s="71">
        <f>VLOOKUP($F1131,[4]装箱单!$A:$G,7,0)</f>
        <v>33.34</v>
      </c>
      <c r="T1131" s="72">
        <f>VLOOKUP($F1131,[4]装箱单!$A:$J,10,0)</f>
        <v>0.040873173</v>
      </c>
      <c r="U1131" s="73">
        <f t="shared" si="115"/>
        <v>23.542947648</v>
      </c>
      <c r="V1131" s="12"/>
    </row>
    <row r="1132" s="1" customFormat="1" ht="29.1" customHeight="1" spans="1:22">
      <c r="A1132" s="62">
        <v>46200</v>
      </c>
      <c r="B1132" s="63" t="s">
        <v>1283</v>
      </c>
      <c r="C1132" s="64" t="s">
        <v>1508</v>
      </c>
      <c r="D1132" s="65" t="s">
        <v>1509</v>
      </c>
      <c r="E1132" s="67" t="s">
        <v>1512</v>
      </c>
      <c r="F1132" s="67" t="s">
        <v>51</v>
      </c>
      <c r="G1132" s="67" t="str">
        <f>VLOOKUP(F1132,[4]装箱单!$A:$C,3,0)</f>
        <v>鸭子</v>
      </c>
      <c r="H1132" s="67">
        <v>312</v>
      </c>
      <c r="I1132" s="68">
        <f>+L1132*48</f>
        <v>4656</v>
      </c>
      <c r="J1132" s="68" t="s">
        <v>32</v>
      </c>
      <c r="K1132" s="68" t="s">
        <v>33</v>
      </c>
      <c r="L1132" s="69">
        <v>97</v>
      </c>
      <c r="M1132" s="65">
        <f t="shared" si="114"/>
        <v>3.964697781</v>
      </c>
      <c r="N1132" s="69" t="s">
        <v>34</v>
      </c>
      <c r="O1132" s="67"/>
      <c r="P1132" s="74"/>
      <c r="Q1132" s="71">
        <f>VLOOKUP($F1132,[4]装箱单!$A:$E,5,0)</f>
        <v>37.15</v>
      </c>
      <c r="R1132" s="71">
        <f>VLOOKUP($F1132,[4]装箱单!$A:$F,6,0)</f>
        <v>33</v>
      </c>
      <c r="S1132" s="71">
        <f>VLOOKUP($F1132,[4]装箱单!$A:$G,7,0)</f>
        <v>33.34</v>
      </c>
      <c r="T1132" s="72">
        <f>VLOOKUP($F1132,[4]装箱单!$A:$J,10,0)</f>
        <v>0.040873173</v>
      </c>
      <c r="U1132" s="73">
        <f t="shared" si="115"/>
        <v>3.964697781</v>
      </c>
      <c r="V1132" s="12"/>
    </row>
    <row r="1133" s="1" customFormat="1" ht="29.1" customHeight="1" spans="1:22">
      <c r="A1133" s="62"/>
      <c r="B1133" s="63"/>
      <c r="C1133" s="64"/>
      <c r="D1133" s="65"/>
      <c r="E1133" s="67"/>
      <c r="F1133" s="67"/>
      <c r="G1133" s="67"/>
      <c r="H1133" s="67"/>
      <c r="I1133" s="68"/>
      <c r="J1133" s="68"/>
      <c r="K1133" s="68"/>
      <c r="L1133" s="69"/>
      <c r="M1133" s="65">
        <f>SUM(M1125:M1132)</f>
        <v>130.06009587276</v>
      </c>
      <c r="N1133" s="69"/>
      <c r="O1133" s="67"/>
      <c r="P1133" s="75"/>
      <c r="Q1133" s="71"/>
      <c r="R1133" s="71"/>
      <c r="S1133" s="71"/>
      <c r="T1133" s="72"/>
      <c r="U1133" s="73"/>
      <c r="V1133" s="12"/>
    </row>
    <row r="1134" s="1" customFormat="1" ht="29.1" customHeight="1" spans="1:22">
      <c r="A1134" s="62">
        <v>46200</v>
      </c>
      <c r="B1134" s="63" t="s">
        <v>922</v>
      </c>
      <c r="C1134" s="64" t="s">
        <v>1513</v>
      </c>
      <c r="D1134" s="65" t="s">
        <v>1514</v>
      </c>
      <c r="E1134" s="67" t="s">
        <v>1515</v>
      </c>
      <c r="F1134" s="67">
        <v>33476</v>
      </c>
      <c r="G1134" s="67" t="str">
        <f>VLOOKUP(F1134,[4]装箱单!$A:$C,3,0)</f>
        <v>搪小鸭天使</v>
      </c>
      <c r="H1134" s="89">
        <v>52</v>
      </c>
      <c r="I1134" s="68">
        <v>800</v>
      </c>
      <c r="J1134" s="68" t="s">
        <v>32</v>
      </c>
      <c r="K1134" s="68" t="s">
        <v>33</v>
      </c>
      <c r="L1134" s="90">
        <v>52</v>
      </c>
      <c r="M1134" s="65"/>
      <c r="N1134" s="69"/>
      <c r="O1134" s="67"/>
      <c r="P1134" s="74" t="s">
        <v>1105</v>
      </c>
      <c r="Q1134" s="71"/>
      <c r="R1134" s="71"/>
      <c r="S1134" s="71"/>
      <c r="T1134" s="72"/>
      <c r="U1134" s="73"/>
      <c r="V1134" s="12"/>
    </row>
    <row r="1135" s="1" customFormat="1" ht="29.1" customHeight="1" spans="1:22">
      <c r="A1135" s="62">
        <v>46200</v>
      </c>
      <c r="B1135" s="63" t="s">
        <v>922</v>
      </c>
      <c r="C1135" s="64" t="s">
        <v>1516</v>
      </c>
      <c r="D1135" s="65" t="s">
        <v>1517</v>
      </c>
      <c r="E1135" s="67" t="s">
        <v>1518</v>
      </c>
      <c r="F1135" s="67">
        <v>33476</v>
      </c>
      <c r="G1135" s="67" t="str">
        <f>VLOOKUP(F1135,[4]装箱单!$A:$C,3,0)</f>
        <v>搪小鸭天使</v>
      </c>
      <c r="H1135" s="91"/>
      <c r="I1135" s="68">
        <v>300</v>
      </c>
      <c r="J1135" s="68" t="s">
        <v>32</v>
      </c>
      <c r="K1135" s="68" t="s">
        <v>33</v>
      </c>
      <c r="L1135" s="92"/>
      <c r="M1135" s="65"/>
      <c r="N1135" s="69"/>
      <c r="O1135" s="67"/>
      <c r="P1135" s="74"/>
      <c r="Q1135" s="71"/>
      <c r="R1135" s="71"/>
      <c r="S1135" s="71"/>
      <c r="T1135" s="72"/>
      <c r="U1135" s="73"/>
      <c r="V1135" s="12"/>
    </row>
    <row r="1136" s="1" customFormat="1" ht="29.1" customHeight="1" spans="1:22">
      <c r="A1136" s="62">
        <v>46200</v>
      </c>
      <c r="B1136" s="63" t="s">
        <v>922</v>
      </c>
      <c r="C1136" s="64" t="s">
        <v>1519</v>
      </c>
      <c r="D1136" s="65" t="s">
        <v>1520</v>
      </c>
      <c r="E1136" s="67" t="s">
        <v>1521</v>
      </c>
      <c r="F1136" s="67">
        <v>33476</v>
      </c>
      <c r="G1136" s="67" t="str">
        <f>VLOOKUP(F1136,[4]装箱单!$A:$C,3,0)</f>
        <v>搪小鸭天使</v>
      </c>
      <c r="H1136" s="91"/>
      <c r="I1136" s="68">
        <v>300</v>
      </c>
      <c r="J1136" s="68" t="s">
        <v>32</v>
      </c>
      <c r="K1136" s="68" t="s">
        <v>33</v>
      </c>
      <c r="L1136" s="92"/>
      <c r="M1136" s="65"/>
      <c r="N1136" s="69"/>
      <c r="O1136" s="67"/>
      <c r="P1136" s="74"/>
      <c r="Q1136" s="71"/>
      <c r="R1136" s="71"/>
      <c r="S1136" s="71"/>
      <c r="T1136" s="72"/>
      <c r="U1136" s="73"/>
      <c r="V1136" s="12"/>
    </row>
    <row r="1137" s="1" customFormat="1" ht="29.1" customHeight="1" spans="1:22">
      <c r="A1137" s="62">
        <v>46200</v>
      </c>
      <c r="B1137" s="63" t="s">
        <v>922</v>
      </c>
      <c r="C1137" s="64" t="s">
        <v>1522</v>
      </c>
      <c r="D1137" s="65" t="s">
        <v>1523</v>
      </c>
      <c r="E1137" s="67" t="s">
        <v>1524</v>
      </c>
      <c r="F1137" s="67">
        <v>33476</v>
      </c>
      <c r="G1137" s="67" t="str">
        <f>VLOOKUP(F1137,[4]装箱单!$A:$C,3,0)</f>
        <v>搪小鸭天使</v>
      </c>
      <c r="H1137" s="91"/>
      <c r="I1137" s="68">
        <v>300</v>
      </c>
      <c r="J1137" s="68" t="s">
        <v>32</v>
      </c>
      <c r="K1137" s="68" t="s">
        <v>33</v>
      </c>
      <c r="L1137" s="92"/>
      <c r="M1137" s="65"/>
      <c r="N1137" s="69"/>
      <c r="O1137" s="67"/>
      <c r="P1137" s="74"/>
      <c r="Q1137" s="71"/>
      <c r="R1137" s="71"/>
      <c r="S1137" s="71"/>
      <c r="T1137" s="72"/>
      <c r="U1137" s="73"/>
      <c r="V1137" s="12"/>
    </row>
    <row r="1138" s="1" customFormat="1" ht="29.1" customHeight="1" spans="1:22">
      <c r="A1138" s="62">
        <v>46200</v>
      </c>
      <c r="B1138" s="63" t="s">
        <v>922</v>
      </c>
      <c r="C1138" s="64" t="s">
        <v>1525</v>
      </c>
      <c r="D1138" s="65" t="s">
        <v>1526</v>
      </c>
      <c r="E1138" s="67" t="s">
        <v>1527</v>
      </c>
      <c r="F1138" s="67">
        <v>33476</v>
      </c>
      <c r="G1138" s="67" t="str">
        <f>VLOOKUP(F1138,[4]装箱单!$A:$C,3,0)</f>
        <v>搪小鸭天使</v>
      </c>
      <c r="H1138" s="91"/>
      <c r="I1138" s="68">
        <v>200</v>
      </c>
      <c r="J1138" s="68" t="s">
        <v>32</v>
      </c>
      <c r="K1138" s="68" t="s">
        <v>33</v>
      </c>
      <c r="L1138" s="92"/>
      <c r="M1138" s="65"/>
      <c r="N1138" s="69"/>
      <c r="O1138" s="67"/>
      <c r="P1138" s="74"/>
      <c r="Q1138" s="71"/>
      <c r="R1138" s="71"/>
      <c r="S1138" s="71"/>
      <c r="T1138" s="72"/>
      <c r="U1138" s="73"/>
      <c r="V1138" s="12"/>
    </row>
    <row r="1139" s="1" customFormat="1" ht="29.1" customHeight="1" spans="1:22">
      <c r="A1139" s="62">
        <v>46200</v>
      </c>
      <c r="B1139" s="63" t="s">
        <v>922</v>
      </c>
      <c r="C1139" s="64" t="s">
        <v>1528</v>
      </c>
      <c r="D1139" s="65" t="s">
        <v>1529</v>
      </c>
      <c r="E1139" s="67" t="s">
        <v>1530</v>
      </c>
      <c r="F1139" s="67">
        <v>33476</v>
      </c>
      <c r="G1139" s="67" t="str">
        <f>VLOOKUP(F1139,[4]装箱单!$A:$C,3,0)</f>
        <v>搪小鸭天使</v>
      </c>
      <c r="H1139" s="91"/>
      <c r="I1139" s="68">
        <v>300</v>
      </c>
      <c r="J1139" s="68" t="s">
        <v>32</v>
      </c>
      <c r="K1139" s="68" t="s">
        <v>33</v>
      </c>
      <c r="L1139" s="92"/>
      <c r="M1139" s="65"/>
      <c r="N1139" s="69"/>
      <c r="O1139" s="67"/>
      <c r="P1139" s="74"/>
      <c r="Q1139" s="71"/>
      <c r="R1139" s="71"/>
      <c r="S1139" s="71"/>
      <c r="T1139" s="72"/>
      <c r="U1139" s="73"/>
      <c r="V1139" s="12"/>
    </row>
    <row r="1140" s="1" customFormat="1" ht="29.1" customHeight="1" spans="1:22">
      <c r="A1140" s="62">
        <v>46200</v>
      </c>
      <c r="B1140" s="63" t="s">
        <v>922</v>
      </c>
      <c r="C1140" s="64" t="s">
        <v>1531</v>
      </c>
      <c r="D1140" s="65" t="s">
        <v>1532</v>
      </c>
      <c r="E1140" s="67" t="s">
        <v>1533</v>
      </c>
      <c r="F1140" s="67">
        <v>33476</v>
      </c>
      <c r="G1140" s="67" t="str">
        <f>VLOOKUP(F1140,[4]装箱单!$A:$C,3,0)</f>
        <v>搪小鸭天使</v>
      </c>
      <c r="H1140" s="91"/>
      <c r="I1140" s="68">
        <v>400</v>
      </c>
      <c r="J1140" s="68" t="s">
        <v>32</v>
      </c>
      <c r="K1140" s="68" t="s">
        <v>33</v>
      </c>
      <c r="L1140" s="92"/>
      <c r="M1140" s="65"/>
      <c r="N1140" s="69"/>
      <c r="O1140" s="67"/>
      <c r="P1140" s="74"/>
      <c r="Q1140" s="71"/>
      <c r="R1140" s="71"/>
      <c r="S1140" s="71"/>
      <c r="T1140" s="72"/>
      <c r="U1140" s="73"/>
      <c r="V1140" s="12"/>
    </row>
    <row r="1141" s="1" customFormat="1" ht="29.1" customHeight="1" spans="1:22">
      <c r="A1141" s="62">
        <v>46200</v>
      </c>
      <c r="B1141" s="63" t="s">
        <v>922</v>
      </c>
      <c r="C1141" s="64" t="s">
        <v>1534</v>
      </c>
      <c r="D1141" s="65" t="s">
        <v>1535</v>
      </c>
      <c r="E1141" s="67" t="s">
        <v>1536</v>
      </c>
      <c r="F1141" s="67">
        <v>33476</v>
      </c>
      <c r="G1141" s="67" t="str">
        <f>VLOOKUP(F1141,[4]装箱单!$A:$C,3,0)</f>
        <v>搪小鸭天使</v>
      </c>
      <c r="H1141" s="91"/>
      <c r="I1141" s="68">
        <v>400</v>
      </c>
      <c r="J1141" s="68" t="s">
        <v>32</v>
      </c>
      <c r="K1141" s="68" t="s">
        <v>33</v>
      </c>
      <c r="L1141" s="92"/>
      <c r="M1141" s="65"/>
      <c r="N1141" s="69"/>
      <c r="O1141" s="67"/>
      <c r="P1141" s="74"/>
      <c r="Q1141" s="71"/>
      <c r="R1141" s="71"/>
      <c r="S1141" s="71"/>
      <c r="T1141" s="72"/>
      <c r="U1141" s="73"/>
      <c r="V1141" s="12"/>
    </row>
    <row r="1142" s="1" customFormat="1" ht="29.1" customHeight="1" spans="1:22">
      <c r="A1142" s="62">
        <v>46200</v>
      </c>
      <c r="B1142" s="63" t="s">
        <v>922</v>
      </c>
      <c r="C1142" s="64" t="s">
        <v>1537</v>
      </c>
      <c r="D1142" s="65" t="s">
        <v>1538</v>
      </c>
      <c r="E1142" s="67" t="s">
        <v>1539</v>
      </c>
      <c r="F1142" s="67">
        <v>33476</v>
      </c>
      <c r="G1142" s="67" t="str">
        <f>VLOOKUP(F1142,[4]装箱单!$A:$C,3,0)</f>
        <v>搪小鸭天使</v>
      </c>
      <c r="H1142" s="87"/>
      <c r="I1142" s="68">
        <v>1124</v>
      </c>
      <c r="J1142" s="68" t="s">
        <v>32</v>
      </c>
      <c r="K1142" s="68" t="s">
        <v>33</v>
      </c>
      <c r="L1142" s="93"/>
      <c r="M1142" s="65"/>
      <c r="N1142" s="69"/>
      <c r="O1142" s="67"/>
      <c r="P1142" s="74"/>
      <c r="Q1142" s="71"/>
      <c r="R1142" s="71"/>
      <c r="S1142" s="71"/>
      <c r="T1142" s="72"/>
      <c r="U1142" s="73"/>
      <c r="V1142" s="12"/>
    </row>
    <row r="1143" s="1" customFormat="1" ht="29.1" customHeight="1" spans="1:22">
      <c r="A1143" s="62">
        <v>46200</v>
      </c>
      <c r="B1143" s="63" t="s">
        <v>922</v>
      </c>
      <c r="C1143" s="64" t="s">
        <v>1540</v>
      </c>
      <c r="D1143" s="65" t="s">
        <v>1541</v>
      </c>
      <c r="E1143" s="67">
        <v>0</v>
      </c>
      <c r="F1143" s="67">
        <v>33477</v>
      </c>
      <c r="G1143" s="67" t="str">
        <f>VLOOKUP(F1143,[4]装箱单!$A:$C,3,0)</f>
        <v>搪小鸭外星史迪仔</v>
      </c>
      <c r="H1143" s="89">
        <v>176</v>
      </c>
      <c r="I1143" s="68">
        <v>600</v>
      </c>
      <c r="J1143" s="68" t="s">
        <v>32</v>
      </c>
      <c r="K1143" s="68" t="s">
        <v>33</v>
      </c>
      <c r="L1143" s="90">
        <v>176</v>
      </c>
      <c r="M1143" s="65"/>
      <c r="N1143" s="69"/>
      <c r="O1143" s="67"/>
      <c r="P1143" s="74"/>
      <c r="Q1143" s="71"/>
      <c r="R1143" s="71"/>
      <c r="S1143" s="71"/>
      <c r="T1143" s="72"/>
      <c r="U1143" s="73"/>
      <c r="V1143" s="12"/>
    </row>
    <row r="1144" s="1" customFormat="1" ht="29.1" customHeight="1" spans="1:22">
      <c r="A1144" s="62">
        <v>46200</v>
      </c>
      <c r="B1144" s="63" t="s">
        <v>922</v>
      </c>
      <c r="C1144" s="64" t="s">
        <v>1542</v>
      </c>
      <c r="D1144" s="65" t="s">
        <v>1543</v>
      </c>
      <c r="E1144" s="67" t="s">
        <v>1544</v>
      </c>
      <c r="F1144" s="67">
        <v>33477</v>
      </c>
      <c r="G1144" s="67" t="str">
        <f>VLOOKUP(F1144,[4]装箱单!$A:$C,3,0)</f>
        <v>搪小鸭外星史迪仔</v>
      </c>
      <c r="H1144" s="91"/>
      <c r="I1144" s="68">
        <v>960</v>
      </c>
      <c r="J1144" s="68" t="s">
        <v>32</v>
      </c>
      <c r="K1144" s="68" t="s">
        <v>33</v>
      </c>
      <c r="L1144" s="92"/>
      <c r="M1144" s="65"/>
      <c r="N1144" s="69"/>
      <c r="O1144" s="67"/>
      <c r="P1144" s="74"/>
      <c r="Q1144" s="71"/>
      <c r="R1144" s="71"/>
      <c r="S1144" s="71"/>
      <c r="T1144" s="72"/>
      <c r="U1144" s="73"/>
      <c r="V1144" s="12"/>
    </row>
    <row r="1145" s="1" customFormat="1" ht="29.1" customHeight="1" spans="1:22">
      <c r="A1145" s="62">
        <v>46200</v>
      </c>
      <c r="B1145" s="63" t="s">
        <v>922</v>
      </c>
      <c r="C1145" s="64" t="s">
        <v>1545</v>
      </c>
      <c r="D1145" s="65" t="s">
        <v>1546</v>
      </c>
      <c r="E1145" s="67" t="s">
        <v>1547</v>
      </c>
      <c r="F1145" s="67">
        <v>33477</v>
      </c>
      <c r="G1145" s="67" t="str">
        <f>VLOOKUP(F1145,[4]装箱单!$A:$C,3,0)</f>
        <v>搪小鸭外星史迪仔</v>
      </c>
      <c r="H1145" s="91"/>
      <c r="I1145" s="68">
        <v>456</v>
      </c>
      <c r="J1145" s="68" t="s">
        <v>32</v>
      </c>
      <c r="K1145" s="68" t="s">
        <v>33</v>
      </c>
      <c r="L1145" s="92"/>
      <c r="M1145" s="65"/>
      <c r="N1145" s="69"/>
      <c r="O1145" s="67"/>
      <c r="P1145" s="74"/>
      <c r="Q1145" s="71"/>
      <c r="R1145" s="71"/>
      <c r="S1145" s="71"/>
      <c r="T1145" s="72"/>
      <c r="U1145" s="73"/>
      <c r="V1145" s="12"/>
    </row>
    <row r="1146" s="1" customFormat="1" ht="29.1" customHeight="1" spans="1:22">
      <c r="A1146" s="62">
        <v>46200</v>
      </c>
      <c r="B1146" s="63" t="s">
        <v>922</v>
      </c>
      <c r="C1146" s="64" t="s">
        <v>1548</v>
      </c>
      <c r="D1146" s="65" t="s">
        <v>1549</v>
      </c>
      <c r="E1146" s="67" t="s">
        <v>1550</v>
      </c>
      <c r="F1146" s="67">
        <v>33477</v>
      </c>
      <c r="G1146" s="67" t="str">
        <f>VLOOKUP(F1146,[4]装箱单!$A:$C,3,0)</f>
        <v>搪小鸭外星史迪仔</v>
      </c>
      <c r="H1146" s="91"/>
      <c r="I1146" s="68">
        <v>148</v>
      </c>
      <c r="J1146" s="68" t="s">
        <v>32</v>
      </c>
      <c r="K1146" s="68" t="s">
        <v>33</v>
      </c>
      <c r="L1146" s="92"/>
      <c r="M1146" s="65"/>
      <c r="N1146" s="69"/>
      <c r="O1146" s="67"/>
      <c r="P1146" s="74"/>
      <c r="Q1146" s="71"/>
      <c r="R1146" s="71"/>
      <c r="S1146" s="71"/>
      <c r="T1146" s="72"/>
      <c r="U1146" s="73"/>
      <c r="V1146" s="12"/>
    </row>
    <row r="1147" s="1" customFormat="1" ht="29.1" customHeight="1" spans="1:22">
      <c r="A1147" s="62">
        <v>46200</v>
      </c>
      <c r="B1147" s="63" t="s">
        <v>922</v>
      </c>
      <c r="C1147" s="64" t="s">
        <v>1516</v>
      </c>
      <c r="D1147" s="65" t="s">
        <v>1517</v>
      </c>
      <c r="E1147" s="67" t="s">
        <v>1518</v>
      </c>
      <c r="F1147" s="67">
        <v>33477</v>
      </c>
      <c r="G1147" s="67" t="str">
        <f>VLOOKUP(F1147,[4]装箱单!$A:$C,3,0)</f>
        <v>搪小鸭外星史迪仔</v>
      </c>
      <c r="H1147" s="91"/>
      <c r="I1147" s="68">
        <v>550</v>
      </c>
      <c r="J1147" s="68" t="s">
        <v>32</v>
      </c>
      <c r="K1147" s="68" t="s">
        <v>33</v>
      </c>
      <c r="L1147" s="92"/>
      <c r="M1147" s="65"/>
      <c r="N1147" s="69"/>
      <c r="O1147" s="67"/>
      <c r="P1147" s="74"/>
      <c r="Q1147" s="71"/>
      <c r="R1147" s="71"/>
      <c r="S1147" s="71"/>
      <c r="T1147" s="72"/>
      <c r="U1147" s="73"/>
      <c r="V1147" s="12"/>
    </row>
    <row r="1148" s="1" customFormat="1" ht="29.1" customHeight="1" spans="1:22">
      <c r="A1148" s="62">
        <v>46200</v>
      </c>
      <c r="B1148" s="63" t="s">
        <v>922</v>
      </c>
      <c r="C1148" s="64" t="s">
        <v>1519</v>
      </c>
      <c r="D1148" s="65" t="s">
        <v>1520</v>
      </c>
      <c r="E1148" s="67" t="s">
        <v>1521</v>
      </c>
      <c r="F1148" s="67">
        <v>33477</v>
      </c>
      <c r="G1148" s="67" t="str">
        <f>VLOOKUP(F1148,[4]装箱单!$A:$C,3,0)</f>
        <v>搪小鸭外星史迪仔</v>
      </c>
      <c r="H1148" s="91"/>
      <c r="I1148" s="68">
        <v>440</v>
      </c>
      <c r="J1148" s="68" t="s">
        <v>32</v>
      </c>
      <c r="K1148" s="68" t="s">
        <v>33</v>
      </c>
      <c r="L1148" s="92"/>
      <c r="M1148" s="65"/>
      <c r="N1148" s="69"/>
      <c r="O1148" s="67"/>
      <c r="P1148" s="74"/>
      <c r="Q1148" s="71"/>
      <c r="R1148" s="71"/>
      <c r="S1148" s="71"/>
      <c r="T1148" s="72"/>
      <c r="U1148" s="73"/>
      <c r="V1148" s="12"/>
    </row>
    <row r="1149" s="1" customFormat="1" ht="29.1" customHeight="1" spans="1:22">
      <c r="A1149" s="62">
        <v>46200</v>
      </c>
      <c r="B1149" s="63" t="s">
        <v>922</v>
      </c>
      <c r="C1149" s="64" t="s">
        <v>1522</v>
      </c>
      <c r="D1149" s="65" t="s">
        <v>1523</v>
      </c>
      <c r="E1149" s="67" t="s">
        <v>1524</v>
      </c>
      <c r="F1149" s="67">
        <v>33477</v>
      </c>
      <c r="G1149" s="67" t="str">
        <f>VLOOKUP(F1149,[4]装箱单!$A:$C,3,0)</f>
        <v>搪小鸭外星史迪仔</v>
      </c>
      <c r="H1149" s="91"/>
      <c r="I1149" s="68">
        <v>550</v>
      </c>
      <c r="J1149" s="68" t="s">
        <v>32</v>
      </c>
      <c r="K1149" s="68" t="s">
        <v>33</v>
      </c>
      <c r="L1149" s="92"/>
      <c r="M1149" s="65"/>
      <c r="N1149" s="69"/>
      <c r="O1149" s="67"/>
      <c r="P1149" s="74"/>
      <c r="Q1149" s="71"/>
      <c r="R1149" s="71"/>
      <c r="S1149" s="71"/>
      <c r="T1149" s="72"/>
      <c r="U1149" s="73"/>
      <c r="V1149" s="12"/>
    </row>
    <row r="1150" s="1" customFormat="1" ht="29.1" customHeight="1" spans="1:22">
      <c r="A1150" s="62">
        <v>46200</v>
      </c>
      <c r="B1150" s="63" t="s">
        <v>922</v>
      </c>
      <c r="C1150" s="64" t="s">
        <v>1525</v>
      </c>
      <c r="D1150" s="65" t="s">
        <v>1526</v>
      </c>
      <c r="E1150" s="67" t="s">
        <v>1527</v>
      </c>
      <c r="F1150" s="67">
        <v>33477</v>
      </c>
      <c r="G1150" s="67" t="str">
        <f>VLOOKUP(F1150,[4]装箱单!$A:$C,3,0)</f>
        <v>搪小鸭外星史迪仔</v>
      </c>
      <c r="H1150" s="91"/>
      <c r="I1150" s="68">
        <v>440</v>
      </c>
      <c r="J1150" s="68" t="s">
        <v>32</v>
      </c>
      <c r="K1150" s="68" t="s">
        <v>33</v>
      </c>
      <c r="L1150" s="92"/>
      <c r="M1150" s="65"/>
      <c r="N1150" s="69"/>
      <c r="O1150" s="67"/>
      <c r="P1150" s="74"/>
      <c r="Q1150" s="71"/>
      <c r="R1150" s="71"/>
      <c r="S1150" s="71"/>
      <c r="T1150" s="72"/>
      <c r="U1150" s="73"/>
      <c r="V1150" s="12"/>
    </row>
    <row r="1151" s="1" customFormat="1" ht="29.1" customHeight="1" spans="1:22">
      <c r="A1151" s="62">
        <v>46200</v>
      </c>
      <c r="B1151" s="63" t="s">
        <v>922</v>
      </c>
      <c r="C1151" s="64" t="s">
        <v>1528</v>
      </c>
      <c r="D1151" s="65" t="s">
        <v>1529</v>
      </c>
      <c r="E1151" s="67" t="s">
        <v>1530</v>
      </c>
      <c r="F1151" s="67">
        <v>33477</v>
      </c>
      <c r="G1151" s="67" t="str">
        <f>VLOOKUP(F1151,[4]装箱单!$A:$C,3,0)</f>
        <v>搪小鸭外星史迪仔</v>
      </c>
      <c r="H1151" s="91"/>
      <c r="I1151" s="68">
        <v>440</v>
      </c>
      <c r="J1151" s="68" t="s">
        <v>32</v>
      </c>
      <c r="K1151" s="68" t="s">
        <v>33</v>
      </c>
      <c r="L1151" s="92"/>
      <c r="M1151" s="65"/>
      <c r="N1151" s="69"/>
      <c r="O1151" s="67"/>
      <c r="P1151" s="74"/>
      <c r="Q1151" s="71"/>
      <c r="R1151" s="71"/>
      <c r="S1151" s="71"/>
      <c r="T1151" s="72"/>
      <c r="U1151" s="73"/>
      <c r="V1151" s="12"/>
    </row>
    <row r="1152" s="1" customFormat="1" ht="29.1" customHeight="1" spans="1:22">
      <c r="A1152" s="62">
        <v>46200</v>
      </c>
      <c r="B1152" s="63" t="s">
        <v>922</v>
      </c>
      <c r="C1152" s="64" t="s">
        <v>1531</v>
      </c>
      <c r="D1152" s="65" t="s">
        <v>1532</v>
      </c>
      <c r="E1152" s="67" t="s">
        <v>1533</v>
      </c>
      <c r="F1152" s="67">
        <v>33477</v>
      </c>
      <c r="G1152" s="67" t="str">
        <f>VLOOKUP(F1152,[4]装箱单!$A:$C,3,0)</f>
        <v>搪小鸭外星史迪仔</v>
      </c>
      <c r="H1152" s="91"/>
      <c r="I1152" s="68">
        <v>660</v>
      </c>
      <c r="J1152" s="68" t="s">
        <v>32</v>
      </c>
      <c r="K1152" s="68" t="s">
        <v>33</v>
      </c>
      <c r="L1152" s="92"/>
      <c r="M1152" s="65"/>
      <c r="N1152" s="69"/>
      <c r="O1152" s="67"/>
      <c r="P1152" s="74"/>
      <c r="Q1152" s="71"/>
      <c r="R1152" s="71"/>
      <c r="S1152" s="71"/>
      <c r="T1152" s="72"/>
      <c r="U1152" s="73"/>
      <c r="V1152" s="12"/>
    </row>
    <row r="1153" s="1" customFormat="1" ht="29.1" customHeight="1" spans="1:22">
      <c r="A1153" s="62">
        <v>46200</v>
      </c>
      <c r="B1153" s="63" t="s">
        <v>922</v>
      </c>
      <c r="C1153" s="64" t="s">
        <v>1534</v>
      </c>
      <c r="D1153" s="65" t="s">
        <v>1535</v>
      </c>
      <c r="E1153" s="67" t="s">
        <v>1536</v>
      </c>
      <c r="F1153" s="67">
        <v>33477</v>
      </c>
      <c r="G1153" s="67" t="str">
        <f>VLOOKUP(F1153,[4]装箱单!$A:$C,3,0)</f>
        <v>搪小鸭外星史迪仔</v>
      </c>
      <c r="H1153" s="91"/>
      <c r="I1153" s="68">
        <v>660</v>
      </c>
      <c r="J1153" s="68" t="s">
        <v>32</v>
      </c>
      <c r="K1153" s="68" t="s">
        <v>33</v>
      </c>
      <c r="L1153" s="92"/>
      <c r="M1153" s="65"/>
      <c r="N1153" s="69"/>
      <c r="O1153" s="67"/>
      <c r="P1153" s="74"/>
      <c r="Q1153" s="71"/>
      <c r="R1153" s="71"/>
      <c r="S1153" s="71"/>
      <c r="T1153" s="72"/>
      <c r="U1153" s="73"/>
      <c r="V1153" s="12"/>
    </row>
    <row r="1154" s="1" customFormat="1" ht="29.1" customHeight="1" spans="1:22">
      <c r="A1154" s="62">
        <v>46200</v>
      </c>
      <c r="B1154" s="63" t="s">
        <v>922</v>
      </c>
      <c r="C1154" s="64" t="s">
        <v>1551</v>
      </c>
      <c r="D1154" s="65" t="s">
        <v>1552</v>
      </c>
      <c r="E1154" s="67" t="s">
        <v>1553</v>
      </c>
      <c r="F1154" s="67">
        <v>33477</v>
      </c>
      <c r="G1154" s="67" t="str">
        <f>VLOOKUP(F1154,[4]装箱单!$A:$C,3,0)</f>
        <v>搪小鸭外星史迪仔</v>
      </c>
      <c r="H1154" s="91"/>
      <c r="I1154" s="68">
        <v>1208</v>
      </c>
      <c r="J1154" s="68" t="s">
        <v>32</v>
      </c>
      <c r="K1154" s="68" t="s">
        <v>33</v>
      </c>
      <c r="L1154" s="92"/>
      <c r="M1154" s="65"/>
      <c r="N1154" s="69"/>
      <c r="O1154" s="67"/>
      <c r="P1154" s="74"/>
      <c r="Q1154" s="71"/>
      <c r="R1154" s="71"/>
      <c r="S1154" s="71"/>
      <c r="T1154" s="72"/>
      <c r="U1154" s="73"/>
      <c r="V1154" s="12"/>
    </row>
    <row r="1155" s="1" customFormat="1" ht="29.1" customHeight="1" spans="1:22">
      <c r="A1155" s="62">
        <v>46200</v>
      </c>
      <c r="B1155" s="63" t="s">
        <v>922</v>
      </c>
      <c r="C1155" s="64" t="s">
        <v>1554</v>
      </c>
      <c r="D1155" s="65" t="s">
        <v>1555</v>
      </c>
      <c r="E1155" s="67" t="s">
        <v>1556</v>
      </c>
      <c r="F1155" s="67">
        <v>33477</v>
      </c>
      <c r="G1155" s="67" t="str">
        <f>VLOOKUP(F1155,[4]装箱单!$A:$C,3,0)</f>
        <v>搪小鸭外星史迪仔</v>
      </c>
      <c r="H1155" s="91"/>
      <c r="I1155" s="68">
        <v>596</v>
      </c>
      <c r="J1155" s="68" t="s">
        <v>32</v>
      </c>
      <c r="K1155" s="68" t="s">
        <v>33</v>
      </c>
      <c r="L1155" s="92"/>
      <c r="M1155" s="65"/>
      <c r="N1155" s="69"/>
      <c r="O1155" s="67"/>
      <c r="P1155" s="74"/>
      <c r="Q1155" s="71"/>
      <c r="R1155" s="71"/>
      <c r="S1155" s="71"/>
      <c r="T1155" s="72"/>
      <c r="U1155" s="73"/>
      <c r="V1155" s="12"/>
    </row>
    <row r="1156" s="1" customFormat="1" ht="29.1" customHeight="1" spans="1:22">
      <c r="A1156" s="62">
        <v>46200</v>
      </c>
      <c r="B1156" s="63" t="s">
        <v>922</v>
      </c>
      <c r="C1156" s="64" t="s">
        <v>1557</v>
      </c>
      <c r="D1156" s="65" t="s">
        <v>1558</v>
      </c>
      <c r="E1156" s="67" t="s">
        <v>1559</v>
      </c>
      <c r="F1156" s="67">
        <v>33477</v>
      </c>
      <c r="G1156" s="67" t="str">
        <f>VLOOKUP(F1156,[4]装箱单!$A:$C,3,0)</f>
        <v>搪小鸭外星史迪仔</v>
      </c>
      <c r="H1156" s="91"/>
      <c r="I1156" s="68">
        <v>300</v>
      </c>
      <c r="J1156" s="68" t="s">
        <v>32</v>
      </c>
      <c r="K1156" s="68" t="s">
        <v>33</v>
      </c>
      <c r="L1156" s="92"/>
      <c r="M1156" s="65"/>
      <c r="N1156" s="69"/>
      <c r="O1156" s="67"/>
      <c r="P1156" s="74"/>
      <c r="Q1156" s="71"/>
      <c r="R1156" s="71"/>
      <c r="S1156" s="71"/>
      <c r="T1156" s="72"/>
      <c r="U1156" s="73"/>
      <c r="V1156" s="12"/>
    </row>
    <row r="1157" s="1" customFormat="1" ht="29.1" customHeight="1" spans="1:22">
      <c r="A1157" s="62">
        <v>46200</v>
      </c>
      <c r="B1157" s="63" t="s">
        <v>922</v>
      </c>
      <c r="C1157" s="64" t="s">
        <v>1560</v>
      </c>
      <c r="D1157" s="65" t="s">
        <v>1561</v>
      </c>
      <c r="E1157" s="67" t="s">
        <v>1562</v>
      </c>
      <c r="F1157" s="67">
        <v>33477</v>
      </c>
      <c r="G1157" s="67" t="str">
        <f>VLOOKUP(F1157,[4]装箱单!$A:$C,3,0)</f>
        <v>搪小鸭外星史迪仔</v>
      </c>
      <c r="H1157" s="91"/>
      <c r="I1157" s="68">
        <v>100</v>
      </c>
      <c r="J1157" s="68" t="s">
        <v>32</v>
      </c>
      <c r="K1157" s="68" t="s">
        <v>33</v>
      </c>
      <c r="L1157" s="92"/>
      <c r="M1157" s="65"/>
      <c r="N1157" s="69"/>
      <c r="O1157" s="67"/>
      <c r="P1157" s="74"/>
      <c r="Q1157" s="71"/>
      <c r="R1157" s="71"/>
      <c r="S1157" s="71"/>
      <c r="T1157" s="72"/>
      <c r="U1157" s="73"/>
      <c r="V1157" s="12"/>
    </row>
    <row r="1158" s="1" customFormat="1" ht="29.1" customHeight="1" spans="1:22">
      <c r="A1158" s="62">
        <v>46200</v>
      </c>
      <c r="B1158" s="63" t="s">
        <v>922</v>
      </c>
      <c r="C1158" s="64" t="s">
        <v>1273</v>
      </c>
      <c r="D1158" s="65" t="s">
        <v>1274</v>
      </c>
      <c r="E1158" s="67" t="s">
        <v>1563</v>
      </c>
      <c r="F1158" s="67">
        <v>33477</v>
      </c>
      <c r="G1158" s="67" t="str">
        <f>VLOOKUP(F1158,[4]装箱单!$A:$C,3,0)</f>
        <v>搪小鸭外星史迪仔</v>
      </c>
      <c r="H1158" s="91"/>
      <c r="I1158" s="68">
        <v>2640</v>
      </c>
      <c r="J1158" s="68" t="s">
        <v>32</v>
      </c>
      <c r="K1158" s="68" t="s">
        <v>33</v>
      </c>
      <c r="L1158" s="92"/>
      <c r="M1158" s="65"/>
      <c r="N1158" s="69"/>
      <c r="O1158" s="67"/>
      <c r="P1158" s="74"/>
      <c r="Q1158" s="71"/>
      <c r="R1158" s="71"/>
      <c r="S1158" s="71"/>
      <c r="T1158" s="72"/>
      <c r="U1158" s="73"/>
      <c r="V1158" s="12"/>
    </row>
    <row r="1159" s="1" customFormat="1" ht="29.1" customHeight="1" spans="1:22">
      <c r="A1159" s="62">
        <v>46200</v>
      </c>
      <c r="B1159" s="63" t="s">
        <v>922</v>
      </c>
      <c r="C1159" s="64" t="s">
        <v>1564</v>
      </c>
      <c r="D1159" s="65" t="s">
        <v>1565</v>
      </c>
      <c r="E1159" s="67" t="s">
        <v>1566</v>
      </c>
      <c r="F1159" s="67">
        <v>33477</v>
      </c>
      <c r="G1159" s="67" t="str">
        <f>VLOOKUP(F1159,[4]装箱单!$A:$C,3,0)</f>
        <v>搪小鸭外星史迪仔</v>
      </c>
      <c r="H1159" s="87"/>
      <c r="I1159" s="68">
        <v>1530</v>
      </c>
      <c r="J1159" s="68" t="s">
        <v>32</v>
      </c>
      <c r="K1159" s="68" t="s">
        <v>33</v>
      </c>
      <c r="L1159" s="93"/>
      <c r="M1159" s="65"/>
      <c r="N1159" s="69"/>
      <c r="O1159" s="67"/>
      <c r="P1159" s="75"/>
      <c r="Q1159" s="71"/>
      <c r="R1159" s="71"/>
      <c r="S1159" s="71"/>
      <c r="T1159" s="72"/>
      <c r="U1159" s="73"/>
      <c r="V1159" s="12"/>
    </row>
    <row r="1160" s="1" customFormat="1" ht="29.1" customHeight="1" spans="1:22">
      <c r="A1160" s="62">
        <v>46179</v>
      </c>
      <c r="B1160" s="63" t="s">
        <v>415</v>
      </c>
      <c r="C1160" s="64" t="s">
        <v>1567</v>
      </c>
      <c r="D1160" s="65"/>
      <c r="E1160" s="67">
        <v>87084187</v>
      </c>
      <c r="F1160" s="67">
        <v>46918</v>
      </c>
      <c r="G1160" s="67" t="s">
        <v>1568</v>
      </c>
      <c r="H1160" s="87">
        <v>489</v>
      </c>
      <c r="I1160" s="68">
        <f>H1160*2</f>
        <v>978</v>
      </c>
      <c r="J1160" s="45" t="s">
        <v>47</v>
      </c>
      <c r="K1160" s="68" t="s">
        <v>33</v>
      </c>
      <c r="L1160" s="69">
        <v>489</v>
      </c>
      <c r="M1160" s="65"/>
      <c r="N1160" s="69"/>
      <c r="O1160" s="67" t="s">
        <v>1569</v>
      </c>
      <c r="P1160" s="89" t="s">
        <v>1569</v>
      </c>
      <c r="Q1160" s="71"/>
      <c r="R1160" s="71"/>
      <c r="S1160" s="71"/>
      <c r="T1160" s="72"/>
      <c r="U1160" s="73"/>
      <c r="V1160" s="12"/>
    </row>
    <row r="1161" s="1" customFormat="1" ht="29.1" customHeight="1" spans="1:22">
      <c r="A1161" s="62">
        <v>46179</v>
      </c>
      <c r="B1161" s="63" t="s">
        <v>415</v>
      </c>
      <c r="C1161" s="64" t="s">
        <v>1567</v>
      </c>
      <c r="D1161" s="65"/>
      <c r="E1161" s="67">
        <v>87084082</v>
      </c>
      <c r="F1161" s="67">
        <v>46919</v>
      </c>
      <c r="G1161" s="67" t="s">
        <v>1570</v>
      </c>
      <c r="H1161" s="87">
        <v>384</v>
      </c>
      <c r="I1161" s="68">
        <f>H1161*2</f>
        <v>768</v>
      </c>
      <c r="J1161" s="45" t="s">
        <v>47</v>
      </c>
      <c r="K1161" s="68" t="s">
        <v>33</v>
      </c>
      <c r="L1161" s="69">
        <v>384</v>
      </c>
      <c r="M1161" s="65"/>
      <c r="N1161" s="69"/>
      <c r="O1161" s="67" t="s">
        <v>1569</v>
      </c>
      <c r="P1161" s="91"/>
      <c r="Q1161" s="71"/>
      <c r="R1161" s="71"/>
      <c r="S1161" s="71"/>
      <c r="T1161" s="72"/>
      <c r="U1161" s="73"/>
      <c r="V1161" s="12"/>
    </row>
    <row r="1162" s="1" customFormat="1" ht="29.1" customHeight="1" spans="1:22">
      <c r="A1162" s="62">
        <v>46179</v>
      </c>
      <c r="B1162" s="63" t="s">
        <v>415</v>
      </c>
      <c r="C1162" s="64" t="s">
        <v>1571</v>
      </c>
      <c r="D1162" s="65"/>
      <c r="E1162" s="67">
        <v>87085223</v>
      </c>
      <c r="F1162" s="67">
        <v>11369</v>
      </c>
      <c r="G1162" s="67" t="s">
        <v>1572</v>
      </c>
      <c r="H1162" s="87">
        <v>204</v>
      </c>
      <c r="I1162" s="68">
        <f>H1162*4</f>
        <v>816</v>
      </c>
      <c r="J1162" s="68" t="s">
        <v>32</v>
      </c>
      <c r="K1162" s="68" t="s">
        <v>33</v>
      </c>
      <c r="L1162" s="69">
        <v>204</v>
      </c>
      <c r="M1162" s="65"/>
      <c r="N1162" s="69"/>
      <c r="O1162" s="67" t="s">
        <v>1569</v>
      </c>
      <c r="P1162" s="91"/>
      <c r="Q1162" s="71"/>
      <c r="R1162" s="71"/>
      <c r="S1162" s="71"/>
      <c r="T1162" s="72"/>
      <c r="U1162" s="73"/>
      <c r="V1162" s="12"/>
    </row>
    <row r="1163" s="1" customFormat="1" ht="29.1" customHeight="1" spans="1:22">
      <c r="A1163" s="62">
        <v>46184</v>
      </c>
      <c r="B1163" s="63" t="s">
        <v>415</v>
      </c>
      <c r="C1163" s="64" t="s">
        <v>1573</v>
      </c>
      <c r="D1163" s="65"/>
      <c r="E1163" s="67">
        <v>87084187</v>
      </c>
      <c r="F1163" s="67">
        <v>46918</v>
      </c>
      <c r="G1163" s="67" t="s">
        <v>1568</v>
      </c>
      <c r="H1163" s="87">
        <v>668</v>
      </c>
      <c r="I1163" s="68">
        <v>1336</v>
      </c>
      <c r="J1163" s="45" t="s">
        <v>47</v>
      </c>
      <c r="K1163" s="68" t="s">
        <v>33</v>
      </c>
      <c r="L1163" s="69">
        <v>668</v>
      </c>
      <c r="M1163" s="65"/>
      <c r="N1163" s="69"/>
      <c r="O1163" s="67" t="s">
        <v>1569</v>
      </c>
      <c r="P1163" s="91"/>
      <c r="Q1163" s="71"/>
      <c r="R1163" s="71"/>
      <c r="S1163" s="71"/>
      <c r="T1163" s="72"/>
      <c r="U1163" s="73"/>
      <c r="V1163" s="12"/>
    </row>
    <row r="1164" s="1" customFormat="1" ht="29.1" customHeight="1" spans="1:22">
      <c r="A1164" s="62">
        <v>46184</v>
      </c>
      <c r="B1164" s="63" t="s">
        <v>415</v>
      </c>
      <c r="C1164" s="64" t="s">
        <v>1573</v>
      </c>
      <c r="D1164" s="65"/>
      <c r="E1164" s="67">
        <v>87084082</v>
      </c>
      <c r="F1164" s="67">
        <v>46919</v>
      </c>
      <c r="G1164" s="67" t="s">
        <v>1570</v>
      </c>
      <c r="H1164" s="87">
        <v>672</v>
      </c>
      <c r="I1164" s="68">
        <v>1344</v>
      </c>
      <c r="J1164" s="45" t="s">
        <v>47</v>
      </c>
      <c r="K1164" s="68" t="s">
        <v>33</v>
      </c>
      <c r="L1164" s="69">
        <v>672</v>
      </c>
      <c r="M1164" s="65"/>
      <c r="N1164" s="69"/>
      <c r="O1164" s="67" t="s">
        <v>1569</v>
      </c>
      <c r="P1164" s="91"/>
      <c r="Q1164" s="71"/>
      <c r="R1164" s="71"/>
      <c r="S1164" s="71"/>
      <c r="T1164" s="72"/>
      <c r="U1164" s="73"/>
      <c r="V1164" s="12"/>
    </row>
    <row r="1165" s="1" customFormat="1" ht="29.1" customHeight="1" spans="1:22">
      <c r="A1165" s="62">
        <v>46179</v>
      </c>
      <c r="B1165" s="63" t="s">
        <v>415</v>
      </c>
      <c r="C1165" s="64" t="s">
        <v>1574</v>
      </c>
      <c r="D1165" s="65"/>
      <c r="E1165" s="67">
        <v>87262984</v>
      </c>
      <c r="F1165" s="67">
        <v>46462</v>
      </c>
      <c r="G1165" s="67" t="s">
        <v>1196</v>
      </c>
      <c r="H1165" s="87">
        <v>1350</v>
      </c>
      <c r="I1165" s="68">
        <v>2700</v>
      </c>
      <c r="J1165" s="45" t="s">
        <v>47</v>
      </c>
      <c r="K1165" s="68" t="s">
        <v>33</v>
      </c>
      <c r="L1165" s="69">
        <v>1350</v>
      </c>
      <c r="M1165" s="65"/>
      <c r="N1165" s="69"/>
      <c r="O1165" s="67" t="s">
        <v>1569</v>
      </c>
      <c r="P1165" s="91"/>
      <c r="Q1165" s="71"/>
      <c r="R1165" s="71"/>
      <c r="S1165" s="71"/>
      <c r="T1165" s="72"/>
      <c r="U1165" s="73"/>
      <c r="V1165" s="12"/>
    </row>
    <row r="1166" s="1" customFormat="1" ht="29.1" customHeight="1" spans="1:22">
      <c r="A1166" s="62">
        <v>46179</v>
      </c>
      <c r="B1166" s="63" t="s">
        <v>415</v>
      </c>
      <c r="C1166" s="64" t="s">
        <v>1574</v>
      </c>
      <c r="D1166" s="65"/>
      <c r="E1166" s="67">
        <v>87263260</v>
      </c>
      <c r="F1166" s="67">
        <v>46496</v>
      </c>
      <c r="G1166" s="67" t="s">
        <v>1570</v>
      </c>
      <c r="H1166" s="87">
        <v>251</v>
      </c>
      <c r="I1166" s="68">
        <v>502</v>
      </c>
      <c r="J1166" s="45" t="s">
        <v>47</v>
      </c>
      <c r="K1166" s="68" t="s">
        <v>33</v>
      </c>
      <c r="L1166" s="69">
        <v>251</v>
      </c>
      <c r="M1166" s="65"/>
      <c r="N1166" s="69"/>
      <c r="O1166" s="67" t="s">
        <v>1569</v>
      </c>
      <c r="P1166" s="91"/>
      <c r="Q1166" s="71"/>
      <c r="R1166" s="71"/>
      <c r="S1166" s="71"/>
      <c r="T1166" s="72"/>
      <c r="U1166" s="73"/>
      <c r="V1166" s="12"/>
    </row>
    <row r="1167" s="1" customFormat="1" ht="29.1" customHeight="1" spans="1:22">
      <c r="A1167" s="62">
        <v>46179</v>
      </c>
      <c r="B1167" s="63" t="s">
        <v>415</v>
      </c>
      <c r="C1167" s="64" t="s">
        <v>1574</v>
      </c>
      <c r="D1167" s="65"/>
      <c r="E1167" s="67">
        <v>87268187</v>
      </c>
      <c r="F1167" s="67">
        <v>46911</v>
      </c>
      <c r="G1167" s="67" t="s">
        <v>1575</v>
      </c>
      <c r="H1167" s="87">
        <v>1350</v>
      </c>
      <c r="I1167" s="68">
        <v>2700</v>
      </c>
      <c r="J1167" s="45" t="s">
        <v>47</v>
      </c>
      <c r="K1167" s="68" t="s">
        <v>33</v>
      </c>
      <c r="L1167" s="69">
        <v>1350</v>
      </c>
      <c r="M1167" s="65"/>
      <c r="N1167" s="69"/>
      <c r="O1167" s="67" t="s">
        <v>1569</v>
      </c>
      <c r="P1167" s="91"/>
      <c r="Q1167" s="71"/>
      <c r="R1167" s="71"/>
      <c r="S1167" s="71"/>
      <c r="T1167" s="72"/>
      <c r="U1167" s="73"/>
      <c r="V1167" s="12"/>
    </row>
    <row r="1168" s="1" customFormat="1" ht="29.1" customHeight="1" spans="1:22">
      <c r="A1168" s="62">
        <v>46179</v>
      </c>
      <c r="B1168" s="63" t="s">
        <v>415</v>
      </c>
      <c r="C1168" s="64" t="s">
        <v>1576</v>
      </c>
      <c r="D1168" s="65"/>
      <c r="E1168" s="67">
        <v>87084187</v>
      </c>
      <c r="F1168" s="67">
        <v>46918</v>
      </c>
      <c r="G1168" s="67" t="s">
        <v>1568</v>
      </c>
      <c r="H1168" s="87">
        <v>351</v>
      </c>
      <c r="I1168" s="68">
        <v>702</v>
      </c>
      <c r="J1168" s="45" t="s">
        <v>47</v>
      </c>
      <c r="K1168" s="68" t="s">
        <v>33</v>
      </c>
      <c r="L1168" s="69">
        <v>351</v>
      </c>
      <c r="M1168" s="65"/>
      <c r="N1168" s="69"/>
      <c r="O1168" s="67" t="s">
        <v>1569</v>
      </c>
      <c r="P1168" s="91"/>
      <c r="Q1168" s="71"/>
      <c r="R1168" s="71"/>
      <c r="S1168" s="71"/>
      <c r="T1168" s="72"/>
      <c r="U1168" s="73"/>
      <c r="V1168" s="12"/>
    </row>
    <row r="1169" s="1" customFormat="1" ht="29.1" customHeight="1" spans="1:22">
      <c r="A1169" s="62">
        <v>46179</v>
      </c>
      <c r="B1169" s="63" t="s">
        <v>415</v>
      </c>
      <c r="C1169" s="64" t="s">
        <v>1576</v>
      </c>
      <c r="D1169" s="65"/>
      <c r="E1169" s="67">
        <v>87084082</v>
      </c>
      <c r="F1169" s="67">
        <v>46919</v>
      </c>
      <c r="G1169" s="67" t="s">
        <v>1570</v>
      </c>
      <c r="H1169" s="87">
        <v>276</v>
      </c>
      <c r="I1169" s="68">
        <v>552</v>
      </c>
      <c r="J1169" s="45" t="s">
        <v>47</v>
      </c>
      <c r="K1169" s="68" t="s">
        <v>33</v>
      </c>
      <c r="L1169" s="69">
        <v>276</v>
      </c>
      <c r="M1169" s="65"/>
      <c r="N1169" s="69"/>
      <c r="O1169" s="67" t="s">
        <v>1569</v>
      </c>
      <c r="P1169" s="91"/>
      <c r="Q1169" s="71"/>
      <c r="R1169" s="71"/>
      <c r="S1169" s="71"/>
      <c r="T1169" s="72"/>
      <c r="U1169" s="73"/>
      <c r="V1169" s="12"/>
    </row>
    <row r="1170" s="1" customFormat="1" ht="29.1" customHeight="1" spans="1:22">
      <c r="A1170" s="62">
        <v>46179</v>
      </c>
      <c r="B1170" s="63" t="s">
        <v>415</v>
      </c>
      <c r="C1170" s="64" t="s">
        <v>1577</v>
      </c>
      <c r="D1170" s="65"/>
      <c r="E1170" s="67">
        <v>87085223</v>
      </c>
      <c r="F1170" s="67">
        <v>11369</v>
      </c>
      <c r="G1170" s="67" t="s">
        <v>1572</v>
      </c>
      <c r="H1170" s="87">
        <v>146</v>
      </c>
      <c r="I1170" s="68">
        <v>584</v>
      </c>
      <c r="J1170" s="68" t="s">
        <v>32</v>
      </c>
      <c r="K1170" s="68" t="s">
        <v>33</v>
      </c>
      <c r="L1170" s="69">
        <v>146</v>
      </c>
      <c r="M1170" s="65"/>
      <c r="N1170" s="69"/>
      <c r="O1170" s="67" t="s">
        <v>1569</v>
      </c>
      <c r="P1170" s="91"/>
      <c r="Q1170" s="71"/>
      <c r="R1170" s="71"/>
      <c r="S1170" s="71"/>
      <c r="T1170" s="72"/>
      <c r="U1170" s="73"/>
      <c r="V1170" s="12"/>
    </row>
    <row r="1171" s="1" customFormat="1" ht="29.1" customHeight="1" spans="1:22">
      <c r="A1171" s="62">
        <v>46179</v>
      </c>
      <c r="B1171" s="63" t="s">
        <v>415</v>
      </c>
      <c r="C1171" s="64" t="s">
        <v>1567</v>
      </c>
      <c r="D1171" s="65"/>
      <c r="E1171" s="67">
        <v>87084187</v>
      </c>
      <c r="F1171" s="67">
        <v>46918</v>
      </c>
      <c r="G1171" s="67" t="s">
        <v>1568</v>
      </c>
      <c r="H1171" s="87">
        <v>489</v>
      </c>
      <c r="I1171" s="68">
        <v>978</v>
      </c>
      <c r="J1171" s="45" t="s">
        <v>47</v>
      </c>
      <c r="K1171" s="68" t="s">
        <v>33</v>
      </c>
      <c r="L1171" s="69">
        <v>489</v>
      </c>
      <c r="M1171" s="65"/>
      <c r="N1171" s="69"/>
      <c r="O1171" s="67" t="s">
        <v>1569</v>
      </c>
      <c r="P1171" s="91"/>
      <c r="Q1171" s="71"/>
      <c r="R1171" s="71"/>
      <c r="S1171" s="71"/>
      <c r="T1171" s="72"/>
      <c r="U1171" s="73"/>
      <c r="V1171" s="12"/>
    </row>
    <row r="1172" s="1" customFormat="1" ht="29.1" customHeight="1" spans="1:22">
      <c r="A1172" s="62">
        <v>46179</v>
      </c>
      <c r="B1172" s="63" t="s">
        <v>415</v>
      </c>
      <c r="C1172" s="64" t="s">
        <v>1567</v>
      </c>
      <c r="D1172" s="65"/>
      <c r="E1172" s="67">
        <v>87084082</v>
      </c>
      <c r="F1172" s="67">
        <v>46919</v>
      </c>
      <c r="G1172" s="67" t="s">
        <v>1570</v>
      </c>
      <c r="H1172" s="87">
        <v>384</v>
      </c>
      <c r="I1172" s="68">
        <v>768</v>
      </c>
      <c r="J1172" s="45" t="s">
        <v>47</v>
      </c>
      <c r="K1172" s="68" t="s">
        <v>33</v>
      </c>
      <c r="L1172" s="69">
        <v>384</v>
      </c>
      <c r="M1172" s="65"/>
      <c r="N1172" s="69"/>
      <c r="O1172" s="67" t="s">
        <v>1569</v>
      </c>
      <c r="P1172" s="91"/>
      <c r="Q1172" s="71"/>
      <c r="R1172" s="71"/>
      <c r="S1172" s="71"/>
      <c r="T1172" s="72"/>
      <c r="U1172" s="73"/>
      <c r="V1172" s="12"/>
    </row>
    <row r="1173" s="1" customFormat="1" ht="29.1" customHeight="1" spans="1:22">
      <c r="A1173" s="62">
        <v>46179</v>
      </c>
      <c r="B1173" s="63" t="s">
        <v>415</v>
      </c>
      <c r="C1173" s="64" t="s">
        <v>1571</v>
      </c>
      <c r="D1173" s="65"/>
      <c r="E1173" s="67">
        <v>87085223</v>
      </c>
      <c r="F1173" s="67">
        <v>11369</v>
      </c>
      <c r="G1173" s="67" t="s">
        <v>1572</v>
      </c>
      <c r="H1173" s="87">
        <v>204</v>
      </c>
      <c r="I1173" s="68">
        <v>816</v>
      </c>
      <c r="J1173" s="68" t="s">
        <v>32</v>
      </c>
      <c r="K1173" s="68" t="s">
        <v>33</v>
      </c>
      <c r="L1173" s="69">
        <v>204</v>
      </c>
      <c r="M1173" s="65"/>
      <c r="N1173" s="69"/>
      <c r="O1173" s="67" t="s">
        <v>1569</v>
      </c>
      <c r="P1173" s="91"/>
      <c r="Q1173" s="71"/>
      <c r="R1173" s="71"/>
      <c r="S1173" s="71"/>
      <c r="T1173" s="72"/>
      <c r="U1173" s="73"/>
      <c r="V1173" s="12"/>
    </row>
    <row r="1174" s="1" customFormat="1" ht="29.1" customHeight="1" spans="1:22">
      <c r="A1174" s="62">
        <v>46184</v>
      </c>
      <c r="B1174" s="63" t="s">
        <v>415</v>
      </c>
      <c r="C1174" s="64" t="s">
        <v>1578</v>
      </c>
      <c r="D1174" s="65"/>
      <c r="E1174" s="67">
        <v>87261194</v>
      </c>
      <c r="F1174" s="67">
        <v>46097</v>
      </c>
      <c r="G1174" s="67" t="s">
        <v>1579</v>
      </c>
      <c r="H1174" s="87">
        <v>1500</v>
      </c>
      <c r="I1174" s="68">
        <v>3000</v>
      </c>
      <c r="J1174" s="45" t="s">
        <v>47</v>
      </c>
      <c r="K1174" s="68" t="s">
        <v>33</v>
      </c>
      <c r="L1174" s="69">
        <v>1500</v>
      </c>
      <c r="M1174" s="65"/>
      <c r="N1174" s="69"/>
      <c r="O1174" s="67" t="s">
        <v>1569</v>
      </c>
      <c r="P1174" s="91"/>
      <c r="Q1174" s="71"/>
      <c r="R1174" s="71"/>
      <c r="S1174" s="71"/>
      <c r="T1174" s="72"/>
      <c r="U1174" s="73"/>
      <c r="V1174" s="12"/>
    </row>
    <row r="1175" s="1" customFormat="1" ht="29.1" customHeight="1" spans="1:22">
      <c r="A1175" s="62">
        <v>46184</v>
      </c>
      <c r="B1175" s="63" t="s">
        <v>415</v>
      </c>
      <c r="C1175" s="64" t="s">
        <v>1578</v>
      </c>
      <c r="D1175" s="65"/>
      <c r="E1175" s="67">
        <v>87268164</v>
      </c>
      <c r="F1175" s="67">
        <v>46133</v>
      </c>
      <c r="G1175" s="67" t="s">
        <v>1580</v>
      </c>
      <c r="H1175" s="87">
        <v>346</v>
      </c>
      <c r="I1175" s="68">
        <v>692</v>
      </c>
      <c r="J1175" s="45" t="s">
        <v>47</v>
      </c>
      <c r="K1175" s="68" t="s">
        <v>33</v>
      </c>
      <c r="L1175" s="69">
        <v>346</v>
      </c>
      <c r="M1175" s="65"/>
      <c r="N1175" s="69"/>
      <c r="O1175" s="67" t="s">
        <v>1569</v>
      </c>
      <c r="P1175" s="91"/>
      <c r="Q1175" s="71"/>
      <c r="R1175" s="71"/>
      <c r="S1175" s="71"/>
      <c r="T1175" s="72"/>
      <c r="U1175" s="73"/>
      <c r="V1175" s="12"/>
    </row>
    <row r="1176" s="1" customFormat="1" ht="29.1" customHeight="1" spans="1:22">
      <c r="A1176" s="62">
        <v>46184</v>
      </c>
      <c r="B1176" s="63" t="s">
        <v>415</v>
      </c>
      <c r="C1176" s="64" t="s">
        <v>1574</v>
      </c>
      <c r="D1176" s="65"/>
      <c r="E1176" s="67">
        <v>87263260</v>
      </c>
      <c r="F1176" s="67">
        <v>46496</v>
      </c>
      <c r="G1176" s="67" t="s">
        <v>1570</v>
      </c>
      <c r="H1176" s="87">
        <v>1599</v>
      </c>
      <c r="I1176" s="68">
        <f>H1176*2</f>
        <v>3198</v>
      </c>
      <c r="J1176" s="45" t="s">
        <v>47</v>
      </c>
      <c r="K1176" s="68" t="s">
        <v>33</v>
      </c>
      <c r="L1176" s="69">
        <v>1599</v>
      </c>
      <c r="M1176" s="65"/>
      <c r="N1176" s="69"/>
      <c r="O1176" s="67" t="s">
        <v>1569</v>
      </c>
      <c r="P1176" s="91"/>
      <c r="Q1176" s="71"/>
      <c r="R1176" s="71"/>
      <c r="S1176" s="71"/>
      <c r="T1176" s="72"/>
      <c r="U1176" s="73"/>
      <c r="V1176" s="12"/>
    </row>
    <row r="1177" s="1" customFormat="1" ht="29.1" customHeight="1" spans="1:22">
      <c r="A1177" s="62">
        <v>46184</v>
      </c>
      <c r="B1177" s="63" t="s">
        <v>415</v>
      </c>
      <c r="C1177" s="64" t="s">
        <v>1581</v>
      </c>
      <c r="D1177" s="65"/>
      <c r="E1177" s="67">
        <v>87084187</v>
      </c>
      <c r="F1177" s="67">
        <v>46918</v>
      </c>
      <c r="G1177" s="67" t="s">
        <v>1568</v>
      </c>
      <c r="H1177" s="87">
        <v>692</v>
      </c>
      <c r="I1177" s="68">
        <f>H1177*2</f>
        <v>1384</v>
      </c>
      <c r="J1177" s="45" t="s">
        <v>47</v>
      </c>
      <c r="K1177" s="68" t="s">
        <v>33</v>
      </c>
      <c r="L1177" s="69">
        <v>692</v>
      </c>
      <c r="M1177" s="65"/>
      <c r="N1177" s="69"/>
      <c r="O1177" s="67" t="s">
        <v>1569</v>
      </c>
      <c r="P1177" s="91"/>
      <c r="Q1177" s="71"/>
      <c r="R1177" s="71"/>
      <c r="S1177" s="71"/>
      <c r="T1177" s="72"/>
      <c r="U1177" s="73"/>
      <c r="V1177" s="12"/>
    </row>
    <row r="1178" s="1" customFormat="1" ht="29.1" customHeight="1" spans="1:22">
      <c r="A1178" s="62">
        <v>46196</v>
      </c>
      <c r="B1178" s="63" t="s">
        <v>415</v>
      </c>
      <c r="C1178" s="64" t="s">
        <v>1581</v>
      </c>
      <c r="D1178" s="65"/>
      <c r="E1178" s="67">
        <v>87084082</v>
      </c>
      <c r="F1178" s="67">
        <v>46919</v>
      </c>
      <c r="G1178" s="67" t="s">
        <v>1570</v>
      </c>
      <c r="H1178" s="87">
        <v>623</v>
      </c>
      <c r="I1178" s="68">
        <f>H1178*2</f>
        <v>1246</v>
      </c>
      <c r="J1178" s="45" t="s">
        <v>47</v>
      </c>
      <c r="K1178" s="68" t="s">
        <v>33</v>
      </c>
      <c r="L1178" s="69">
        <v>623</v>
      </c>
      <c r="M1178" s="65"/>
      <c r="N1178" s="69"/>
      <c r="O1178" s="67" t="s">
        <v>1569</v>
      </c>
      <c r="P1178" s="91"/>
      <c r="Q1178" s="71"/>
      <c r="R1178" s="71"/>
      <c r="S1178" s="71"/>
      <c r="T1178" s="72"/>
      <c r="U1178" s="73"/>
      <c r="V1178" s="12"/>
    </row>
    <row r="1179" s="1" customFormat="1" ht="29.1" customHeight="1" spans="1:22">
      <c r="A1179" s="62">
        <v>46196</v>
      </c>
      <c r="B1179" s="63" t="s">
        <v>415</v>
      </c>
      <c r="C1179" s="64" t="s">
        <v>1582</v>
      </c>
      <c r="D1179" s="65"/>
      <c r="E1179" s="67">
        <v>87084187</v>
      </c>
      <c r="F1179" s="67">
        <v>46918</v>
      </c>
      <c r="G1179" s="67" t="s">
        <v>1568</v>
      </c>
      <c r="H1179" s="87">
        <v>489</v>
      </c>
      <c r="I1179" s="68">
        <f>H1179*2</f>
        <v>978</v>
      </c>
      <c r="J1179" s="45" t="s">
        <v>47</v>
      </c>
      <c r="K1179" s="68" t="s">
        <v>33</v>
      </c>
      <c r="L1179" s="69">
        <v>489</v>
      </c>
      <c r="M1179" s="65"/>
      <c r="N1179" s="69"/>
      <c r="O1179" s="67" t="s">
        <v>1569</v>
      </c>
      <c r="P1179" s="91"/>
      <c r="Q1179" s="71"/>
      <c r="R1179" s="71"/>
      <c r="S1179" s="71"/>
      <c r="T1179" s="72"/>
      <c r="U1179" s="73"/>
      <c r="V1179" s="12"/>
    </row>
    <row r="1180" s="1" customFormat="1" ht="29.1" customHeight="1" spans="1:22">
      <c r="A1180" s="62">
        <v>46196</v>
      </c>
      <c r="B1180" s="63" t="s">
        <v>415</v>
      </c>
      <c r="C1180" s="64" t="s">
        <v>1582</v>
      </c>
      <c r="D1180" s="65"/>
      <c r="E1180" s="67">
        <v>87084082</v>
      </c>
      <c r="F1180" s="67">
        <v>46919</v>
      </c>
      <c r="G1180" s="67" t="s">
        <v>1570</v>
      </c>
      <c r="H1180" s="87">
        <v>384</v>
      </c>
      <c r="I1180" s="68">
        <f>H1180*2</f>
        <v>768</v>
      </c>
      <c r="J1180" s="45" t="s">
        <v>47</v>
      </c>
      <c r="K1180" s="68" t="s">
        <v>33</v>
      </c>
      <c r="L1180" s="69">
        <v>384</v>
      </c>
      <c r="M1180" s="65"/>
      <c r="N1180" s="69"/>
      <c r="O1180" s="67" t="s">
        <v>1569</v>
      </c>
      <c r="P1180" s="91"/>
      <c r="Q1180" s="71"/>
      <c r="R1180" s="71"/>
      <c r="S1180" s="71"/>
      <c r="T1180" s="72"/>
      <c r="U1180" s="73"/>
      <c r="V1180" s="12"/>
    </row>
    <row r="1181" s="1" customFormat="1" ht="29.1" customHeight="1" spans="1:22">
      <c r="A1181" s="62">
        <v>46196</v>
      </c>
      <c r="B1181" s="63" t="s">
        <v>415</v>
      </c>
      <c r="C1181" s="64" t="s">
        <v>1583</v>
      </c>
      <c r="D1181" s="65"/>
      <c r="E1181" s="67">
        <v>87085223</v>
      </c>
      <c r="F1181" s="67">
        <v>11369</v>
      </c>
      <c r="G1181" s="67" t="s">
        <v>1572</v>
      </c>
      <c r="H1181" s="87">
        <v>204</v>
      </c>
      <c r="I1181" s="68">
        <f>H1181*4</f>
        <v>816</v>
      </c>
      <c r="J1181" s="68" t="s">
        <v>32</v>
      </c>
      <c r="K1181" s="68" t="s">
        <v>33</v>
      </c>
      <c r="L1181" s="69">
        <v>204</v>
      </c>
      <c r="M1181" s="65"/>
      <c r="N1181" s="69"/>
      <c r="O1181" s="67" t="s">
        <v>1569</v>
      </c>
      <c r="P1181" s="91"/>
      <c r="Q1181" s="71"/>
      <c r="R1181" s="71"/>
      <c r="S1181" s="71"/>
      <c r="T1181" s="72"/>
      <c r="U1181" s="73"/>
      <c r="V1181" s="12"/>
    </row>
    <row r="1182" s="1" customFormat="1" ht="29.1" customHeight="1" spans="1:22">
      <c r="A1182" s="62">
        <v>46186</v>
      </c>
      <c r="B1182" s="63" t="s">
        <v>415</v>
      </c>
      <c r="C1182" s="64" t="s">
        <v>1578</v>
      </c>
      <c r="D1182" s="65"/>
      <c r="E1182" s="67">
        <v>87264303</v>
      </c>
      <c r="F1182" s="67">
        <v>46092</v>
      </c>
      <c r="G1182" s="67" t="s">
        <v>1584</v>
      </c>
      <c r="H1182" s="87">
        <v>1952</v>
      </c>
      <c r="I1182" s="68">
        <f t="shared" ref="I1182:I1204" si="116">H1182*2</f>
        <v>3904</v>
      </c>
      <c r="J1182" s="45" t="s">
        <v>47</v>
      </c>
      <c r="K1182" s="68" t="s">
        <v>33</v>
      </c>
      <c r="L1182" s="69">
        <v>1952</v>
      </c>
      <c r="M1182" s="65"/>
      <c r="N1182" s="69"/>
      <c r="O1182" s="67" t="s">
        <v>1569</v>
      </c>
      <c r="P1182" s="91"/>
      <c r="Q1182" s="71"/>
      <c r="R1182" s="71"/>
      <c r="S1182" s="71"/>
      <c r="T1182" s="72"/>
      <c r="U1182" s="73"/>
      <c r="V1182" s="12"/>
    </row>
    <row r="1183" s="1" customFormat="1" ht="29.1" customHeight="1" spans="1:22">
      <c r="A1183" s="62">
        <v>46186</v>
      </c>
      <c r="B1183" s="63" t="s">
        <v>415</v>
      </c>
      <c r="C1183" s="64" t="s">
        <v>1578</v>
      </c>
      <c r="D1183" s="65"/>
      <c r="E1183" s="67">
        <v>87269074</v>
      </c>
      <c r="F1183" s="67">
        <v>46094</v>
      </c>
      <c r="G1183" s="67" t="s">
        <v>1585</v>
      </c>
      <c r="H1183" s="87">
        <v>1000</v>
      </c>
      <c r="I1183" s="68">
        <f t="shared" si="116"/>
        <v>2000</v>
      </c>
      <c r="J1183" s="45" t="s">
        <v>47</v>
      </c>
      <c r="K1183" s="68" t="s">
        <v>33</v>
      </c>
      <c r="L1183" s="69">
        <v>1000</v>
      </c>
      <c r="M1183" s="65"/>
      <c r="N1183" s="69"/>
      <c r="O1183" s="67" t="s">
        <v>1569</v>
      </c>
      <c r="P1183" s="91"/>
      <c r="Q1183" s="71"/>
      <c r="R1183" s="71"/>
      <c r="S1183" s="71"/>
      <c r="T1183" s="72"/>
      <c r="U1183" s="73"/>
      <c r="V1183" s="12"/>
    </row>
    <row r="1184" s="1" customFormat="1" ht="29.1" customHeight="1" spans="1:22">
      <c r="A1184" s="62">
        <v>46186</v>
      </c>
      <c r="B1184" s="63" t="s">
        <v>415</v>
      </c>
      <c r="C1184" s="64" t="s">
        <v>1578</v>
      </c>
      <c r="D1184" s="65"/>
      <c r="E1184" s="67">
        <v>87264569</v>
      </c>
      <c r="F1184" s="67">
        <v>46099</v>
      </c>
      <c r="G1184" s="67" t="s">
        <v>1568</v>
      </c>
      <c r="H1184" s="87">
        <v>2500</v>
      </c>
      <c r="I1184" s="68">
        <f t="shared" si="116"/>
        <v>5000</v>
      </c>
      <c r="J1184" s="45" t="s">
        <v>47</v>
      </c>
      <c r="K1184" s="68" t="s">
        <v>33</v>
      </c>
      <c r="L1184" s="69">
        <v>2500</v>
      </c>
      <c r="M1184" s="65"/>
      <c r="N1184" s="69"/>
      <c r="O1184" s="67" t="s">
        <v>1569</v>
      </c>
      <c r="P1184" s="91"/>
      <c r="Q1184" s="71"/>
      <c r="R1184" s="71"/>
      <c r="S1184" s="71"/>
      <c r="T1184" s="72"/>
      <c r="U1184" s="73"/>
      <c r="V1184" s="12"/>
    </row>
    <row r="1185" s="1" customFormat="1" ht="29.1" customHeight="1" spans="1:22">
      <c r="A1185" s="62">
        <v>46186</v>
      </c>
      <c r="B1185" s="63" t="s">
        <v>415</v>
      </c>
      <c r="C1185" s="64" t="s">
        <v>1578</v>
      </c>
      <c r="D1185" s="65"/>
      <c r="E1185" s="67">
        <v>87268164</v>
      </c>
      <c r="F1185" s="67">
        <v>46133</v>
      </c>
      <c r="G1185" s="67" t="s">
        <v>1580</v>
      </c>
      <c r="H1185" s="87">
        <v>404</v>
      </c>
      <c r="I1185" s="68">
        <f t="shared" si="116"/>
        <v>808</v>
      </c>
      <c r="J1185" s="45" t="s">
        <v>47</v>
      </c>
      <c r="K1185" s="68" t="s">
        <v>33</v>
      </c>
      <c r="L1185" s="69">
        <v>404</v>
      </c>
      <c r="M1185" s="65"/>
      <c r="N1185" s="69"/>
      <c r="O1185" s="67" t="s">
        <v>1569</v>
      </c>
      <c r="P1185" s="91"/>
      <c r="Q1185" s="71"/>
      <c r="R1185" s="71"/>
      <c r="S1185" s="71"/>
      <c r="T1185" s="72"/>
      <c r="U1185" s="73"/>
      <c r="V1185" s="12"/>
    </row>
    <row r="1186" s="1" customFormat="1" ht="29.1" customHeight="1" spans="1:22">
      <c r="A1186" s="62">
        <v>46186</v>
      </c>
      <c r="B1186" s="63" t="s">
        <v>415</v>
      </c>
      <c r="C1186" s="64" t="s">
        <v>1578</v>
      </c>
      <c r="D1186" s="65"/>
      <c r="E1186" s="67">
        <v>87264303</v>
      </c>
      <c r="F1186" s="67">
        <v>46092</v>
      </c>
      <c r="G1186" s="67" t="s">
        <v>1584</v>
      </c>
      <c r="H1186" s="87">
        <v>48</v>
      </c>
      <c r="I1186" s="68">
        <f t="shared" si="116"/>
        <v>96</v>
      </c>
      <c r="J1186" s="45" t="s">
        <v>47</v>
      </c>
      <c r="K1186" s="68" t="s">
        <v>33</v>
      </c>
      <c r="L1186" s="69">
        <v>48</v>
      </c>
      <c r="M1186" s="65"/>
      <c r="N1186" s="69"/>
      <c r="O1186" s="67" t="s">
        <v>1569</v>
      </c>
      <c r="P1186" s="91"/>
      <c r="Q1186" s="71"/>
      <c r="R1186" s="71"/>
      <c r="S1186" s="71"/>
      <c r="T1186" s="72"/>
      <c r="U1186" s="73"/>
      <c r="V1186" s="12"/>
    </row>
    <row r="1187" s="1" customFormat="1" ht="29.1" customHeight="1" spans="1:22">
      <c r="A1187" s="62">
        <v>46195</v>
      </c>
      <c r="B1187" s="63" t="s">
        <v>415</v>
      </c>
      <c r="C1187" s="64" t="s">
        <v>1586</v>
      </c>
      <c r="D1187" s="65"/>
      <c r="E1187" s="67">
        <v>87262984</v>
      </c>
      <c r="F1187" s="67">
        <v>46462</v>
      </c>
      <c r="G1187" s="67" t="s">
        <v>1196</v>
      </c>
      <c r="H1187" s="87">
        <v>964</v>
      </c>
      <c r="I1187" s="68">
        <f t="shared" si="116"/>
        <v>1928</v>
      </c>
      <c r="J1187" s="45" t="s">
        <v>47</v>
      </c>
      <c r="K1187" s="68" t="s">
        <v>33</v>
      </c>
      <c r="L1187" s="69">
        <v>964</v>
      </c>
      <c r="M1187" s="65"/>
      <c r="N1187" s="69"/>
      <c r="O1187" s="67" t="s">
        <v>1569</v>
      </c>
      <c r="P1187" s="91"/>
      <c r="Q1187" s="71"/>
      <c r="R1187" s="71"/>
      <c r="S1187" s="71"/>
      <c r="T1187" s="72"/>
      <c r="U1187" s="73"/>
      <c r="V1187" s="12"/>
    </row>
    <row r="1188" s="1" customFormat="1" ht="29.1" customHeight="1" spans="1:22">
      <c r="A1188" s="62">
        <v>46195</v>
      </c>
      <c r="B1188" s="63" t="s">
        <v>415</v>
      </c>
      <c r="C1188" s="64" t="s">
        <v>1586</v>
      </c>
      <c r="D1188" s="65"/>
      <c r="E1188" s="67">
        <v>87268187</v>
      </c>
      <c r="F1188" s="67">
        <v>46911</v>
      </c>
      <c r="G1188" s="67" t="s">
        <v>1575</v>
      </c>
      <c r="H1188" s="87">
        <v>964</v>
      </c>
      <c r="I1188" s="68">
        <f t="shared" si="116"/>
        <v>1928</v>
      </c>
      <c r="J1188" s="45" t="s">
        <v>47</v>
      </c>
      <c r="K1188" s="68" t="s">
        <v>33</v>
      </c>
      <c r="L1188" s="69">
        <v>964</v>
      </c>
      <c r="M1188" s="65"/>
      <c r="N1188" s="69"/>
      <c r="O1188" s="67" t="s">
        <v>1569</v>
      </c>
      <c r="P1188" s="91"/>
      <c r="Q1188" s="71"/>
      <c r="R1188" s="71"/>
      <c r="S1188" s="71"/>
      <c r="T1188" s="72"/>
      <c r="U1188" s="73"/>
      <c r="V1188" s="12"/>
    </row>
    <row r="1189" s="1" customFormat="1" ht="29.1" customHeight="1" spans="1:22">
      <c r="A1189" s="62">
        <v>46195</v>
      </c>
      <c r="B1189" s="63" t="s">
        <v>415</v>
      </c>
      <c r="C1189" s="64" t="s">
        <v>1586</v>
      </c>
      <c r="D1189" s="65"/>
      <c r="E1189" s="67">
        <v>87263260</v>
      </c>
      <c r="F1189" s="67">
        <v>46496</v>
      </c>
      <c r="G1189" s="67" t="s">
        <v>1570</v>
      </c>
      <c r="H1189" s="87">
        <v>1024</v>
      </c>
      <c r="I1189" s="68">
        <f t="shared" si="116"/>
        <v>2048</v>
      </c>
      <c r="J1189" s="45" t="s">
        <v>47</v>
      </c>
      <c r="K1189" s="68" t="s">
        <v>33</v>
      </c>
      <c r="L1189" s="69">
        <v>1024</v>
      </c>
      <c r="M1189" s="65"/>
      <c r="N1189" s="69"/>
      <c r="O1189" s="67" t="s">
        <v>1569</v>
      </c>
      <c r="P1189" s="91"/>
      <c r="Q1189" s="71"/>
      <c r="R1189" s="71"/>
      <c r="S1189" s="71"/>
      <c r="T1189" s="72"/>
      <c r="U1189" s="73"/>
      <c r="V1189" s="12"/>
    </row>
    <row r="1190" s="1" customFormat="1" ht="29.1" customHeight="1" spans="1:22">
      <c r="A1190" s="62">
        <v>46196</v>
      </c>
      <c r="B1190" s="63" t="s">
        <v>415</v>
      </c>
      <c r="C1190" s="64" t="s">
        <v>1587</v>
      </c>
      <c r="D1190" s="65"/>
      <c r="E1190" s="67">
        <v>87261194</v>
      </c>
      <c r="F1190" s="67">
        <v>46097</v>
      </c>
      <c r="G1190" s="67" t="s">
        <v>1579</v>
      </c>
      <c r="H1190" s="87">
        <v>160</v>
      </c>
      <c r="I1190" s="68">
        <f t="shared" si="116"/>
        <v>320</v>
      </c>
      <c r="J1190" s="45" t="s">
        <v>47</v>
      </c>
      <c r="K1190" s="68" t="s">
        <v>33</v>
      </c>
      <c r="L1190" s="69">
        <v>160</v>
      </c>
      <c r="M1190" s="65"/>
      <c r="N1190" s="69"/>
      <c r="O1190" s="67" t="s">
        <v>1569</v>
      </c>
      <c r="P1190" s="91"/>
      <c r="Q1190" s="71"/>
      <c r="R1190" s="71"/>
      <c r="S1190" s="71"/>
      <c r="T1190" s="72"/>
      <c r="U1190" s="73"/>
      <c r="V1190" s="12"/>
    </row>
    <row r="1191" s="1" customFormat="1" ht="29.1" customHeight="1" spans="1:22">
      <c r="A1191" s="62">
        <v>46196</v>
      </c>
      <c r="B1191" s="63" t="s">
        <v>415</v>
      </c>
      <c r="C1191" s="64" t="s">
        <v>1587</v>
      </c>
      <c r="D1191" s="65"/>
      <c r="E1191" s="67">
        <v>87263071</v>
      </c>
      <c r="F1191" s="67">
        <v>46132</v>
      </c>
      <c r="G1191" s="67" t="s">
        <v>1588</v>
      </c>
      <c r="H1191" s="87">
        <v>600</v>
      </c>
      <c r="I1191" s="68">
        <f t="shared" si="116"/>
        <v>1200</v>
      </c>
      <c r="J1191" s="45" t="s">
        <v>47</v>
      </c>
      <c r="K1191" s="68" t="s">
        <v>33</v>
      </c>
      <c r="L1191" s="69">
        <v>600</v>
      </c>
      <c r="M1191" s="65"/>
      <c r="N1191" s="69"/>
      <c r="O1191" s="67" t="s">
        <v>1569</v>
      </c>
      <c r="P1191" s="91"/>
      <c r="Q1191" s="71"/>
      <c r="R1191" s="71"/>
      <c r="S1191" s="71"/>
      <c r="T1191" s="72"/>
      <c r="U1191" s="73"/>
      <c r="V1191" s="12"/>
    </row>
    <row r="1192" s="1" customFormat="1" ht="29.1" customHeight="1" spans="1:22">
      <c r="A1192" s="62">
        <v>46196</v>
      </c>
      <c r="B1192" s="63" t="s">
        <v>415</v>
      </c>
      <c r="C1192" s="64" t="s">
        <v>1587</v>
      </c>
      <c r="D1192" s="65"/>
      <c r="E1192" s="67">
        <v>87264569</v>
      </c>
      <c r="F1192" s="67">
        <v>46099</v>
      </c>
      <c r="G1192" s="67" t="s">
        <v>1568</v>
      </c>
      <c r="H1192" s="87">
        <v>440</v>
      </c>
      <c r="I1192" s="68">
        <f t="shared" si="116"/>
        <v>880</v>
      </c>
      <c r="J1192" s="45" t="s">
        <v>47</v>
      </c>
      <c r="K1192" s="68" t="s">
        <v>33</v>
      </c>
      <c r="L1192" s="69">
        <v>440</v>
      </c>
      <c r="M1192" s="65"/>
      <c r="N1192" s="69"/>
      <c r="O1192" s="67" t="s">
        <v>1569</v>
      </c>
      <c r="P1192" s="91"/>
      <c r="Q1192" s="71"/>
      <c r="R1192" s="71"/>
      <c r="S1192" s="71"/>
      <c r="T1192" s="72"/>
      <c r="U1192" s="73"/>
      <c r="V1192" s="12"/>
    </row>
    <row r="1193" s="1" customFormat="1" ht="29.1" customHeight="1" spans="1:22">
      <c r="A1193" s="62">
        <v>46196</v>
      </c>
      <c r="B1193" s="63" t="s">
        <v>415</v>
      </c>
      <c r="C1193" s="64" t="s">
        <v>1587</v>
      </c>
      <c r="D1193" s="65"/>
      <c r="E1193" s="67">
        <v>87264303</v>
      </c>
      <c r="F1193" s="67">
        <v>46092</v>
      </c>
      <c r="G1193" s="67" t="s">
        <v>1584</v>
      </c>
      <c r="H1193" s="87">
        <v>420</v>
      </c>
      <c r="I1193" s="68">
        <f t="shared" si="116"/>
        <v>840</v>
      </c>
      <c r="J1193" s="45" t="s">
        <v>47</v>
      </c>
      <c r="K1193" s="68" t="s">
        <v>33</v>
      </c>
      <c r="L1193" s="69">
        <v>420</v>
      </c>
      <c r="M1193" s="65"/>
      <c r="N1193" s="69"/>
      <c r="O1193" s="67" t="s">
        <v>1569</v>
      </c>
      <c r="P1193" s="91"/>
      <c r="Q1193" s="71"/>
      <c r="R1193" s="71"/>
      <c r="S1193" s="71"/>
      <c r="T1193" s="72"/>
      <c r="U1193" s="73"/>
      <c r="V1193" s="12"/>
    </row>
    <row r="1194" s="1" customFormat="1" ht="29.1" customHeight="1" spans="1:22">
      <c r="A1194" s="62">
        <v>46196</v>
      </c>
      <c r="B1194" s="63" t="s">
        <v>415</v>
      </c>
      <c r="C1194" s="64" t="s">
        <v>1587</v>
      </c>
      <c r="D1194" s="65"/>
      <c r="E1194" s="67">
        <v>87268164</v>
      </c>
      <c r="F1194" s="67">
        <v>46133</v>
      </c>
      <c r="G1194" s="67" t="s">
        <v>1580</v>
      </c>
      <c r="H1194" s="87">
        <v>160</v>
      </c>
      <c r="I1194" s="68">
        <f t="shared" si="116"/>
        <v>320</v>
      </c>
      <c r="J1194" s="45" t="s">
        <v>47</v>
      </c>
      <c r="K1194" s="68" t="s">
        <v>33</v>
      </c>
      <c r="L1194" s="69">
        <v>160</v>
      </c>
      <c r="M1194" s="65"/>
      <c r="N1194" s="69"/>
      <c r="O1194" s="67" t="s">
        <v>1569</v>
      </c>
      <c r="P1194" s="91"/>
      <c r="Q1194" s="71"/>
      <c r="R1194" s="71"/>
      <c r="S1194" s="71"/>
      <c r="T1194" s="72"/>
      <c r="U1194" s="73"/>
      <c r="V1194" s="12"/>
    </row>
    <row r="1195" s="1" customFormat="1" ht="29.1" customHeight="1" spans="1:22">
      <c r="A1195" s="62">
        <v>46196</v>
      </c>
      <c r="B1195" s="63" t="s">
        <v>415</v>
      </c>
      <c r="C1195" s="64" t="s">
        <v>1587</v>
      </c>
      <c r="D1195" s="65"/>
      <c r="E1195" s="67">
        <v>87268508</v>
      </c>
      <c r="F1195" s="67">
        <v>46134</v>
      </c>
      <c r="G1195" s="67" t="s">
        <v>1589</v>
      </c>
      <c r="H1195" s="87">
        <v>200</v>
      </c>
      <c r="I1195" s="68">
        <f t="shared" si="116"/>
        <v>400</v>
      </c>
      <c r="J1195" s="45" t="s">
        <v>47</v>
      </c>
      <c r="K1195" s="68" t="s">
        <v>33</v>
      </c>
      <c r="L1195" s="69">
        <v>200</v>
      </c>
      <c r="M1195" s="65"/>
      <c r="N1195" s="69"/>
      <c r="O1195" s="67" t="s">
        <v>1569</v>
      </c>
      <c r="P1195" s="91"/>
      <c r="Q1195" s="71"/>
      <c r="R1195" s="71"/>
      <c r="S1195" s="71"/>
      <c r="T1195" s="72"/>
      <c r="U1195" s="73"/>
      <c r="V1195" s="12"/>
    </row>
    <row r="1196" s="1" customFormat="1" ht="29.1" customHeight="1" spans="1:22">
      <c r="A1196" s="62">
        <v>46196</v>
      </c>
      <c r="B1196" s="63" t="s">
        <v>415</v>
      </c>
      <c r="C1196" s="64" t="s">
        <v>1587</v>
      </c>
      <c r="D1196" s="65"/>
      <c r="E1196" s="67">
        <v>87269074</v>
      </c>
      <c r="F1196" s="67">
        <v>46094</v>
      </c>
      <c r="G1196" s="67" t="s">
        <v>1585</v>
      </c>
      <c r="H1196" s="87">
        <v>180</v>
      </c>
      <c r="I1196" s="68">
        <f t="shared" si="116"/>
        <v>360</v>
      </c>
      <c r="J1196" s="45" t="s">
        <v>47</v>
      </c>
      <c r="K1196" s="68" t="s">
        <v>33</v>
      </c>
      <c r="L1196" s="69">
        <v>180</v>
      </c>
      <c r="M1196" s="65"/>
      <c r="N1196" s="69"/>
      <c r="O1196" s="67" t="s">
        <v>1569</v>
      </c>
      <c r="P1196" s="91"/>
      <c r="Q1196" s="71"/>
      <c r="R1196" s="71"/>
      <c r="S1196" s="71"/>
      <c r="T1196" s="72"/>
      <c r="U1196" s="73"/>
      <c r="V1196" s="12"/>
    </row>
    <row r="1197" s="1" customFormat="1" ht="29.1" customHeight="1" spans="1:22">
      <c r="A1197" s="62">
        <v>46196</v>
      </c>
      <c r="B1197" s="63" t="s">
        <v>415</v>
      </c>
      <c r="C1197" s="64" t="s">
        <v>1587</v>
      </c>
      <c r="D1197" s="65"/>
      <c r="E1197" s="67">
        <v>87262984</v>
      </c>
      <c r="F1197" s="67">
        <v>46462</v>
      </c>
      <c r="G1197" s="67" t="s">
        <v>1196</v>
      </c>
      <c r="H1197" s="87">
        <v>320</v>
      </c>
      <c r="I1197" s="68">
        <f t="shared" si="116"/>
        <v>640</v>
      </c>
      <c r="J1197" s="45" t="s">
        <v>47</v>
      </c>
      <c r="K1197" s="68" t="s">
        <v>33</v>
      </c>
      <c r="L1197" s="69">
        <v>320</v>
      </c>
      <c r="M1197" s="65"/>
      <c r="N1197" s="69"/>
      <c r="O1197" s="67" t="s">
        <v>1569</v>
      </c>
      <c r="P1197" s="91"/>
      <c r="Q1197" s="71"/>
      <c r="R1197" s="71"/>
      <c r="S1197" s="71"/>
      <c r="T1197" s="72"/>
      <c r="U1197" s="73"/>
      <c r="V1197" s="12"/>
    </row>
    <row r="1198" s="1" customFormat="1" ht="29.1" customHeight="1" spans="1:22">
      <c r="A1198" s="62">
        <v>46196</v>
      </c>
      <c r="B1198" s="63" t="s">
        <v>415</v>
      </c>
      <c r="C1198" s="64" t="s">
        <v>1587</v>
      </c>
      <c r="D1198" s="65"/>
      <c r="E1198" s="67">
        <v>87263260</v>
      </c>
      <c r="F1198" s="67">
        <v>46496</v>
      </c>
      <c r="G1198" s="67" t="s">
        <v>1570</v>
      </c>
      <c r="H1198" s="87">
        <v>440</v>
      </c>
      <c r="I1198" s="68">
        <f t="shared" si="116"/>
        <v>880</v>
      </c>
      <c r="J1198" s="45" t="s">
        <v>47</v>
      </c>
      <c r="K1198" s="68" t="s">
        <v>33</v>
      </c>
      <c r="L1198" s="69">
        <v>440</v>
      </c>
      <c r="M1198" s="65"/>
      <c r="N1198" s="69"/>
      <c r="O1198" s="67" t="s">
        <v>1569</v>
      </c>
      <c r="P1198" s="91"/>
      <c r="Q1198" s="71"/>
      <c r="R1198" s="71"/>
      <c r="S1198" s="71"/>
      <c r="T1198" s="72"/>
      <c r="U1198" s="73"/>
      <c r="V1198" s="12"/>
    </row>
    <row r="1199" s="1" customFormat="1" ht="29.1" customHeight="1" spans="1:22">
      <c r="A1199" s="62">
        <v>46196</v>
      </c>
      <c r="B1199" s="63" t="s">
        <v>415</v>
      </c>
      <c r="C1199" s="64" t="s">
        <v>1587</v>
      </c>
      <c r="D1199" s="65"/>
      <c r="E1199" s="67">
        <v>87268187</v>
      </c>
      <c r="F1199" s="67">
        <v>46911</v>
      </c>
      <c r="G1199" s="67" t="s">
        <v>1575</v>
      </c>
      <c r="H1199" s="87">
        <v>32</v>
      </c>
      <c r="I1199" s="68">
        <f t="shared" si="116"/>
        <v>64</v>
      </c>
      <c r="J1199" s="45" t="s">
        <v>47</v>
      </c>
      <c r="K1199" s="68" t="s">
        <v>33</v>
      </c>
      <c r="L1199" s="69">
        <v>32</v>
      </c>
      <c r="M1199" s="65"/>
      <c r="N1199" s="69"/>
      <c r="O1199" s="67" t="s">
        <v>1569</v>
      </c>
      <c r="P1199" s="91"/>
      <c r="Q1199" s="71"/>
      <c r="R1199" s="71"/>
      <c r="S1199" s="71"/>
      <c r="T1199" s="72"/>
      <c r="U1199" s="73"/>
      <c r="V1199" s="12"/>
    </row>
    <row r="1200" s="1" customFormat="1" ht="29.1" customHeight="1" spans="1:22">
      <c r="A1200" s="62">
        <v>46195</v>
      </c>
      <c r="B1200" s="63" t="s">
        <v>415</v>
      </c>
      <c r="C1200" s="64" t="s">
        <v>1586</v>
      </c>
      <c r="D1200" s="65"/>
      <c r="E1200" s="67">
        <v>87263260</v>
      </c>
      <c r="F1200" s="67">
        <v>46496</v>
      </c>
      <c r="G1200" s="67" t="s">
        <v>1570</v>
      </c>
      <c r="H1200" s="87">
        <v>287</v>
      </c>
      <c r="I1200" s="68">
        <f t="shared" si="116"/>
        <v>574</v>
      </c>
      <c r="J1200" s="45" t="s">
        <v>47</v>
      </c>
      <c r="K1200" s="68" t="s">
        <v>33</v>
      </c>
      <c r="L1200" s="69">
        <v>287</v>
      </c>
      <c r="M1200" s="65"/>
      <c r="N1200" s="69"/>
      <c r="O1200" s="67" t="s">
        <v>1569</v>
      </c>
      <c r="P1200" s="91"/>
      <c r="Q1200" s="71"/>
      <c r="R1200" s="71"/>
      <c r="S1200" s="71"/>
      <c r="T1200" s="72"/>
      <c r="U1200" s="73"/>
      <c r="V1200" s="12"/>
    </row>
    <row r="1201" s="1" customFormat="1" ht="29.1" customHeight="1" spans="1:22">
      <c r="A1201" s="62">
        <v>46195</v>
      </c>
      <c r="B1201" s="63" t="s">
        <v>415</v>
      </c>
      <c r="C1201" s="64" t="s">
        <v>1587</v>
      </c>
      <c r="D1201" s="65"/>
      <c r="E1201" s="67">
        <v>87268187</v>
      </c>
      <c r="F1201" s="67">
        <v>46911</v>
      </c>
      <c r="G1201" s="67" t="s">
        <v>1575</v>
      </c>
      <c r="H1201" s="87">
        <v>288</v>
      </c>
      <c r="I1201" s="68">
        <f t="shared" si="116"/>
        <v>576</v>
      </c>
      <c r="J1201" s="45" t="s">
        <v>47</v>
      </c>
      <c r="K1201" s="68" t="s">
        <v>33</v>
      </c>
      <c r="L1201" s="69">
        <v>288</v>
      </c>
      <c r="M1201" s="65"/>
      <c r="N1201" s="69"/>
      <c r="O1201" s="67" t="s">
        <v>1569</v>
      </c>
      <c r="P1201" s="91"/>
      <c r="Q1201" s="71"/>
      <c r="R1201" s="71"/>
      <c r="S1201" s="71"/>
      <c r="T1201" s="72"/>
      <c r="U1201" s="73"/>
      <c r="V1201" s="12"/>
    </row>
    <row r="1202" s="1" customFormat="1" ht="29.1" customHeight="1" spans="1:22">
      <c r="A1202" s="62">
        <v>46203</v>
      </c>
      <c r="B1202" s="63" t="s">
        <v>415</v>
      </c>
      <c r="C1202" s="64" t="s">
        <v>1590</v>
      </c>
      <c r="D1202" s="65"/>
      <c r="E1202" s="67">
        <v>87084187</v>
      </c>
      <c r="F1202" s="67">
        <v>46918</v>
      </c>
      <c r="G1202" s="67" t="s">
        <v>1568</v>
      </c>
      <c r="H1202" s="87">
        <v>351</v>
      </c>
      <c r="I1202" s="68">
        <f t="shared" si="116"/>
        <v>702</v>
      </c>
      <c r="J1202" s="45" t="s">
        <v>47</v>
      </c>
      <c r="K1202" s="68" t="s">
        <v>33</v>
      </c>
      <c r="L1202" s="69">
        <v>351</v>
      </c>
      <c r="M1202" s="65"/>
      <c r="N1202" s="69"/>
      <c r="O1202" s="67" t="s">
        <v>1569</v>
      </c>
      <c r="P1202" s="91"/>
      <c r="Q1202" s="71"/>
      <c r="R1202" s="71"/>
      <c r="S1202" s="71"/>
      <c r="T1202" s="72"/>
      <c r="U1202" s="73"/>
      <c r="V1202" s="12"/>
    </row>
    <row r="1203" s="1" customFormat="1" ht="29.1" customHeight="1" spans="1:22">
      <c r="A1203" s="62">
        <v>46203</v>
      </c>
      <c r="B1203" s="63" t="s">
        <v>415</v>
      </c>
      <c r="C1203" s="64" t="s">
        <v>1590</v>
      </c>
      <c r="D1203" s="65"/>
      <c r="E1203" s="67">
        <v>87084082</v>
      </c>
      <c r="F1203" s="67">
        <v>46919</v>
      </c>
      <c r="G1203" s="67" t="s">
        <v>1570</v>
      </c>
      <c r="H1203" s="87">
        <v>276</v>
      </c>
      <c r="I1203" s="68">
        <f t="shared" si="116"/>
        <v>552</v>
      </c>
      <c r="J1203" s="45" t="s">
        <v>47</v>
      </c>
      <c r="K1203" s="68" t="s">
        <v>33</v>
      </c>
      <c r="L1203" s="69">
        <v>276</v>
      </c>
      <c r="M1203" s="65"/>
      <c r="N1203" s="69"/>
      <c r="O1203" s="67" t="s">
        <v>1569</v>
      </c>
      <c r="P1203" s="91"/>
      <c r="Q1203" s="71"/>
      <c r="R1203" s="71"/>
      <c r="S1203" s="71"/>
      <c r="T1203" s="72"/>
      <c r="U1203" s="73"/>
      <c r="V1203" s="12"/>
    </row>
    <row r="1204" s="1" customFormat="1" ht="29.1" customHeight="1" spans="1:22">
      <c r="A1204" s="62">
        <v>46203</v>
      </c>
      <c r="B1204" s="63" t="s">
        <v>415</v>
      </c>
      <c r="C1204" s="64" t="s">
        <v>1591</v>
      </c>
      <c r="D1204" s="65"/>
      <c r="E1204" s="67">
        <v>87085223</v>
      </c>
      <c r="F1204" s="67">
        <v>11369</v>
      </c>
      <c r="G1204" s="67" t="s">
        <v>1572</v>
      </c>
      <c r="H1204" s="87">
        <v>175</v>
      </c>
      <c r="I1204" s="68">
        <f t="shared" si="116"/>
        <v>350</v>
      </c>
      <c r="J1204" s="68" t="s">
        <v>32</v>
      </c>
      <c r="K1204" s="68" t="s">
        <v>33</v>
      </c>
      <c r="L1204" s="69">
        <v>175</v>
      </c>
      <c r="M1204" s="65"/>
      <c r="N1204" s="69"/>
      <c r="O1204" s="67" t="s">
        <v>1569</v>
      </c>
      <c r="P1204" s="87"/>
      <c r="Q1204" s="71"/>
      <c r="R1204" s="71"/>
      <c r="S1204" s="71"/>
      <c r="T1204" s="72"/>
      <c r="U1204" s="73"/>
      <c r="V1204" s="12"/>
    </row>
    <row r="1205" s="1" customFormat="1" ht="29.1" customHeight="1" spans="1:22">
      <c r="A1205" s="62">
        <v>46202</v>
      </c>
      <c r="B1205" s="63" t="s">
        <v>1283</v>
      </c>
      <c r="C1205" s="64" t="s">
        <v>1510</v>
      </c>
      <c r="D1205" s="66" t="s">
        <v>1511</v>
      </c>
      <c r="E1205" s="67" t="s">
        <v>1592</v>
      </c>
      <c r="F1205" s="67" t="s">
        <v>51</v>
      </c>
      <c r="G1205" s="67" t="str">
        <f>VLOOKUP(F1205,[4]装箱单!$A:$C,3,0)</f>
        <v>鸭子</v>
      </c>
      <c r="H1205" s="67">
        <v>288</v>
      </c>
      <c r="I1205" s="68">
        <f t="shared" ref="I1205:I1211" si="117">+L1205*48</f>
        <v>13824</v>
      </c>
      <c r="J1205" s="68" t="s">
        <v>32</v>
      </c>
      <c r="K1205" s="68" t="s">
        <v>33</v>
      </c>
      <c r="L1205" s="69">
        <v>288</v>
      </c>
      <c r="M1205" s="65">
        <f t="shared" ref="M1205:M1226" si="118">+U1205</f>
        <v>11.771473824</v>
      </c>
      <c r="N1205" s="69" t="s">
        <v>34</v>
      </c>
      <c r="O1205" s="67"/>
      <c r="P1205" s="70" t="s">
        <v>1593</v>
      </c>
      <c r="Q1205" s="71">
        <f>VLOOKUP($F1205,[4]装箱单!$A:$E,5,0)</f>
        <v>37.15</v>
      </c>
      <c r="R1205" s="71">
        <f>VLOOKUP($F1205,[4]装箱单!$A:$F,6,0)</f>
        <v>33</v>
      </c>
      <c r="S1205" s="71">
        <f>VLOOKUP($F1205,[4]装箱单!$A:$G,7,0)</f>
        <v>33.34</v>
      </c>
      <c r="T1205" s="72">
        <f>VLOOKUP($F1205,[4]装箱单!$A:$J,10,0)</f>
        <v>0.040873173</v>
      </c>
      <c r="U1205" s="73">
        <f t="shared" ref="U1205:U1226" si="119">+T1205*L1205</f>
        <v>11.771473824</v>
      </c>
      <c r="V1205" s="12"/>
    </row>
    <row r="1206" s="1" customFormat="1" ht="29.1" customHeight="1" spans="1:22">
      <c r="A1206" s="62">
        <v>46202</v>
      </c>
      <c r="B1206" s="63" t="s">
        <v>1594</v>
      </c>
      <c r="C1206" s="64" t="s">
        <v>1595</v>
      </c>
      <c r="D1206" s="66" t="s">
        <v>1596</v>
      </c>
      <c r="E1206" s="67" t="s">
        <v>1597</v>
      </c>
      <c r="F1206" s="67" t="s">
        <v>51</v>
      </c>
      <c r="G1206" s="67" t="str">
        <f>VLOOKUP(F1206,[4]装箱单!$A:$C,3,0)</f>
        <v>鸭子</v>
      </c>
      <c r="H1206" s="67">
        <v>60</v>
      </c>
      <c r="I1206" s="68">
        <f t="shared" si="117"/>
        <v>2880</v>
      </c>
      <c r="J1206" s="68" t="s">
        <v>32</v>
      </c>
      <c r="K1206" s="68" t="s">
        <v>33</v>
      </c>
      <c r="L1206" s="69">
        <v>60</v>
      </c>
      <c r="M1206" s="65">
        <f t="shared" si="118"/>
        <v>2.45239038</v>
      </c>
      <c r="N1206" s="69" t="s">
        <v>34</v>
      </c>
      <c r="O1206" s="67"/>
      <c r="P1206" s="74"/>
      <c r="Q1206" s="71">
        <f>VLOOKUP($F1206,[4]装箱单!$A:$E,5,0)</f>
        <v>37.15</v>
      </c>
      <c r="R1206" s="71">
        <f>VLOOKUP($F1206,[4]装箱单!$A:$F,6,0)</f>
        <v>33</v>
      </c>
      <c r="S1206" s="71">
        <f>VLOOKUP($F1206,[4]装箱单!$A:$G,7,0)</f>
        <v>33.34</v>
      </c>
      <c r="T1206" s="72">
        <f>VLOOKUP($F1206,[4]装箱单!$A:$J,10,0)</f>
        <v>0.040873173</v>
      </c>
      <c r="U1206" s="73">
        <f t="shared" si="119"/>
        <v>2.45239038</v>
      </c>
      <c r="V1206" s="12"/>
    </row>
    <row r="1207" s="1" customFormat="1" ht="29.1" customHeight="1" spans="1:22">
      <c r="A1207" s="62">
        <v>46202</v>
      </c>
      <c r="B1207" s="63" t="s">
        <v>1594</v>
      </c>
      <c r="C1207" s="64" t="s">
        <v>1598</v>
      </c>
      <c r="D1207" s="66" t="s">
        <v>1599</v>
      </c>
      <c r="E1207" s="67" t="s">
        <v>1600</v>
      </c>
      <c r="F1207" s="67" t="s">
        <v>51</v>
      </c>
      <c r="G1207" s="67" t="str">
        <f>VLOOKUP(F1207,[4]装箱单!$A:$C,3,0)</f>
        <v>鸭子</v>
      </c>
      <c r="H1207" s="67">
        <v>80</v>
      </c>
      <c r="I1207" s="68">
        <f t="shared" si="117"/>
        <v>3840</v>
      </c>
      <c r="J1207" s="68" t="s">
        <v>32</v>
      </c>
      <c r="K1207" s="68" t="s">
        <v>33</v>
      </c>
      <c r="L1207" s="69">
        <v>80</v>
      </c>
      <c r="M1207" s="65">
        <f t="shared" si="118"/>
        <v>3.26985384</v>
      </c>
      <c r="N1207" s="69" t="s">
        <v>34</v>
      </c>
      <c r="O1207" s="67"/>
      <c r="P1207" s="74"/>
      <c r="Q1207" s="71">
        <f>VLOOKUP($F1207,[4]装箱单!$A:$E,5,0)</f>
        <v>37.15</v>
      </c>
      <c r="R1207" s="71">
        <f>VLOOKUP($F1207,[4]装箱单!$A:$F,6,0)</f>
        <v>33</v>
      </c>
      <c r="S1207" s="71">
        <f>VLOOKUP($F1207,[4]装箱单!$A:$G,7,0)</f>
        <v>33.34</v>
      </c>
      <c r="T1207" s="72">
        <f>VLOOKUP($F1207,[4]装箱单!$A:$J,10,0)</f>
        <v>0.040873173</v>
      </c>
      <c r="U1207" s="73">
        <f t="shared" si="119"/>
        <v>3.26985384</v>
      </c>
      <c r="V1207" s="12"/>
    </row>
    <row r="1208" s="1" customFormat="1" ht="29.1" customHeight="1" spans="1:22">
      <c r="A1208" s="62">
        <v>46202</v>
      </c>
      <c r="B1208" s="63" t="s">
        <v>1594</v>
      </c>
      <c r="C1208" s="64" t="s">
        <v>1601</v>
      </c>
      <c r="D1208" s="66" t="s">
        <v>1602</v>
      </c>
      <c r="E1208" s="67" t="s">
        <v>1603</v>
      </c>
      <c r="F1208" s="67" t="s">
        <v>51</v>
      </c>
      <c r="G1208" s="67" t="str">
        <f>VLOOKUP(F1208,[4]装箱单!$A:$C,3,0)</f>
        <v>鸭子</v>
      </c>
      <c r="H1208" s="67">
        <v>90</v>
      </c>
      <c r="I1208" s="68">
        <f t="shared" si="117"/>
        <v>4320</v>
      </c>
      <c r="J1208" s="68" t="s">
        <v>32</v>
      </c>
      <c r="K1208" s="68" t="s">
        <v>33</v>
      </c>
      <c r="L1208" s="69">
        <v>90</v>
      </c>
      <c r="M1208" s="65">
        <f t="shared" si="118"/>
        <v>3.67858557</v>
      </c>
      <c r="N1208" s="69" t="s">
        <v>34</v>
      </c>
      <c r="O1208" s="67"/>
      <c r="P1208" s="74"/>
      <c r="Q1208" s="71">
        <f>VLOOKUP($F1208,[4]装箱单!$A:$E,5,0)</f>
        <v>37.15</v>
      </c>
      <c r="R1208" s="71">
        <f>VLOOKUP($F1208,[4]装箱单!$A:$F,6,0)</f>
        <v>33</v>
      </c>
      <c r="S1208" s="71">
        <f>VLOOKUP($F1208,[4]装箱单!$A:$G,7,0)</f>
        <v>33.34</v>
      </c>
      <c r="T1208" s="72">
        <f>VLOOKUP($F1208,[4]装箱单!$A:$J,10,0)</f>
        <v>0.040873173</v>
      </c>
      <c r="U1208" s="73">
        <f t="shared" si="119"/>
        <v>3.67858557</v>
      </c>
      <c r="V1208" s="12"/>
    </row>
    <row r="1209" s="1" customFormat="1" ht="29.1" customHeight="1" spans="1:22">
      <c r="A1209" s="62">
        <v>46202</v>
      </c>
      <c r="B1209" s="63" t="s">
        <v>1594</v>
      </c>
      <c r="C1209" s="64" t="s">
        <v>1604</v>
      </c>
      <c r="D1209" s="66" t="s">
        <v>1605</v>
      </c>
      <c r="E1209" s="67" t="s">
        <v>1606</v>
      </c>
      <c r="F1209" s="67" t="s">
        <v>51</v>
      </c>
      <c r="G1209" s="67" t="str">
        <f>VLOOKUP(F1209,[4]装箱单!$A:$C,3,0)</f>
        <v>鸭子</v>
      </c>
      <c r="H1209" s="67">
        <v>60</v>
      </c>
      <c r="I1209" s="68">
        <f t="shared" si="117"/>
        <v>2880</v>
      </c>
      <c r="J1209" s="68" t="s">
        <v>32</v>
      </c>
      <c r="K1209" s="68" t="s">
        <v>33</v>
      </c>
      <c r="L1209" s="69">
        <v>60</v>
      </c>
      <c r="M1209" s="65">
        <f t="shared" si="118"/>
        <v>2.45239038</v>
      </c>
      <c r="N1209" s="69" t="s">
        <v>34</v>
      </c>
      <c r="O1209" s="67"/>
      <c r="P1209" s="74"/>
      <c r="Q1209" s="71">
        <f>VLOOKUP($F1209,[4]装箱单!$A:$E,5,0)</f>
        <v>37.15</v>
      </c>
      <c r="R1209" s="71">
        <f>VLOOKUP($F1209,[4]装箱单!$A:$F,6,0)</f>
        <v>33</v>
      </c>
      <c r="S1209" s="71">
        <f>VLOOKUP($F1209,[4]装箱单!$A:$G,7,0)</f>
        <v>33.34</v>
      </c>
      <c r="T1209" s="72">
        <f>VLOOKUP($F1209,[4]装箱单!$A:$J,10,0)</f>
        <v>0.040873173</v>
      </c>
      <c r="U1209" s="73">
        <f t="shared" si="119"/>
        <v>2.45239038</v>
      </c>
      <c r="V1209" s="12"/>
    </row>
    <row r="1210" s="1" customFormat="1" ht="29.1" customHeight="1" spans="1:22">
      <c r="A1210" s="62">
        <v>46202</v>
      </c>
      <c r="B1210" s="63" t="s">
        <v>1594</v>
      </c>
      <c r="C1210" s="64" t="s">
        <v>1607</v>
      </c>
      <c r="D1210" s="66" t="s">
        <v>1608</v>
      </c>
      <c r="E1210" s="67" t="s">
        <v>1609</v>
      </c>
      <c r="F1210" s="67" t="s">
        <v>51</v>
      </c>
      <c r="G1210" s="67" t="str">
        <f>VLOOKUP(F1210,[4]装箱单!$A:$C,3,0)</f>
        <v>鸭子</v>
      </c>
      <c r="H1210" s="67">
        <v>80</v>
      </c>
      <c r="I1210" s="68">
        <f t="shared" si="117"/>
        <v>3840</v>
      </c>
      <c r="J1210" s="68" t="s">
        <v>32</v>
      </c>
      <c r="K1210" s="68" t="s">
        <v>33</v>
      </c>
      <c r="L1210" s="69">
        <v>80</v>
      </c>
      <c r="M1210" s="65">
        <f t="shared" si="118"/>
        <v>3.26985384</v>
      </c>
      <c r="N1210" s="69" t="s">
        <v>34</v>
      </c>
      <c r="O1210" s="67"/>
      <c r="P1210" s="74"/>
      <c r="Q1210" s="71">
        <f>VLOOKUP($F1210,[4]装箱单!$A:$E,5,0)</f>
        <v>37.15</v>
      </c>
      <c r="R1210" s="71">
        <f>VLOOKUP($F1210,[4]装箱单!$A:$F,6,0)</f>
        <v>33</v>
      </c>
      <c r="S1210" s="71">
        <f>VLOOKUP($F1210,[4]装箱单!$A:$G,7,0)</f>
        <v>33.34</v>
      </c>
      <c r="T1210" s="72">
        <f>VLOOKUP($F1210,[4]装箱单!$A:$J,10,0)</f>
        <v>0.040873173</v>
      </c>
      <c r="U1210" s="73">
        <f t="shared" si="119"/>
        <v>3.26985384</v>
      </c>
      <c r="V1210" s="12"/>
    </row>
    <row r="1211" s="1" customFormat="1" ht="29.1" customHeight="1" spans="1:22">
      <c r="A1211" s="62">
        <v>46202</v>
      </c>
      <c r="B1211" s="63" t="s">
        <v>1594</v>
      </c>
      <c r="C1211" s="64" t="s">
        <v>1610</v>
      </c>
      <c r="D1211" s="66" t="s">
        <v>1611</v>
      </c>
      <c r="E1211" s="67" t="s">
        <v>1612</v>
      </c>
      <c r="F1211" s="67" t="s">
        <v>51</v>
      </c>
      <c r="G1211" s="67" t="str">
        <f>VLOOKUP(F1211,[4]装箱单!$A:$C,3,0)</f>
        <v>鸭子</v>
      </c>
      <c r="H1211" s="67">
        <v>90</v>
      </c>
      <c r="I1211" s="68">
        <f t="shared" si="117"/>
        <v>4320</v>
      </c>
      <c r="J1211" s="68" t="s">
        <v>32</v>
      </c>
      <c r="K1211" s="68" t="s">
        <v>33</v>
      </c>
      <c r="L1211" s="69">
        <v>90</v>
      </c>
      <c r="M1211" s="65">
        <f t="shared" si="118"/>
        <v>3.67858557</v>
      </c>
      <c r="N1211" s="69" t="s">
        <v>34</v>
      </c>
      <c r="O1211" s="67"/>
      <c r="P1211" s="74"/>
      <c r="Q1211" s="71">
        <f>VLOOKUP($F1211,[4]装箱单!$A:$E,5,0)</f>
        <v>37.15</v>
      </c>
      <c r="R1211" s="71">
        <f>VLOOKUP($F1211,[4]装箱单!$A:$F,6,0)</f>
        <v>33</v>
      </c>
      <c r="S1211" s="71">
        <f>VLOOKUP($F1211,[4]装箱单!$A:$G,7,0)</f>
        <v>33.34</v>
      </c>
      <c r="T1211" s="72">
        <f>VLOOKUP($F1211,[4]装箱单!$A:$J,10,0)</f>
        <v>0.040873173</v>
      </c>
      <c r="U1211" s="73">
        <f t="shared" si="119"/>
        <v>3.67858557</v>
      </c>
      <c r="V1211" s="12"/>
    </row>
    <row r="1212" s="1" customFormat="1" ht="29.1" customHeight="1" spans="1:22">
      <c r="A1212" s="62">
        <v>46202</v>
      </c>
      <c r="B1212" s="63" t="s">
        <v>1613</v>
      </c>
      <c r="C1212" s="64" t="s">
        <v>1614</v>
      </c>
      <c r="D1212" s="66" t="s">
        <v>1615</v>
      </c>
      <c r="E1212" s="67"/>
      <c r="F1212" s="67" t="s">
        <v>279</v>
      </c>
      <c r="G1212" s="67" t="str">
        <f>VLOOKUP(F1212,[4]装箱单!$A:$C,3,0)</f>
        <v>假日小鸭</v>
      </c>
      <c r="H1212" s="67">
        <v>417</v>
      </c>
      <c r="I1212" s="68">
        <f>+L1212*18</f>
        <v>7506</v>
      </c>
      <c r="J1212" s="68" t="s">
        <v>32</v>
      </c>
      <c r="K1212" s="68" t="s">
        <v>33</v>
      </c>
      <c r="L1212" s="69">
        <v>417</v>
      </c>
      <c r="M1212" s="65">
        <f t="shared" si="118"/>
        <v>2.4156862573275</v>
      </c>
      <c r="N1212" s="69" t="s">
        <v>34</v>
      </c>
      <c r="O1212" s="67"/>
      <c r="P1212" s="74"/>
      <c r="Q1212" s="71">
        <f>VLOOKUP($F1212,[4]装箱单!$A:$E,5,0)</f>
        <v>32.385</v>
      </c>
      <c r="R1212" s="71">
        <f>VLOOKUP($F1212,[4]装箱单!$A:$F,6,0)</f>
        <v>18.78</v>
      </c>
      <c r="S1212" s="71">
        <f>VLOOKUP($F1212,[4]装箱单!$A:$G,7,0)</f>
        <v>9.525</v>
      </c>
      <c r="T1212" s="72">
        <f>VLOOKUP($F1212,[4]装箱单!$A:$J,10,0)</f>
        <v>0.0057930126075</v>
      </c>
      <c r="U1212" s="73">
        <f t="shared" si="119"/>
        <v>2.4156862573275</v>
      </c>
      <c r="V1212" s="12"/>
    </row>
    <row r="1213" s="1" customFormat="1" ht="29.1" customHeight="1" spans="1:22">
      <c r="A1213" s="62">
        <v>46202</v>
      </c>
      <c r="B1213" s="63" t="s">
        <v>1613</v>
      </c>
      <c r="C1213" s="64" t="s">
        <v>1614</v>
      </c>
      <c r="D1213" s="66" t="s">
        <v>1615</v>
      </c>
      <c r="E1213" s="67"/>
      <c r="F1213" s="67" t="s">
        <v>280</v>
      </c>
      <c r="G1213" s="67" t="str">
        <f>VLOOKUP(F1213,[4]装箱单!$A:$C,3,0)</f>
        <v>鸭子</v>
      </c>
      <c r="H1213" s="67">
        <v>417</v>
      </c>
      <c r="I1213" s="68">
        <f>+L1213*18</f>
        <v>7506</v>
      </c>
      <c r="J1213" s="68" t="s">
        <v>32</v>
      </c>
      <c r="K1213" s="68" t="s">
        <v>33</v>
      </c>
      <c r="L1213" s="69">
        <v>417</v>
      </c>
      <c r="M1213" s="65">
        <f t="shared" si="118"/>
        <v>2.4156862573275</v>
      </c>
      <c r="N1213" s="69" t="s">
        <v>34</v>
      </c>
      <c r="O1213" s="67"/>
      <c r="P1213" s="74"/>
      <c r="Q1213" s="71">
        <f>VLOOKUP($F1213,[4]装箱单!$A:$E,5,0)</f>
        <v>32.385</v>
      </c>
      <c r="R1213" s="71">
        <f>VLOOKUP($F1213,[4]装箱单!$A:$F,6,0)</f>
        <v>18.78</v>
      </c>
      <c r="S1213" s="71">
        <f>VLOOKUP($F1213,[4]装箱单!$A:$G,7,0)</f>
        <v>9.525</v>
      </c>
      <c r="T1213" s="72">
        <f>VLOOKUP($F1213,[4]装箱单!$A:$J,10,0)</f>
        <v>0.0057930126075</v>
      </c>
      <c r="U1213" s="73">
        <f t="shared" si="119"/>
        <v>2.4156862573275</v>
      </c>
      <c r="V1213" s="12"/>
    </row>
    <row r="1214" s="1" customFormat="1" ht="29.1" customHeight="1" spans="1:22">
      <c r="A1214" s="62">
        <v>46202</v>
      </c>
      <c r="B1214" s="63" t="s">
        <v>40</v>
      </c>
      <c r="C1214" s="64" t="s">
        <v>1616</v>
      </c>
      <c r="D1214" s="66" t="s">
        <v>1617</v>
      </c>
      <c r="E1214" s="66">
        <v>994928897</v>
      </c>
      <c r="F1214" s="67">
        <v>28483</v>
      </c>
      <c r="G1214" s="67" t="str">
        <f>VLOOKUP(F1214,[4]装箱单!$A:$C,3,0)</f>
        <v>振动球</v>
      </c>
      <c r="H1214" s="67">
        <v>3060</v>
      </c>
      <c r="I1214" s="68">
        <f>+L1214</f>
        <v>3060</v>
      </c>
      <c r="J1214" s="68" t="s">
        <v>32</v>
      </c>
      <c r="K1214" s="68" t="s">
        <v>33</v>
      </c>
      <c r="L1214" s="69">
        <v>3060</v>
      </c>
      <c r="M1214" s="65">
        <f t="shared" si="118"/>
        <v>17.6644314</v>
      </c>
      <c r="N1214" s="69" t="s">
        <v>34</v>
      </c>
      <c r="O1214" s="67"/>
      <c r="P1214" s="74"/>
      <c r="Q1214" s="71">
        <f>VLOOKUP($F1214,[4]装箱单!$A:$E,5,0)</f>
        <v>16.83</v>
      </c>
      <c r="R1214" s="71">
        <f>VLOOKUP($F1214,[4]装箱单!$A:$F,6,0)</f>
        <v>17.15</v>
      </c>
      <c r="S1214" s="71">
        <f>VLOOKUP($F1214,[4]装箱单!$A:$G,7,0)</f>
        <v>20</v>
      </c>
      <c r="T1214" s="72">
        <f>VLOOKUP($F1214,[4]装箱单!$A:$J,10,0)</f>
        <v>0.00577269</v>
      </c>
      <c r="U1214" s="73">
        <f t="shared" si="119"/>
        <v>17.6644314</v>
      </c>
      <c r="V1214" s="12"/>
    </row>
    <row r="1215" s="1" customFormat="1" ht="29.1" customHeight="1" spans="1:22">
      <c r="A1215" s="62">
        <v>46202</v>
      </c>
      <c r="B1215" s="63" t="s">
        <v>40</v>
      </c>
      <c r="C1215" s="64" t="s">
        <v>1618</v>
      </c>
      <c r="D1215" s="66" t="s">
        <v>1619</v>
      </c>
      <c r="E1215" s="66">
        <v>994928922</v>
      </c>
      <c r="F1215" s="67">
        <v>28483</v>
      </c>
      <c r="G1215" s="67" t="str">
        <f>VLOOKUP(F1215,[4]装箱单!$A:$C,3,0)</f>
        <v>振动球</v>
      </c>
      <c r="H1215" s="67">
        <v>2520</v>
      </c>
      <c r="I1215" s="68">
        <f>+L1215</f>
        <v>1980</v>
      </c>
      <c r="J1215" s="68" t="s">
        <v>32</v>
      </c>
      <c r="K1215" s="68" t="s">
        <v>33</v>
      </c>
      <c r="L1215" s="69">
        <v>1980</v>
      </c>
      <c r="M1215" s="65">
        <f t="shared" si="118"/>
        <v>11.4299262</v>
      </c>
      <c r="N1215" s="69" t="s">
        <v>34</v>
      </c>
      <c r="O1215" s="67"/>
      <c r="P1215" s="74"/>
      <c r="Q1215" s="71">
        <f>VLOOKUP($F1215,[4]装箱单!$A:$E,5,0)</f>
        <v>16.83</v>
      </c>
      <c r="R1215" s="71">
        <f>VLOOKUP($F1215,[4]装箱单!$A:$F,6,0)</f>
        <v>17.15</v>
      </c>
      <c r="S1215" s="71">
        <f>VLOOKUP($F1215,[4]装箱单!$A:$G,7,0)</f>
        <v>20</v>
      </c>
      <c r="T1215" s="72">
        <f>VLOOKUP($F1215,[4]装箱单!$A:$J,10,0)</f>
        <v>0.00577269</v>
      </c>
      <c r="U1215" s="73">
        <f t="shared" si="119"/>
        <v>11.4299262</v>
      </c>
      <c r="V1215" s="12"/>
    </row>
    <row r="1216" s="1" customFormat="1" ht="29.1" customHeight="1" spans="1:22">
      <c r="A1216" s="62">
        <v>46202</v>
      </c>
      <c r="B1216" s="63" t="s">
        <v>415</v>
      </c>
      <c r="C1216" s="64" t="s">
        <v>1420</v>
      </c>
      <c r="D1216" s="66" t="s">
        <v>1338</v>
      </c>
      <c r="E1216" s="67"/>
      <c r="F1216" s="67">
        <v>470764</v>
      </c>
      <c r="G1216" s="67" t="str">
        <f>VLOOKUP(F1216,[4]装箱单!$A:$C,3,0)</f>
        <v>大型自卸车</v>
      </c>
      <c r="H1216" s="67">
        <v>2494</v>
      </c>
      <c r="I1216" s="68">
        <f>+L1216</f>
        <v>400</v>
      </c>
      <c r="J1216" s="68" t="s">
        <v>32</v>
      </c>
      <c r="K1216" s="68" t="s">
        <v>33</v>
      </c>
      <c r="L1216" s="69">
        <v>400</v>
      </c>
      <c r="M1216" s="65">
        <f t="shared" si="118"/>
        <v>10.7184</v>
      </c>
      <c r="N1216" s="69" t="s">
        <v>34</v>
      </c>
      <c r="O1216" s="67"/>
      <c r="P1216" s="74"/>
      <c r="Q1216" s="71">
        <f>VLOOKUP($F1216,[4]装箱单!$A:$E,5,0)</f>
        <v>42</v>
      </c>
      <c r="R1216" s="71">
        <f>VLOOKUP($F1216,[4]装箱单!$A:$F,6,0)</f>
        <v>22</v>
      </c>
      <c r="S1216" s="71">
        <f>VLOOKUP($F1216,[4]装箱单!$A:$G,7,0)</f>
        <v>29</v>
      </c>
      <c r="T1216" s="72">
        <f>VLOOKUP($F1216,[4]装箱单!$A:$J,10,0)</f>
        <v>0.026796</v>
      </c>
      <c r="U1216" s="73">
        <f t="shared" si="119"/>
        <v>10.7184</v>
      </c>
      <c r="V1216" s="12"/>
    </row>
    <row r="1217" s="1" customFormat="1" ht="29.1" customHeight="1" spans="1:22">
      <c r="A1217" s="62">
        <v>46202</v>
      </c>
      <c r="B1217" s="63" t="s">
        <v>1620</v>
      </c>
      <c r="C1217" s="64" t="s">
        <v>1621</v>
      </c>
      <c r="D1217" s="66" t="s">
        <v>1622</v>
      </c>
      <c r="E1217" s="67" t="s">
        <v>1623</v>
      </c>
      <c r="F1217" s="67" t="s">
        <v>111</v>
      </c>
      <c r="G1217" s="67" t="str">
        <f>VLOOKUP(F1217,[4]装箱单!$A:$C,3,0)</f>
        <v>鸭子</v>
      </c>
      <c r="H1217" s="67">
        <v>556</v>
      </c>
      <c r="I1217" s="68">
        <f>+L1217*18</f>
        <v>10008</v>
      </c>
      <c r="J1217" s="68" t="s">
        <v>32</v>
      </c>
      <c r="K1217" s="68" t="s">
        <v>33</v>
      </c>
      <c r="L1217" s="69">
        <v>556</v>
      </c>
      <c r="M1217" s="65">
        <f t="shared" si="118"/>
        <v>3.22091500977</v>
      </c>
      <c r="N1217" s="69" t="s">
        <v>34</v>
      </c>
      <c r="O1217" s="67"/>
      <c r="P1217" s="74"/>
      <c r="Q1217" s="71">
        <f>VLOOKUP($F1217,[4]装箱单!$A:$E,5,0)</f>
        <v>32.385</v>
      </c>
      <c r="R1217" s="71">
        <f>VLOOKUP($F1217,[4]装箱单!$A:$F,6,0)</f>
        <v>18.78</v>
      </c>
      <c r="S1217" s="71">
        <f>VLOOKUP($F1217,[4]装箱单!$A:$G,7,0)</f>
        <v>9.525</v>
      </c>
      <c r="T1217" s="72">
        <f>VLOOKUP($F1217,[4]装箱单!$A:$J,10,0)</f>
        <v>0.0057930126075</v>
      </c>
      <c r="U1217" s="73">
        <f t="shared" si="119"/>
        <v>3.22091500977</v>
      </c>
      <c r="V1217" s="12"/>
    </row>
    <row r="1218" s="1" customFormat="1" ht="29.1" customHeight="1" spans="1:22">
      <c r="A1218" s="62">
        <v>46202</v>
      </c>
      <c r="B1218" s="63" t="s">
        <v>1620</v>
      </c>
      <c r="C1218" s="64" t="s">
        <v>1621</v>
      </c>
      <c r="D1218" s="66" t="s">
        <v>1622</v>
      </c>
      <c r="E1218" s="67" t="s">
        <v>1623</v>
      </c>
      <c r="F1218" s="67" t="s">
        <v>45</v>
      </c>
      <c r="G1218" s="67" t="str">
        <f>VLOOKUP(F1218,[4]装箱单!$A:$C,3,0)</f>
        <v>鸭子</v>
      </c>
      <c r="H1218" s="67">
        <v>556</v>
      </c>
      <c r="I1218" s="68">
        <f>+L1218*18</f>
        <v>10008</v>
      </c>
      <c r="J1218" s="68" t="s">
        <v>32</v>
      </c>
      <c r="K1218" s="68" t="s">
        <v>33</v>
      </c>
      <c r="L1218" s="69">
        <v>556</v>
      </c>
      <c r="M1218" s="65">
        <f t="shared" si="118"/>
        <v>3.22091500977</v>
      </c>
      <c r="N1218" s="69" t="s">
        <v>34</v>
      </c>
      <c r="O1218" s="67"/>
      <c r="P1218" s="74"/>
      <c r="Q1218" s="71">
        <f>VLOOKUP($F1218,[4]装箱单!$A:$E,5,0)</f>
        <v>32.385</v>
      </c>
      <c r="R1218" s="71">
        <f>VLOOKUP($F1218,[4]装箱单!$A:$F,6,0)</f>
        <v>18.78</v>
      </c>
      <c r="S1218" s="71">
        <f>VLOOKUP($F1218,[4]装箱单!$A:$G,7,0)</f>
        <v>9.525</v>
      </c>
      <c r="T1218" s="72">
        <f>VLOOKUP($F1218,[4]装箱单!$A:$J,10,0)</f>
        <v>0.0057930126075</v>
      </c>
      <c r="U1218" s="73">
        <f t="shared" si="119"/>
        <v>3.22091500977</v>
      </c>
      <c r="V1218" s="12"/>
    </row>
    <row r="1219" s="1" customFormat="1" ht="29.1" customHeight="1" spans="1:22">
      <c r="A1219" s="62">
        <v>46202</v>
      </c>
      <c r="B1219" s="63" t="s">
        <v>1624</v>
      </c>
      <c r="C1219" s="64" t="s">
        <v>1614</v>
      </c>
      <c r="D1219" s="66" t="s">
        <v>1615</v>
      </c>
      <c r="E1219" s="67"/>
      <c r="F1219" s="67" t="s">
        <v>45</v>
      </c>
      <c r="G1219" s="67" t="str">
        <f>VLOOKUP(F1219,[4]装箱单!$A:$C,3,0)</f>
        <v>鸭子</v>
      </c>
      <c r="H1219" s="67">
        <v>556</v>
      </c>
      <c r="I1219" s="68">
        <f>+L1219*18</f>
        <v>10008</v>
      </c>
      <c r="J1219" s="68" t="s">
        <v>32</v>
      </c>
      <c r="K1219" s="68" t="s">
        <v>33</v>
      </c>
      <c r="L1219" s="69">
        <v>556</v>
      </c>
      <c r="M1219" s="65">
        <f t="shared" si="118"/>
        <v>3.22091500977</v>
      </c>
      <c r="N1219" s="69" t="s">
        <v>34</v>
      </c>
      <c r="O1219" s="67"/>
      <c r="P1219" s="74"/>
      <c r="Q1219" s="71">
        <f>VLOOKUP($F1219,[4]装箱单!$A:$E,5,0)</f>
        <v>32.385</v>
      </c>
      <c r="R1219" s="71">
        <f>VLOOKUP($F1219,[4]装箱单!$A:$F,6,0)</f>
        <v>18.78</v>
      </c>
      <c r="S1219" s="71">
        <f>VLOOKUP($F1219,[4]装箱单!$A:$G,7,0)</f>
        <v>9.525</v>
      </c>
      <c r="T1219" s="72">
        <f>VLOOKUP($F1219,[4]装箱单!$A:$J,10,0)</f>
        <v>0.0057930126075</v>
      </c>
      <c r="U1219" s="73">
        <f t="shared" si="119"/>
        <v>3.22091500977</v>
      </c>
      <c r="V1219" s="12"/>
    </row>
    <row r="1220" s="1" customFormat="1" ht="29.1" customHeight="1" spans="1:22">
      <c r="A1220" s="62">
        <v>46202</v>
      </c>
      <c r="B1220" s="63" t="s">
        <v>1625</v>
      </c>
      <c r="C1220" s="64" t="s">
        <v>1626</v>
      </c>
      <c r="D1220" s="66" t="s">
        <v>1627</v>
      </c>
      <c r="E1220" s="67" t="s">
        <v>1628</v>
      </c>
      <c r="F1220" s="67" t="s">
        <v>1161</v>
      </c>
      <c r="G1220" s="67" t="str">
        <f>VLOOKUP(F1220,[4]装箱单!$A:$C,3,0)</f>
        <v>搪胶小鸭</v>
      </c>
      <c r="H1220" s="67">
        <v>150</v>
      </c>
      <c r="I1220" s="68">
        <f>+L1220*18</f>
        <v>2700</v>
      </c>
      <c r="J1220" s="68" t="s">
        <v>32</v>
      </c>
      <c r="K1220" s="68" t="s">
        <v>33</v>
      </c>
      <c r="L1220" s="69">
        <v>150</v>
      </c>
      <c r="M1220" s="65">
        <f t="shared" si="118"/>
        <v>0.8775272772</v>
      </c>
      <c r="N1220" s="69" t="s">
        <v>34</v>
      </c>
      <c r="O1220" s="67"/>
      <c r="P1220" s="74"/>
      <c r="Q1220" s="71">
        <f>VLOOKUP($F1220,[4]装箱单!$A:$E,5,0)</f>
        <v>32.385</v>
      </c>
      <c r="R1220" s="71">
        <f>VLOOKUP($F1220,[4]装箱单!$A:$F,6,0)</f>
        <v>17.78</v>
      </c>
      <c r="S1220" s="71">
        <f>VLOOKUP($F1220,[4]装箱单!$A:$G,7,0)</f>
        <v>10.16</v>
      </c>
      <c r="T1220" s="72">
        <f>VLOOKUP($F1220,[4]装箱单!$A:$J,10,0)</f>
        <v>0.005850181848</v>
      </c>
      <c r="U1220" s="73">
        <f t="shared" si="119"/>
        <v>0.8775272772</v>
      </c>
      <c r="V1220" s="12"/>
    </row>
    <row r="1221" s="1" customFormat="1" ht="29.1" customHeight="1" spans="1:22">
      <c r="A1221" s="62">
        <v>46202</v>
      </c>
      <c r="B1221" s="63" t="s">
        <v>1629</v>
      </c>
      <c r="C1221" s="64" t="s">
        <v>1630</v>
      </c>
      <c r="D1221" s="66" t="s">
        <v>1631</v>
      </c>
      <c r="E1221" s="67">
        <v>4504222790</v>
      </c>
      <c r="F1221" s="67">
        <v>46496</v>
      </c>
      <c r="G1221" s="67" t="str">
        <f>VLOOKUP(F1221,[4]装箱单!$A:$C,3,0)</f>
        <v>米妮系列</v>
      </c>
      <c r="H1221" s="67">
        <v>390</v>
      </c>
      <c r="I1221" s="68">
        <f t="shared" ref="I1221:I1226" si="120">+L1221*2</f>
        <v>780</v>
      </c>
      <c r="J1221" s="45" t="s">
        <v>47</v>
      </c>
      <c r="K1221" s="68" t="s">
        <v>33</v>
      </c>
      <c r="L1221" s="69">
        <v>390</v>
      </c>
      <c r="M1221" s="65">
        <f t="shared" si="118"/>
        <v>8.72263003248</v>
      </c>
      <c r="N1221" s="69" t="s">
        <v>34</v>
      </c>
      <c r="O1221" s="67"/>
      <c r="P1221" s="74"/>
      <c r="Q1221" s="71">
        <f>VLOOKUP($F1221,[4]装箱单!$A:$E,5,0)</f>
        <v>40.01</v>
      </c>
      <c r="R1221" s="71">
        <f>VLOOKUP($F1221,[4]装箱单!$A:$F,6,0)</f>
        <v>26.67</v>
      </c>
      <c r="S1221" s="71">
        <f>VLOOKUP($F1221,[4]装箱单!$A:$G,7,0)</f>
        <v>20.96</v>
      </c>
      <c r="T1221" s="72">
        <f>VLOOKUP($F1221,[4]装箱单!$A:$J,10,0)</f>
        <v>0.022365718032</v>
      </c>
      <c r="U1221" s="73">
        <f t="shared" si="119"/>
        <v>8.72263003248</v>
      </c>
      <c r="V1221" s="12"/>
    </row>
    <row r="1222" s="1" customFormat="1" ht="29.1" customHeight="1" spans="1:22">
      <c r="A1222" s="62">
        <v>46202</v>
      </c>
      <c r="B1222" s="63" t="s">
        <v>1629</v>
      </c>
      <c r="C1222" s="64" t="s">
        <v>1630</v>
      </c>
      <c r="D1222" s="66" t="s">
        <v>1631</v>
      </c>
      <c r="E1222" s="67">
        <v>4504222790</v>
      </c>
      <c r="F1222" s="67">
        <v>46462</v>
      </c>
      <c r="G1222" s="67" t="str">
        <f>VLOOKUP(F1222,[4]装箱单!$A:$C,3,0)</f>
        <v>史迪仔系列</v>
      </c>
      <c r="H1222" s="67">
        <v>350</v>
      </c>
      <c r="I1222" s="68">
        <f t="shared" si="120"/>
        <v>700</v>
      </c>
      <c r="J1222" s="45" t="s">
        <v>47</v>
      </c>
      <c r="K1222" s="68" t="s">
        <v>33</v>
      </c>
      <c r="L1222" s="69">
        <v>350</v>
      </c>
      <c r="M1222" s="65">
        <f t="shared" si="118"/>
        <v>7.8280013112</v>
      </c>
      <c r="N1222" s="69" t="s">
        <v>34</v>
      </c>
      <c r="O1222" s="67"/>
      <c r="P1222" s="74"/>
      <c r="Q1222" s="71">
        <f>VLOOKUP($F1222,[4]装箱单!$A:$E,5,0)</f>
        <v>40.01</v>
      </c>
      <c r="R1222" s="71">
        <f>VLOOKUP($F1222,[4]装箱单!$A:$F,6,0)</f>
        <v>26.67</v>
      </c>
      <c r="S1222" s="71">
        <f>VLOOKUP($F1222,[4]装箱单!$A:$G,7,0)</f>
        <v>20.96</v>
      </c>
      <c r="T1222" s="72">
        <f>VLOOKUP($F1222,[4]装箱单!$A:$J,10,0)</f>
        <v>0.022365718032</v>
      </c>
      <c r="U1222" s="73">
        <f t="shared" si="119"/>
        <v>7.8280013112</v>
      </c>
      <c r="V1222" s="12"/>
    </row>
    <row r="1223" s="1" customFormat="1" ht="29.1" customHeight="1" spans="1:22">
      <c r="A1223" s="62">
        <v>46202</v>
      </c>
      <c r="B1223" s="63" t="s">
        <v>1632</v>
      </c>
      <c r="C1223" s="64" t="s">
        <v>1626</v>
      </c>
      <c r="D1223" s="66" t="s">
        <v>1627</v>
      </c>
      <c r="E1223" s="67" t="s">
        <v>1628</v>
      </c>
      <c r="F1223" s="67">
        <v>46462</v>
      </c>
      <c r="G1223" s="67" t="str">
        <f>VLOOKUP(F1223,[4]装箱单!$A:$C,3,0)</f>
        <v>史迪仔系列</v>
      </c>
      <c r="H1223" s="67">
        <v>120</v>
      </c>
      <c r="I1223" s="68">
        <f t="shared" si="120"/>
        <v>240</v>
      </c>
      <c r="J1223" s="45" t="s">
        <v>47</v>
      </c>
      <c r="K1223" s="68" t="s">
        <v>33</v>
      </c>
      <c r="L1223" s="69">
        <v>120</v>
      </c>
      <c r="M1223" s="65">
        <f t="shared" si="118"/>
        <v>2.68388616384</v>
      </c>
      <c r="N1223" s="69" t="s">
        <v>34</v>
      </c>
      <c r="O1223" s="67"/>
      <c r="P1223" s="74"/>
      <c r="Q1223" s="71">
        <f>VLOOKUP($F1223,[4]装箱单!$A:$E,5,0)</f>
        <v>40.01</v>
      </c>
      <c r="R1223" s="71">
        <f>VLOOKUP($F1223,[4]装箱单!$A:$F,6,0)</f>
        <v>26.67</v>
      </c>
      <c r="S1223" s="71">
        <f>VLOOKUP($F1223,[4]装箱单!$A:$G,7,0)</f>
        <v>20.96</v>
      </c>
      <c r="T1223" s="72">
        <f>VLOOKUP($F1223,[4]装箱单!$A:$J,10,0)</f>
        <v>0.022365718032</v>
      </c>
      <c r="U1223" s="73">
        <f t="shared" si="119"/>
        <v>2.68388616384</v>
      </c>
      <c r="V1223" s="12"/>
    </row>
    <row r="1224" s="1" customFormat="1" ht="29.1" customHeight="1" spans="1:22">
      <c r="A1224" s="62">
        <v>46202</v>
      </c>
      <c r="B1224" s="63" t="s">
        <v>1629</v>
      </c>
      <c r="C1224" s="64" t="s">
        <v>1630</v>
      </c>
      <c r="D1224" s="66" t="s">
        <v>1631</v>
      </c>
      <c r="E1224" s="67">
        <v>4504222790</v>
      </c>
      <c r="F1224" s="67">
        <v>46134</v>
      </c>
      <c r="G1224" s="67" t="str">
        <f>VLOOKUP(F1224,[4]装箱单!$A:$C,3,0)</f>
        <v>海洋奇缘系列</v>
      </c>
      <c r="H1224" s="67">
        <v>300</v>
      </c>
      <c r="I1224" s="68">
        <f t="shared" si="120"/>
        <v>600</v>
      </c>
      <c r="J1224" s="45" t="s">
        <v>47</v>
      </c>
      <c r="K1224" s="68" t="s">
        <v>33</v>
      </c>
      <c r="L1224" s="69">
        <v>300</v>
      </c>
      <c r="M1224" s="65">
        <f t="shared" si="118"/>
        <v>6.7097154096</v>
      </c>
      <c r="N1224" s="69" t="s">
        <v>34</v>
      </c>
      <c r="O1224" s="67"/>
      <c r="P1224" s="74"/>
      <c r="Q1224" s="71">
        <f>VLOOKUP($F1224,[4]装箱单!$A:$E,5,0)</f>
        <v>40.01</v>
      </c>
      <c r="R1224" s="71">
        <f>VLOOKUP($F1224,[4]装箱单!$A:$F,6,0)</f>
        <v>26.67</v>
      </c>
      <c r="S1224" s="71">
        <f>VLOOKUP($F1224,[4]装箱单!$A:$G,7,0)</f>
        <v>20.96</v>
      </c>
      <c r="T1224" s="72">
        <f>VLOOKUP($F1224,[4]装箱单!$A:$J,10,0)</f>
        <v>0.022365718032</v>
      </c>
      <c r="U1224" s="73">
        <f t="shared" si="119"/>
        <v>6.7097154096</v>
      </c>
      <c r="V1224" s="12"/>
    </row>
    <row r="1225" s="1" customFormat="1" ht="29.1" customHeight="1" spans="1:22">
      <c r="A1225" s="62">
        <v>46202</v>
      </c>
      <c r="B1225" s="63" t="s">
        <v>1190</v>
      </c>
      <c r="C1225" s="64" t="s">
        <v>1633</v>
      </c>
      <c r="D1225" s="66" t="s">
        <v>1634</v>
      </c>
      <c r="E1225" s="67" t="s">
        <v>1635</v>
      </c>
      <c r="F1225" s="67">
        <v>46133</v>
      </c>
      <c r="G1225" s="67" t="str">
        <f>VLOOKUP(F1225,[4]装箱单!$A:$C,3,0)</f>
        <v>小美人鱼系列</v>
      </c>
      <c r="H1225" s="67">
        <v>500</v>
      </c>
      <c r="I1225" s="68">
        <f t="shared" si="120"/>
        <v>1000</v>
      </c>
      <c r="J1225" s="45" t="s">
        <v>47</v>
      </c>
      <c r="K1225" s="68" t="s">
        <v>33</v>
      </c>
      <c r="L1225" s="69">
        <v>500</v>
      </c>
      <c r="M1225" s="65">
        <f t="shared" si="118"/>
        <v>11.182859016</v>
      </c>
      <c r="N1225" s="69" t="s">
        <v>34</v>
      </c>
      <c r="O1225" s="67"/>
      <c r="P1225" s="74"/>
      <c r="Q1225" s="71">
        <f>VLOOKUP($F1225,[4]装箱单!$A:$E,5,0)</f>
        <v>40.01</v>
      </c>
      <c r="R1225" s="71">
        <f>VLOOKUP($F1225,[4]装箱单!$A:$F,6,0)</f>
        <v>26.67</v>
      </c>
      <c r="S1225" s="71">
        <f>VLOOKUP($F1225,[4]装箱单!$A:$G,7,0)</f>
        <v>20.96</v>
      </c>
      <c r="T1225" s="72">
        <f>VLOOKUP($F1225,[4]装箱单!$A:$J,10,0)</f>
        <v>0.022365718032</v>
      </c>
      <c r="U1225" s="73">
        <f t="shared" si="119"/>
        <v>11.182859016</v>
      </c>
      <c r="V1225" s="12"/>
    </row>
    <row r="1226" s="1" customFormat="1" ht="29.1" customHeight="1" spans="1:22">
      <c r="A1226" s="62">
        <v>46202</v>
      </c>
      <c r="B1226" s="63" t="s">
        <v>1629</v>
      </c>
      <c r="C1226" s="64" t="s">
        <v>1630</v>
      </c>
      <c r="D1226" s="66" t="s">
        <v>1631</v>
      </c>
      <c r="E1226" s="67">
        <v>4504222790</v>
      </c>
      <c r="F1226" s="67">
        <v>46133</v>
      </c>
      <c r="G1226" s="67" t="str">
        <f>VLOOKUP(F1226,[4]装箱单!$A:$C,3,0)</f>
        <v>小美人鱼系列</v>
      </c>
      <c r="H1226" s="67">
        <v>280</v>
      </c>
      <c r="I1226" s="68">
        <f t="shared" si="120"/>
        <v>560</v>
      </c>
      <c r="J1226" s="45" t="s">
        <v>47</v>
      </c>
      <c r="K1226" s="68" t="s">
        <v>33</v>
      </c>
      <c r="L1226" s="69">
        <v>280</v>
      </c>
      <c r="M1226" s="65">
        <f t="shared" si="118"/>
        <v>6.26240104896</v>
      </c>
      <c r="N1226" s="69" t="s">
        <v>34</v>
      </c>
      <c r="O1226" s="67"/>
      <c r="P1226" s="74"/>
      <c r="Q1226" s="71">
        <f>VLOOKUP($F1226,[4]装箱单!$A:$E,5,0)</f>
        <v>40.01</v>
      </c>
      <c r="R1226" s="71">
        <f>VLOOKUP($F1226,[4]装箱单!$A:$F,6,0)</f>
        <v>26.67</v>
      </c>
      <c r="S1226" s="71">
        <f>VLOOKUP($F1226,[4]装箱单!$A:$G,7,0)</f>
        <v>20.96</v>
      </c>
      <c r="T1226" s="72">
        <f>VLOOKUP($F1226,[4]装箱单!$A:$J,10,0)</f>
        <v>0.022365718032</v>
      </c>
      <c r="U1226" s="73">
        <f t="shared" si="119"/>
        <v>6.26240104896</v>
      </c>
      <c r="V1226" s="12"/>
    </row>
    <row r="1227" s="1" customFormat="1" ht="29.1" customHeight="1" spans="1:22">
      <c r="A1227" s="62"/>
      <c r="B1227" s="63"/>
      <c r="C1227" s="64"/>
      <c r="D1227" s="66"/>
      <c r="E1227" s="67"/>
      <c r="F1227" s="67"/>
      <c r="G1227" s="67"/>
      <c r="H1227" s="67"/>
      <c r="I1227" s="68"/>
      <c r="J1227" s="68"/>
      <c r="K1227" s="68"/>
      <c r="L1227" s="69"/>
      <c r="M1227" s="65">
        <f>SUM(M1205:M1226)</f>
        <v>129.147028807245</v>
      </c>
      <c r="N1227" s="69"/>
      <c r="O1227" s="67"/>
      <c r="P1227" s="75"/>
      <c r="Q1227" s="71"/>
      <c r="R1227" s="71"/>
      <c r="S1227" s="71"/>
      <c r="T1227" s="72"/>
      <c r="U1227" s="73"/>
      <c r="V1227" s="12"/>
    </row>
    <row r="1228" s="1" customFormat="1" ht="29.1" customHeight="1" spans="1:22">
      <c r="A1228" s="62">
        <v>46203</v>
      </c>
      <c r="B1228" s="63" t="s">
        <v>415</v>
      </c>
      <c r="C1228" s="64" t="s">
        <v>1494</v>
      </c>
      <c r="D1228" s="66" t="s">
        <v>1338</v>
      </c>
      <c r="E1228" s="66" t="s">
        <v>1495</v>
      </c>
      <c r="F1228" s="67">
        <v>470764</v>
      </c>
      <c r="G1228" s="67" t="str">
        <f>VLOOKUP(F1228,[4]装箱单!$A:$C,3,0)</f>
        <v>大型自卸车</v>
      </c>
      <c r="H1228" s="67">
        <v>1461</v>
      </c>
      <c r="I1228" s="68">
        <f>+L1228*1</f>
        <v>961</v>
      </c>
      <c r="J1228" s="68" t="s">
        <v>32</v>
      </c>
      <c r="K1228" s="68" t="s">
        <v>33</v>
      </c>
      <c r="L1228" s="69">
        <f>1461-500</f>
        <v>961</v>
      </c>
      <c r="M1228" s="65">
        <f t="shared" ref="M1228:M1234" si="121">+U1228</f>
        <v>25.750956</v>
      </c>
      <c r="N1228" s="69" t="s">
        <v>34</v>
      </c>
      <c r="O1228" s="67"/>
      <c r="P1228" s="94"/>
      <c r="Q1228" s="71">
        <f>VLOOKUP($F1228,[4]装箱单!$A:$E,5,0)</f>
        <v>42</v>
      </c>
      <c r="R1228" s="71">
        <f>VLOOKUP($F1228,[4]装箱单!$A:$F,6,0)</f>
        <v>22</v>
      </c>
      <c r="S1228" s="71">
        <f>VLOOKUP($F1228,[4]装箱单!$A:$G,7,0)</f>
        <v>29</v>
      </c>
      <c r="T1228" s="72">
        <f>VLOOKUP($F1228,[4]装箱单!$A:$J,10,0)</f>
        <v>0.026796</v>
      </c>
      <c r="U1228" s="73">
        <f t="shared" ref="U1228:U1234" si="122">+T1228*L1228</f>
        <v>25.750956</v>
      </c>
      <c r="V1228" s="12"/>
    </row>
    <row r="1229" s="1" customFormat="1" ht="29.1" customHeight="1" spans="1:22">
      <c r="A1229" s="62">
        <v>46203</v>
      </c>
      <c r="B1229" s="63" t="s">
        <v>415</v>
      </c>
      <c r="C1229" s="64" t="s">
        <v>1636</v>
      </c>
      <c r="D1229" s="66" t="s">
        <v>1338</v>
      </c>
      <c r="E1229" s="66" t="s">
        <v>1637</v>
      </c>
      <c r="F1229" s="67">
        <v>470764</v>
      </c>
      <c r="G1229" s="67" t="str">
        <f>VLOOKUP(F1229,[4]装箱单!$A:$C,3,0)</f>
        <v>大型自卸车</v>
      </c>
      <c r="H1229" s="67">
        <v>1039</v>
      </c>
      <c r="I1229" s="68">
        <f>+L1229*1</f>
        <v>1039</v>
      </c>
      <c r="J1229" s="68" t="s">
        <v>32</v>
      </c>
      <c r="K1229" s="68" t="s">
        <v>33</v>
      </c>
      <c r="L1229" s="69">
        <v>1039</v>
      </c>
      <c r="M1229" s="65">
        <f t="shared" si="121"/>
        <v>27.841044</v>
      </c>
      <c r="N1229" s="69" t="s">
        <v>34</v>
      </c>
      <c r="O1229" s="67"/>
      <c r="P1229" s="94"/>
      <c r="Q1229" s="71">
        <f>VLOOKUP($F1229,[4]装箱单!$A:$E,5,0)</f>
        <v>42</v>
      </c>
      <c r="R1229" s="71">
        <f>VLOOKUP($F1229,[4]装箱单!$A:$F,6,0)</f>
        <v>22</v>
      </c>
      <c r="S1229" s="71">
        <f>VLOOKUP($F1229,[4]装箱单!$A:$G,7,0)</f>
        <v>29</v>
      </c>
      <c r="T1229" s="72">
        <f>VLOOKUP($F1229,[4]装箱单!$A:$J,10,0)</f>
        <v>0.026796</v>
      </c>
      <c r="U1229" s="73">
        <f t="shared" si="122"/>
        <v>27.841044</v>
      </c>
      <c r="V1229" s="12"/>
    </row>
    <row r="1230" s="1" customFormat="1" ht="29.1" customHeight="1" spans="1:22">
      <c r="A1230" s="62">
        <v>46203</v>
      </c>
      <c r="B1230" s="63" t="s">
        <v>40</v>
      </c>
      <c r="C1230" s="64" t="s">
        <v>1638</v>
      </c>
      <c r="D1230" s="66" t="s">
        <v>1639</v>
      </c>
      <c r="E1230" s="66">
        <v>994928894</v>
      </c>
      <c r="F1230" s="67">
        <v>28483</v>
      </c>
      <c r="G1230" s="67" t="str">
        <f>VLOOKUP(F1230,[4]装箱单!$A:$C,3,0)</f>
        <v>振动球</v>
      </c>
      <c r="H1230" s="67">
        <v>3960</v>
      </c>
      <c r="I1230" s="68">
        <f>+L1230</f>
        <v>3960</v>
      </c>
      <c r="J1230" s="68" t="s">
        <v>32</v>
      </c>
      <c r="K1230" s="68" t="s">
        <v>33</v>
      </c>
      <c r="L1230" s="69">
        <v>3960</v>
      </c>
      <c r="M1230" s="65">
        <f t="shared" si="121"/>
        <v>22.8598524</v>
      </c>
      <c r="N1230" s="69" t="s">
        <v>57</v>
      </c>
      <c r="O1230" s="67"/>
      <c r="P1230" s="94"/>
      <c r="Q1230" s="71">
        <f>VLOOKUP($F1230,[4]装箱单!$A:$E,5,0)</f>
        <v>16.83</v>
      </c>
      <c r="R1230" s="71">
        <f>VLOOKUP($F1230,[4]装箱单!$A:$F,6,0)</f>
        <v>17.15</v>
      </c>
      <c r="S1230" s="71">
        <f>VLOOKUP($F1230,[4]装箱单!$A:$G,7,0)</f>
        <v>20</v>
      </c>
      <c r="T1230" s="72">
        <f>VLOOKUP($F1230,[4]装箱单!$A:$J,10,0)</f>
        <v>0.00577269</v>
      </c>
      <c r="U1230" s="73">
        <f t="shared" si="122"/>
        <v>22.8598524</v>
      </c>
      <c r="V1230" s="12"/>
    </row>
    <row r="1231" s="1" customFormat="1" ht="29.1" customHeight="1" spans="1:22">
      <c r="A1231" s="62">
        <v>46203</v>
      </c>
      <c r="B1231" s="63" t="s">
        <v>40</v>
      </c>
      <c r="C1231" s="64" t="s">
        <v>1640</v>
      </c>
      <c r="D1231" s="66" t="s">
        <v>1641</v>
      </c>
      <c r="E1231" s="66">
        <v>994928930</v>
      </c>
      <c r="F1231" s="67">
        <v>28483</v>
      </c>
      <c r="G1231" s="67" t="str">
        <f>VLOOKUP(F1231,[4]装箱单!$A:$C,3,0)</f>
        <v>振动球</v>
      </c>
      <c r="H1231" s="67">
        <v>2340</v>
      </c>
      <c r="I1231" s="68">
        <f>+L1231</f>
        <v>2340</v>
      </c>
      <c r="J1231" s="68" t="s">
        <v>32</v>
      </c>
      <c r="K1231" s="68" t="s">
        <v>33</v>
      </c>
      <c r="L1231" s="69">
        <v>2340</v>
      </c>
      <c r="M1231" s="65">
        <f t="shared" si="121"/>
        <v>13.5080946</v>
      </c>
      <c r="N1231" s="69" t="s">
        <v>57</v>
      </c>
      <c r="O1231" s="67"/>
      <c r="P1231" s="94"/>
      <c r="Q1231" s="71">
        <f>VLOOKUP($F1231,[4]装箱单!$A:$E,5,0)</f>
        <v>16.83</v>
      </c>
      <c r="R1231" s="71">
        <f>VLOOKUP($F1231,[4]装箱单!$A:$F,6,0)</f>
        <v>17.15</v>
      </c>
      <c r="S1231" s="71">
        <f>VLOOKUP($F1231,[4]装箱单!$A:$G,7,0)</f>
        <v>20</v>
      </c>
      <c r="T1231" s="72">
        <f>VLOOKUP($F1231,[4]装箱单!$A:$J,10,0)</f>
        <v>0.00577269</v>
      </c>
      <c r="U1231" s="73">
        <f t="shared" si="122"/>
        <v>13.5080946</v>
      </c>
      <c r="V1231" s="12"/>
    </row>
    <row r="1232" s="1" customFormat="1" ht="29.1" customHeight="1" spans="1:22">
      <c r="A1232" s="62">
        <v>46203</v>
      </c>
      <c r="B1232" s="63" t="s">
        <v>40</v>
      </c>
      <c r="C1232" s="64" t="s">
        <v>1642</v>
      </c>
      <c r="D1232" s="66" t="s">
        <v>1643</v>
      </c>
      <c r="E1232" s="66">
        <v>994928903</v>
      </c>
      <c r="F1232" s="67">
        <v>28483</v>
      </c>
      <c r="G1232" s="67" t="str">
        <f>VLOOKUP(F1232,[4]装箱单!$A:$C,3,0)</f>
        <v>振动球</v>
      </c>
      <c r="H1232" s="67">
        <v>3060</v>
      </c>
      <c r="I1232" s="68">
        <f>+L1232</f>
        <v>3060</v>
      </c>
      <c r="J1232" s="68" t="s">
        <v>32</v>
      </c>
      <c r="K1232" s="68" t="s">
        <v>33</v>
      </c>
      <c r="L1232" s="69">
        <v>3060</v>
      </c>
      <c r="M1232" s="65">
        <f t="shared" si="121"/>
        <v>17.6644314</v>
      </c>
      <c r="N1232" s="69" t="s">
        <v>57</v>
      </c>
      <c r="O1232" s="67"/>
      <c r="P1232" s="94"/>
      <c r="Q1232" s="71">
        <f>VLOOKUP($F1232,[4]装箱单!$A:$E,5,0)</f>
        <v>16.83</v>
      </c>
      <c r="R1232" s="71">
        <f>VLOOKUP($F1232,[4]装箱单!$A:$F,6,0)</f>
        <v>17.15</v>
      </c>
      <c r="S1232" s="71">
        <f>VLOOKUP($F1232,[4]装箱单!$A:$G,7,0)</f>
        <v>20</v>
      </c>
      <c r="T1232" s="72">
        <f>VLOOKUP($F1232,[4]装箱单!$A:$J,10,0)</f>
        <v>0.00577269</v>
      </c>
      <c r="U1232" s="73">
        <f t="shared" si="122"/>
        <v>17.6644314</v>
      </c>
      <c r="V1232" s="12"/>
    </row>
    <row r="1233" s="1" customFormat="1" ht="29.1" customHeight="1" spans="1:22">
      <c r="A1233" s="62">
        <v>46203</v>
      </c>
      <c r="B1233" s="63" t="s">
        <v>40</v>
      </c>
      <c r="C1233" s="64" t="s">
        <v>1644</v>
      </c>
      <c r="D1233" s="66" t="s">
        <v>1645</v>
      </c>
      <c r="E1233" s="66">
        <v>994928917</v>
      </c>
      <c r="F1233" s="67">
        <v>28483</v>
      </c>
      <c r="G1233" s="67" t="str">
        <f>VLOOKUP(F1233,[4]装箱单!$A:$C,3,0)</f>
        <v>振动球</v>
      </c>
      <c r="H1233" s="67">
        <v>2340</v>
      </c>
      <c r="I1233" s="68">
        <f>+L1233</f>
        <v>2340</v>
      </c>
      <c r="J1233" s="68" t="s">
        <v>32</v>
      </c>
      <c r="K1233" s="68" t="s">
        <v>33</v>
      </c>
      <c r="L1233" s="69">
        <v>2340</v>
      </c>
      <c r="M1233" s="65">
        <f t="shared" si="121"/>
        <v>13.5080946</v>
      </c>
      <c r="N1233" s="69" t="s">
        <v>57</v>
      </c>
      <c r="O1233" s="67"/>
      <c r="P1233" s="94"/>
      <c r="Q1233" s="71">
        <f>VLOOKUP($F1233,[4]装箱单!$A:$E,5,0)</f>
        <v>16.83</v>
      </c>
      <c r="R1233" s="71">
        <f>VLOOKUP($F1233,[4]装箱单!$A:$F,6,0)</f>
        <v>17.15</v>
      </c>
      <c r="S1233" s="71">
        <f>VLOOKUP($F1233,[4]装箱单!$A:$G,7,0)</f>
        <v>20</v>
      </c>
      <c r="T1233" s="72">
        <f>VLOOKUP($F1233,[4]装箱单!$A:$J,10,0)</f>
        <v>0.00577269</v>
      </c>
      <c r="U1233" s="73">
        <f t="shared" si="122"/>
        <v>13.5080946</v>
      </c>
      <c r="V1233" s="12"/>
    </row>
    <row r="1234" s="1" customFormat="1" ht="29.1" customHeight="1" spans="1:22">
      <c r="A1234" s="62">
        <v>46203</v>
      </c>
      <c r="B1234" s="63" t="s">
        <v>40</v>
      </c>
      <c r="C1234" s="64" t="s">
        <v>1646</v>
      </c>
      <c r="D1234" s="66" t="s">
        <v>1647</v>
      </c>
      <c r="E1234" s="66">
        <v>994928919</v>
      </c>
      <c r="F1234" s="67">
        <v>28483</v>
      </c>
      <c r="G1234" s="67" t="str">
        <f>VLOOKUP(F1234,[4]装箱单!$A:$C,3,0)</f>
        <v>振动球</v>
      </c>
      <c r="H1234" s="67">
        <v>3420</v>
      </c>
      <c r="I1234" s="68">
        <f>+L1234</f>
        <v>3420</v>
      </c>
      <c r="J1234" s="68" t="s">
        <v>32</v>
      </c>
      <c r="K1234" s="68" t="s">
        <v>33</v>
      </c>
      <c r="L1234" s="69">
        <v>3420</v>
      </c>
      <c r="M1234" s="65">
        <f t="shared" si="121"/>
        <v>19.7425998</v>
      </c>
      <c r="N1234" s="69" t="s">
        <v>57</v>
      </c>
      <c r="O1234" s="67"/>
      <c r="P1234" s="94"/>
      <c r="Q1234" s="71">
        <f>VLOOKUP($F1234,[4]装箱单!$A:$E,5,0)</f>
        <v>16.83</v>
      </c>
      <c r="R1234" s="71">
        <f>VLOOKUP($F1234,[4]装箱单!$A:$F,6,0)</f>
        <v>17.15</v>
      </c>
      <c r="S1234" s="71">
        <f>VLOOKUP($F1234,[4]装箱单!$A:$G,7,0)</f>
        <v>20</v>
      </c>
      <c r="T1234" s="72">
        <f>VLOOKUP($F1234,[4]装箱单!$A:$J,10,0)</f>
        <v>0.00577269</v>
      </c>
      <c r="U1234" s="73">
        <f t="shared" si="122"/>
        <v>19.7425998</v>
      </c>
      <c r="V1234" s="12"/>
    </row>
    <row r="1235" s="1" customFormat="1" ht="29.1" customHeight="1" spans="1:22">
      <c r="A1235" s="62"/>
      <c r="B1235" s="63"/>
      <c r="C1235" s="64"/>
      <c r="D1235" s="66"/>
      <c r="E1235" s="66"/>
      <c r="F1235" s="67"/>
      <c r="G1235" s="67"/>
      <c r="H1235" s="67"/>
      <c r="I1235" s="68"/>
      <c r="J1235" s="68"/>
      <c r="K1235" s="68"/>
      <c r="L1235" s="69"/>
      <c r="M1235" s="65">
        <f>SUM(M1228:M1234)</f>
        <v>140.8750728</v>
      </c>
      <c r="N1235" s="69"/>
      <c r="O1235" s="67"/>
      <c r="P1235" s="94"/>
      <c r="Q1235" s="71"/>
      <c r="R1235" s="71"/>
      <c r="S1235" s="71"/>
      <c r="T1235" s="72"/>
      <c r="U1235" s="73"/>
      <c r="V1235" s="12"/>
    </row>
  </sheetData>
  <mergeCells count="146">
    <mergeCell ref="A1:P1"/>
    <mergeCell ref="A2:F2"/>
    <mergeCell ref="I2:J2"/>
    <mergeCell ref="K2:P2"/>
    <mergeCell ref="Q2:S2"/>
    <mergeCell ref="E52:E53"/>
    <mergeCell ref="E256:E258"/>
    <mergeCell ref="H693:H696"/>
    <mergeCell ref="H697:H699"/>
    <mergeCell ref="H727:H729"/>
    <mergeCell ref="H789:H802"/>
    <mergeCell ref="H803:H814"/>
    <mergeCell ref="H873:H874"/>
    <mergeCell ref="H875:H876"/>
    <mergeCell ref="H908:H914"/>
    <mergeCell ref="H915:H922"/>
    <mergeCell ref="H924:H929"/>
    <mergeCell ref="H1024:H1031"/>
    <mergeCell ref="H1032:H1041"/>
    <mergeCell ref="H1134:H1142"/>
    <mergeCell ref="H1143:H1159"/>
    <mergeCell ref="L331:L340"/>
    <mergeCell ref="L376:L384"/>
    <mergeCell ref="L385:L390"/>
    <mergeCell ref="L620:L640"/>
    <mergeCell ref="L641:L662"/>
    <mergeCell ref="L693:L696"/>
    <mergeCell ref="L697:L699"/>
    <mergeCell ref="L727:L729"/>
    <mergeCell ref="L789:L802"/>
    <mergeCell ref="L803:L814"/>
    <mergeCell ref="L822:L824"/>
    <mergeCell ref="L908:L914"/>
    <mergeCell ref="L915:L922"/>
    <mergeCell ref="L924:L929"/>
    <mergeCell ref="L1134:L1142"/>
    <mergeCell ref="L1143:L1159"/>
    <mergeCell ref="M68:M69"/>
    <mergeCell ref="M196:M202"/>
    <mergeCell ref="M331:M340"/>
    <mergeCell ref="M376:M390"/>
    <mergeCell ref="M406:M530"/>
    <mergeCell ref="M620:M662"/>
    <mergeCell ref="M692:M699"/>
    <mergeCell ref="M726:M730"/>
    <mergeCell ref="M789:M814"/>
    <mergeCell ref="O620:O640"/>
    <mergeCell ref="O641:O662"/>
    <mergeCell ref="O693:O696"/>
    <mergeCell ref="O697:O699"/>
    <mergeCell ref="O727:O729"/>
    <mergeCell ref="O789:O802"/>
    <mergeCell ref="O803:O814"/>
    <mergeCell ref="O822:O824"/>
    <mergeCell ref="O873:O874"/>
    <mergeCell ref="O875:O876"/>
    <mergeCell ref="O908:O914"/>
    <mergeCell ref="O915:O922"/>
    <mergeCell ref="O924:O929"/>
    <mergeCell ref="P4:P14"/>
    <mergeCell ref="P15:P19"/>
    <mergeCell ref="P20:P26"/>
    <mergeCell ref="P27:P45"/>
    <mergeCell ref="P46:P70"/>
    <mergeCell ref="P71:P78"/>
    <mergeCell ref="P79:P87"/>
    <mergeCell ref="P88:P104"/>
    <mergeCell ref="P105:P114"/>
    <mergeCell ref="P115:P131"/>
    <mergeCell ref="P132:P140"/>
    <mergeCell ref="P141:P153"/>
    <mergeCell ref="P157:P177"/>
    <mergeCell ref="P178:P189"/>
    <mergeCell ref="P190:P203"/>
    <mergeCell ref="P204:P226"/>
    <mergeCell ref="P228:P234"/>
    <mergeCell ref="P235:P264"/>
    <mergeCell ref="P265:P269"/>
    <mergeCell ref="P270:P280"/>
    <mergeCell ref="P283:P292"/>
    <mergeCell ref="P293:P298"/>
    <mergeCell ref="P299:P312"/>
    <mergeCell ref="P313:P318"/>
    <mergeCell ref="P319:P324"/>
    <mergeCell ref="P325:P341"/>
    <mergeCell ref="P342:P344"/>
    <mergeCell ref="P345:P348"/>
    <mergeCell ref="P349:P353"/>
    <mergeCell ref="P354:P360"/>
    <mergeCell ref="P361:P392"/>
    <mergeCell ref="P393:P405"/>
    <mergeCell ref="P406:P531"/>
    <mergeCell ref="P532:P543"/>
    <mergeCell ref="P545:P560"/>
    <mergeCell ref="P561:P563"/>
    <mergeCell ref="P564:P570"/>
    <mergeCell ref="P571:P585"/>
    <mergeCell ref="P586:P591"/>
    <mergeCell ref="P592:P596"/>
    <mergeCell ref="P597:P664"/>
    <mergeCell ref="P665:P672"/>
    <mergeCell ref="P673:P677"/>
    <mergeCell ref="P678:P681"/>
    <mergeCell ref="P682:P685"/>
    <mergeCell ref="P686:P688"/>
    <mergeCell ref="P689:P690"/>
    <mergeCell ref="P692:P709"/>
    <mergeCell ref="P710:P721"/>
    <mergeCell ref="P722:P748"/>
    <mergeCell ref="P749:P750"/>
    <mergeCell ref="P751:P761"/>
    <mergeCell ref="P762:P770"/>
    <mergeCell ref="P771:P781"/>
    <mergeCell ref="P782:P821"/>
    <mergeCell ref="P822:P824"/>
    <mergeCell ref="P825:P831"/>
    <mergeCell ref="P832:P850"/>
    <mergeCell ref="P851:P856"/>
    <mergeCell ref="P857:P862"/>
    <mergeCell ref="P863:P872"/>
    <mergeCell ref="P873:P877"/>
    <mergeCell ref="P878:P897"/>
    <mergeCell ref="P898:P903"/>
    <mergeCell ref="P904:P952"/>
    <mergeCell ref="P953:P962"/>
    <mergeCell ref="P963:P970"/>
    <mergeCell ref="P971:P979"/>
    <mergeCell ref="P980:P987"/>
    <mergeCell ref="P988:P1006"/>
    <mergeCell ref="P1007:P1023"/>
    <mergeCell ref="P1024:P1042"/>
    <mergeCell ref="P1043:P1047"/>
    <mergeCell ref="P1048:P1053"/>
    <mergeCell ref="P1054:P1058"/>
    <mergeCell ref="P1086:P1089"/>
    <mergeCell ref="P1090:P1108"/>
    <mergeCell ref="P1109:P1113"/>
    <mergeCell ref="P1114:P1115"/>
    <mergeCell ref="P1116:P1119"/>
    <mergeCell ref="P1120:P1124"/>
    <mergeCell ref="P1125:P1133"/>
    <mergeCell ref="P1134:P1159"/>
    <mergeCell ref="P1160:P1204"/>
    <mergeCell ref="P1205:P1227"/>
    <mergeCell ref="T2:T3"/>
    <mergeCell ref="U2:U3"/>
  </mergeCells>
  <pageMargins left="0.7" right="0.7" top="0.75" bottom="0.75" header="0.3" footer="0.3"/>
  <pageSetup paperSize="9" scale="6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054"/>
  <sheetViews>
    <sheetView tabSelected="1" workbookViewId="0">
      <pane ySplit="3" topLeftCell="A1045" activePane="bottomLeft" state="frozen"/>
      <selection/>
      <selection pane="bottomLeft" activeCell="H1054" sqref="H1054"/>
    </sheetView>
  </sheetViews>
  <sheetFormatPr defaultColWidth="9" defaultRowHeight="20.1" customHeight="1"/>
  <cols>
    <col min="1" max="1" width="11.5083333333333" style="2" customWidth="1"/>
    <col min="2" max="2" width="13" style="3" customWidth="1"/>
    <col min="3" max="3" width="19.375" style="4" customWidth="1"/>
    <col min="4" max="4" width="15.25" style="5" customWidth="1"/>
    <col min="5" max="5" width="24" style="6" customWidth="1"/>
    <col min="6" max="6" width="14.375" style="6" customWidth="1"/>
    <col min="7" max="7" width="18" style="6" customWidth="1"/>
    <col min="8" max="8" width="12.625" style="6" customWidth="1"/>
    <col min="9" max="9" width="13.875" style="7"/>
    <col min="10" max="10" width="6.375" style="7" customWidth="1"/>
    <col min="11" max="11" width="8.375" style="7" customWidth="1"/>
    <col min="12" max="12" width="6.875" style="8" customWidth="1"/>
    <col min="13" max="13" width="6.625" style="5" customWidth="1"/>
    <col min="14" max="14" width="7.125" style="8" customWidth="1"/>
    <col min="15" max="15" width="23.125" style="6" customWidth="1"/>
    <col min="16" max="16" width="15.875" style="9" customWidth="1"/>
    <col min="17" max="17" width="6.50833333333333" style="8" customWidth="1"/>
    <col min="18" max="18" width="5.875" style="8" customWidth="1"/>
    <col min="19" max="19" width="5.375" style="8" customWidth="1"/>
    <col min="20" max="20" width="11.5083333333333" style="10" customWidth="1"/>
    <col min="21" max="21" width="7.125" style="11" customWidth="1"/>
    <col min="22" max="22" width="10.375" style="12"/>
    <col min="23" max="24" width="9" style="1"/>
    <col min="25" max="25" width="7.625" style="1" customWidth="1"/>
    <col min="26" max="26" width="9" style="1" hidden="1" customWidth="1"/>
    <col min="27" max="16381" width="9" style="1"/>
    <col min="16382" max="16382" width="12.625" style="1"/>
    <col min="16383" max="16384" width="9" style="1"/>
  </cols>
  <sheetData>
    <row r="1" ht="39" customHeight="1" spans="1:28">
      <c r="A1" s="13" t="s">
        <v>0</v>
      </c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6"/>
    </row>
    <row r="2" ht="39" customHeight="1" spans="1:28">
      <c r="A2" s="17" t="s">
        <v>1</v>
      </c>
      <c r="B2" s="18"/>
      <c r="C2" s="18"/>
      <c r="D2" s="19"/>
      <c r="E2" s="18"/>
      <c r="F2" s="20"/>
      <c r="G2" s="21" t="s">
        <v>2</v>
      </c>
      <c r="H2" s="21"/>
      <c r="I2" s="22" t="s">
        <v>3</v>
      </c>
      <c r="J2" s="23"/>
      <c r="K2" s="22" t="s">
        <v>4</v>
      </c>
      <c r="L2" s="24"/>
      <c r="M2" s="24"/>
      <c r="N2" s="24"/>
      <c r="O2" s="24"/>
      <c r="P2" s="23"/>
      <c r="Q2" s="25" t="s">
        <v>5</v>
      </c>
      <c r="R2" s="25"/>
      <c r="S2" s="26"/>
      <c r="T2" s="27" t="s">
        <v>6</v>
      </c>
      <c r="U2" s="28" t="s">
        <v>7</v>
      </c>
    </row>
    <row r="3" ht="30.95" customHeight="1" spans="1:28">
      <c r="A3" s="29" t="s">
        <v>8</v>
      </c>
      <c r="B3" s="30" t="s">
        <v>9</v>
      </c>
      <c r="C3" s="31" t="s">
        <v>10</v>
      </c>
      <c r="D3" s="32" t="s">
        <v>11</v>
      </c>
      <c r="E3" s="33" t="s">
        <v>12</v>
      </c>
      <c r="F3" s="33" t="s">
        <v>13</v>
      </c>
      <c r="G3" s="33" t="s">
        <v>14</v>
      </c>
      <c r="H3" s="33" t="s">
        <v>15</v>
      </c>
      <c r="I3" s="34" t="s">
        <v>16</v>
      </c>
      <c r="J3" s="34" t="s">
        <v>17</v>
      </c>
      <c r="K3" s="34" t="s">
        <v>18</v>
      </c>
      <c r="L3" s="35" t="s">
        <v>19</v>
      </c>
      <c r="M3" s="32" t="s">
        <v>20</v>
      </c>
      <c r="N3" s="36" t="s">
        <v>21</v>
      </c>
      <c r="O3" s="33" t="s">
        <v>22</v>
      </c>
      <c r="P3" s="37" t="s">
        <v>23</v>
      </c>
      <c r="Q3" s="38" t="s">
        <v>24</v>
      </c>
      <c r="R3" s="38" t="s">
        <v>25</v>
      </c>
      <c r="S3" s="39" t="s">
        <v>26</v>
      </c>
      <c r="T3" s="27"/>
      <c r="U3" s="28"/>
      <c r="AA3"/>
      <c r="AB3"/>
    </row>
    <row r="4" ht="29.1" customHeight="1" spans="1:28">
      <c r="A4" s="40">
        <v>46175</v>
      </c>
      <c r="B4" s="41" t="s">
        <v>890</v>
      </c>
      <c r="C4" s="42" t="s">
        <v>1234</v>
      </c>
      <c r="D4" s="43" t="s">
        <v>1235</v>
      </c>
      <c r="E4" s="44">
        <v>4400545904</v>
      </c>
      <c r="F4" s="44">
        <v>46496</v>
      </c>
      <c r="G4" s="44" t="str">
        <f>VLOOKUP(F4,[1]装箱单!$A:$C,3,0)</f>
        <v>米妮系列</v>
      </c>
      <c r="H4" s="44">
        <v>1232</v>
      </c>
      <c r="I4" s="45">
        <f>+L4*2</f>
        <v>2464</v>
      </c>
      <c r="J4" s="45" t="s">
        <v>47</v>
      </c>
      <c r="K4" s="45" t="s">
        <v>33</v>
      </c>
      <c r="L4" s="46">
        <v>1232</v>
      </c>
      <c r="M4" s="43">
        <f t="shared" ref="M4:M8" si="0">+U4</f>
        <v>27.554564615424</v>
      </c>
      <c r="N4" s="46" t="s">
        <v>34</v>
      </c>
      <c r="O4" s="44"/>
      <c r="P4" s="47" t="s">
        <v>982</v>
      </c>
      <c r="Q4" s="8">
        <f>VLOOKUP($F4,[1]装箱单!$A:$E,5,0)</f>
        <v>40.01</v>
      </c>
      <c r="R4" s="8">
        <f>VLOOKUP($F4,[1]装箱单!$A:$F,6,0)</f>
        <v>26.67</v>
      </c>
      <c r="S4" s="8">
        <f>VLOOKUP($F4,[1]装箱单!$A:$G,7,0)</f>
        <v>20.96</v>
      </c>
      <c r="T4" s="10">
        <f>VLOOKUP($F4,[1]装箱单!$A:$J,10,0)</f>
        <v>0.022365718032</v>
      </c>
      <c r="U4" s="11">
        <f t="shared" ref="U4:U8" si="1">+T4*L4</f>
        <v>27.554564615424</v>
      </c>
    </row>
    <row r="5" ht="29.1" customHeight="1" spans="1:28">
      <c r="A5" s="40">
        <v>46175</v>
      </c>
      <c r="B5" s="41" t="s">
        <v>1133</v>
      </c>
      <c r="C5" s="42" t="s">
        <v>1236</v>
      </c>
      <c r="D5" s="43" t="s">
        <v>1237</v>
      </c>
      <c r="E5" s="44" t="s">
        <v>1238</v>
      </c>
      <c r="F5" s="44">
        <v>46132</v>
      </c>
      <c r="G5" s="44" t="str">
        <f>VLOOKUP(F5,[1]装箱单!$A:$C,3,0)</f>
        <v>赛车总动员系列</v>
      </c>
      <c r="H5" s="44">
        <v>1737</v>
      </c>
      <c r="I5" s="45">
        <f>+L5*2</f>
        <v>3474</v>
      </c>
      <c r="J5" s="45" t="s">
        <v>47</v>
      </c>
      <c r="K5" s="45" t="s">
        <v>33</v>
      </c>
      <c r="L5" s="46">
        <v>1737</v>
      </c>
      <c r="M5" s="43">
        <f t="shared" si="0"/>
        <v>38.849252221584</v>
      </c>
      <c r="N5" s="46" t="s">
        <v>34</v>
      </c>
      <c r="O5" s="44"/>
      <c r="P5" s="48"/>
      <c r="Q5" s="8">
        <f>VLOOKUP($F5,[1]装箱单!$A:$E,5,0)</f>
        <v>40.01</v>
      </c>
      <c r="R5" s="8">
        <f>VLOOKUP($F5,[1]装箱单!$A:$F,6,0)</f>
        <v>26.67</v>
      </c>
      <c r="S5" s="8">
        <f>VLOOKUP($F5,[1]装箱单!$A:$G,7,0)</f>
        <v>20.96</v>
      </c>
      <c r="T5" s="10">
        <f>VLOOKUP($F5,[1]装箱单!$A:$J,10,0)</f>
        <v>0.022365718032</v>
      </c>
      <c r="U5" s="11">
        <f t="shared" si="1"/>
        <v>38.849252221584</v>
      </c>
    </row>
    <row r="6" ht="29.1" customHeight="1" spans="1:28">
      <c r="A6" s="40">
        <v>46175</v>
      </c>
      <c r="B6" s="41" t="s">
        <v>1133</v>
      </c>
      <c r="C6" s="42" t="s">
        <v>1239</v>
      </c>
      <c r="D6" s="43" t="s">
        <v>1237</v>
      </c>
      <c r="E6" s="139" t="s">
        <v>1240</v>
      </c>
      <c r="F6" s="44">
        <v>46132</v>
      </c>
      <c r="G6" s="44" t="str">
        <f>VLOOKUP(F6,[1]装箱单!$A:$C,3,0)</f>
        <v>赛车总动员系列</v>
      </c>
      <c r="H6" s="44">
        <v>1737</v>
      </c>
      <c r="I6" s="45">
        <f>+L6*2</f>
        <v>3474</v>
      </c>
      <c r="J6" s="45" t="s">
        <v>47</v>
      </c>
      <c r="K6" s="45" t="s">
        <v>33</v>
      </c>
      <c r="L6" s="46">
        <v>1737</v>
      </c>
      <c r="M6" s="43">
        <f t="shared" si="0"/>
        <v>38.849252221584</v>
      </c>
      <c r="N6" s="46" t="s">
        <v>34</v>
      </c>
      <c r="O6" s="44"/>
      <c r="P6" s="48"/>
      <c r="Q6" s="8">
        <f>VLOOKUP($F6,[1]装箱单!$A:$E,5,0)</f>
        <v>40.01</v>
      </c>
      <c r="R6" s="8">
        <f>VLOOKUP($F6,[1]装箱单!$A:$F,6,0)</f>
        <v>26.67</v>
      </c>
      <c r="S6" s="8">
        <f>VLOOKUP($F6,[1]装箱单!$A:$G,7,0)</f>
        <v>20.96</v>
      </c>
      <c r="T6" s="10">
        <f>VLOOKUP($F6,[1]装箱单!$A:$J,10,0)</f>
        <v>0.022365718032</v>
      </c>
      <c r="U6" s="11">
        <f t="shared" si="1"/>
        <v>38.849252221584</v>
      </c>
    </row>
    <row r="7" ht="29.1" customHeight="1" spans="1:28">
      <c r="A7" s="40">
        <v>46175</v>
      </c>
      <c r="B7" s="41" t="s">
        <v>77</v>
      </c>
      <c r="C7" s="42" t="s">
        <v>1241</v>
      </c>
      <c r="D7" s="43" t="s">
        <v>1242</v>
      </c>
      <c r="E7" s="44" t="s">
        <v>1243</v>
      </c>
      <c r="F7" s="44" t="s">
        <v>754</v>
      </c>
      <c r="G7" s="44" t="str">
        <f>VLOOKUP(F7,[1]装箱单!$A:$C,3,0)</f>
        <v>搪胶小鸭</v>
      </c>
      <c r="H7" s="44">
        <v>375</v>
      </c>
      <c r="I7" s="45">
        <v>3000</v>
      </c>
      <c r="J7" s="45" t="s">
        <v>32</v>
      </c>
      <c r="K7" s="45" t="s">
        <v>33</v>
      </c>
      <c r="L7" s="46">
        <v>375</v>
      </c>
      <c r="M7" s="43">
        <f t="shared" si="0"/>
        <v>2.95527375</v>
      </c>
      <c r="N7" s="46" t="s">
        <v>34</v>
      </c>
      <c r="O7" s="44"/>
      <c r="P7" s="48"/>
      <c r="Q7" s="8">
        <f>VLOOKUP($F7,[1]装箱单!$A:$E,5,0)</f>
        <v>33</v>
      </c>
      <c r="R7" s="8">
        <f>VLOOKUP($F7,[1]装箱单!$A:$F,6,0)</f>
        <v>16.7</v>
      </c>
      <c r="S7" s="8">
        <f>VLOOKUP($F7,[1]装箱单!$A:$G,7,0)</f>
        <v>14.3</v>
      </c>
      <c r="T7" s="10">
        <f>VLOOKUP($F7,[1]装箱单!$A:$J,10,0)</f>
        <v>0.00788073</v>
      </c>
      <c r="U7" s="11">
        <f t="shared" si="1"/>
        <v>2.95527375</v>
      </c>
    </row>
    <row r="8" ht="29.1" customHeight="1" spans="1:28">
      <c r="A8" s="40">
        <v>46175</v>
      </c>
      <c r="B8" s="41" t="s">
        <v>77</v>
      </c>
      <c r="C8" s="42" t="s">
        <v>1230</v>
      </c>
      <c r="D8" s="43" t="s">
        <v>1231</v>
      </c>
      <c r="E8" s="44" t="s">
        <v>1232</v>
      </c>
      <c r="F8" s="44" t="s">
        <v>45</v>
      </c>
      <c r="G8" s="44" t="str">
        <f>VLOOKUP(F8,[1]装箱单!$A:$C,3,0)</f>
        <v>鸭子</v>
      </c>
      <c r="H8" s="44">
        <v>7028</v>
      </c>
      <c r="I8" s="45">
        <f>+L8*18</f>
        <v>74970</v>
      </c>
      <c r="J8" s="45" t="s">
        <v>32</v>
      </c>
      <c r="K8" s="45" t="s">
        <v>33</v>
      </c>
      <c r="L8" s="46">
        <f>7028-2863</f>
        <v>4165</v>
      </c>
      <c r="M8" s="43">
        <f t="shared" si="0"/>
        <v>24.1278975102375</v>
      </c>
      <c r="N8" s="46" t="s">
        <v>34</v>
      </c>
      <c r="O8" s="44"/>
      <c r="P8" s="48"/>
      <c r="Q8" s="8">
        <f>VLOOKUP($F8,[1]装箱单!$A:$E,5,0)</f>
        <v>32.385</v>
      </c>
      <c r="R8" s="8">
        <f>VLOOKUP($F8,[1]装箱单!$A:$F,6,0)</f>
        <v>18.78</v>
      </c>
      <c r="S8" s="8">
        <f>VLOOKUP($F8,[1]装箱单!$A:$G,7,0)</f>
        <v>9.525</v>
      </c>
      <c r="T8" s="10">
        <f>VLOOKUP($F8,[1]装箱单!$A:$J,10,0)</f>
        <v>0.0057930126075</v>
      </c>
      <c r="U8" s="11">
        <f t="shared" si="1"/>
        <v>24.1278975102375</v>
      </c>
    </row>
    <row r="9" ht="29.1" customHeight="1" spans="1:28">
      <c r="A9" s="40"/>
      <c r="B9" s="41"/>
      <c r="C9" s="42"/>
      <c r="D9" s="43"/>
      <c r="E9" s="44"/>
      <c r="F9" s="44"/>
      <c r="G9" s="44"/>
      <c r="H9" s="49"/>
      <c r="I9" s="45"/>
      <c r="J9" s="45"/>
      <c r="K9" s="45"/>
      <c r="L9" s="50"/>
      <c r="M9" s="43">
        <f>SUM(M4:M8)</f>
        <v>132.33624031883</v>
      </c>
      <c r="N9" s="46"/>
      <c r="O9" s="49"/>
      <c r="P9" s="51"/>
    </row>
    <row r="10" ht="29.1" customHeight="1" spans="1:28">
      <c r="A10" s="40">
        <v>46178</v>
      </c>
      <c r="B10" s="41" t="s">
        <v>27</v>
      </c>
      <c r="C10" s="42" t="s">
        <v>1244</v>
      </c>
      <c r="D10" s="43" t="s">
        <v>1245</v>
      </c>
      <c r="E10" s="44" t="s">
        <v>1246</v>
      </c>
      <c r="F10" s="44" t="s">
        <v>30</v>
      </c>
      <c r="G10" s="44" t="str">
        <f>VLOOKUP(F10,[1]装箱单!$A:$C,3,0)</f>
        <v>摇摆米奇</v>
      </c>
      <c r="H10" s="44">
        <v>100</v>
      </c>
      <c r="I10" s="45">
        <f>+L10*3</f>
        <v>300</v>
      </c>
      <c r="J10" s="45" t="s">
        <v>32</v>
      </c>
      <c r="K10" s="45" t="s">
        <v>33</v>
      </c>
      <c r="L10" s="46">
        <v>100</v>
      </c>
      <c r="M10" s="43">
        <f t="shared" ref="M10:M13" si="2">+U10</f>
        <v>7.5620155211</v>
      </c>
      <c r="N10" s="46" t="s">
        <v>34</v>
      </c>
      <c r="O10" s="44"/>
      <c r="P10" s="47" t="s">
        <v>982</v>
      </c>
      <c r="Q10" s="8">
        <f>VLOOKUP($F10,[1]装箱单!$A:$E,5,0)</f>
        <v>48.26</v>
      </c>
      <c r="R10" s="8">
        <f>VLOOKUP($F10,[1]装箱单!$A:$F,6,0)</f>
        <v>36.83</v>
      </c>
      <c r="S10" s="8">
        <f>VLOOKUP($F10,[1]装箱单!$A:$G,7,0)</f>
        <v>42.545</v>
      </c>
      <c r="T10" s="10">
        <f>VLOOKUP($F10,[1]装箱单!$A:$J,10,0)</f>
        <v>0.075620155211</v>
      </c>
      <c r="U10" s="11">
        <f t="shared" ref="U10:U13" si="3">+T10*L10</f>
        <v>7.5620155211</v>
      </c>
    </row>
    <row r="11" ht="29.1" customHeight="1" spans="1:28">
      <c r="A11" s="40">
        <v>46178</v>
      </c>
      <c r="B11" s="41" t="s">
        <v>1247</v>
      </c>
      <c r="C11" s="42" t="s">
        <v>1248</v>
      </c>
      <c r="D11" s="43" t="s">
        <v>1249</v>
      </c>
      <c r="E11" s="44" t="s">
        <v>1250</v>
      </c>
      <c r="F11" s="44">
        <v>28458</v>
      </c>
      <c r="G11" s="44" t="str">
        <f>VLOOKUP(F11,[1]装箱单!$A:$C,3,0)</f>
        <v>五款硅胶手感球</v>
      </c>
      <c r="H11" s="44">
        <v>600</v>
      </c>
      <c r="I11" s="45">
        <f>+L11*3</f>
        <v>600</v>
      </c>
      <c r="J11" s="45" t="s">
        <v>47</v>
      </c>
      <c r="K11" s="45" t="s">
        <v>33</v>
      </c>
      <c r="L11" s="46">
        <v>200</v>
      </c>
      <c r="M11" s="43">
        <f t="shared" si="2"/>
        <v>4.1660716788</v>
      </c>
      <c r="N11" s="46" t="s">
        <v>34</v>
      </c>
      <c r="O11" s="44"/>
      <c r="P11" s="48"/>
      <c r="Q11" s="8">
        <f>VLOOKUP($F11,[1]装箱单!$A:$E,5,0)</f>
        <v>26.99</v>
      </c>
      <c r="R11" s="8">
        <f>VLOOKUP($F11,[1]装箱单!$A:$F,6,0)</f>
        <v>27.31</v>
      </c>
      <c r="S11" s="8">
        <f>VLOOKUP($F11,[1]装箱单!$A:$G,7,0)</f>
        <v>28.26</v>
      </c>
      <c r="T11" s="10">
        <f>VLOOKUP($F11,[1]装箱单!$A:$J,10,0)</f>
        <v>0.020830358394</v>
      </c>
      <c r="U11" s="11">
        <f t="shared" si="3"/>
        <v>4.1660716788</v>
      </c>
    </row>
    <row r="12" ht="29.1" customHeight="1" spans="1:28">
      <c r="A12" s="40">
        <v>46178</v>
      </c>
      <c r="B12" s="41" t="s">
        <v>1247</v>
      </c>
      <c r="C12" s="42" t="s">
        <v>1248</v>
      </c>
      <c r="D12" s="43" t="s">
        <v>1249</v>
      </c>
      <c r="E12" s="44" t="s">
        <v>1250</v>
      </c>
      <c r="F12" s="44">
        <v>28472</v>
      </c>
      <c r="G12" s="44" t="str">
        <f>VLOOKUP(F12,[1]装箱单!$A:$C,3,0)</f>
        <v>狮子</v>
      </c>
      <c r="H12" s="44">
        <v>600</v>
      </c>
      <c r="I12" s="45">
        <v>600</v>
      </c>
      <c r="J12" s="45" t="s">
        <v>32</v>
      </c>
      <c r="K12" s="45" t="s">
        <v>33</v>
      </c>
      <c r="L12" s="46">
        <v>600</v>
      </c>
      <c r="M12" s="43">
        <f t="shared" si="2"/>
        <v>11.016</v>
      </c>
      <c r="N12" s="46" t="s">
        <v>34</v>
      </c>
      <c r="O12" s="44"/>
      <c r="P12" s="48"/>
      <c r="Q12" s="8">
        <f>VLOOKUP($F12,[1]装箱单!$A:$E,5,0)</f>
        <v>30</v>
      </c>
      <c r="R12" s="8">
        <f>VLOOKUP($F12,[1]装箱单!$A:$F,6,0)</f>
        <v>17</v>
      </c>
      <c r="S12" s="8">
        <f>VLOOKUP($F12,[1]装箱单!$A:$G,7,0)</f>
        <v>36</v>
      </c>
      <c r="T12" s="10">
        <f>VLOOKUP($F12,[1]装箱单!$A:$J,10,0)</f>
        <v>0.01836</v>
      </c>
      <c r="U12" s="11">
        <f t="shared" si="3"/>
        <v>11.016</v>
      </c>
    </row>
    <row r="13" ht="29.1" customHeight="1" spans="1:28">
      <c r="A13" s="40">
        <v>46178</v>
      </c>
      <c r="B13" s="41" t="s">
        <v>1247</v>
      </c>
      <c r="C13" s="42" t="s">
        <v>1248</v>
      </c>
      <c r="D13" s="43" t="s">
        <v>1249</v>
      </c>
      <c r="E13" s="44">
        <v>29556931</v>
      </c>
      <c r="F13" s="44">
        <v>28483</v>
      </c>
      <c r="G13" s="44" t="str">
        <f>VLOOKUP(F13,[1]装箱单!$A:$C,3,0)</f>
        <v>振动球</v>
      </c>
      <c r="H13" s="44">
        <v>600</v>
      </c>
      <c r="I13" s="45">
        <v>600</v>
      </c>
      <c r="J13" s="45" t="s">
        <v>32</v>
      </c>
      <c r="K13" s="45" t="s">
        <v>33</v>
      </c>
      <c r="L13" s="46">
        <v>600</v>
      </c>
      <c r="M13" s="43">
        <f t="shared" si="2"/>
        <v>3.463614</v>
      </c>
      <c r="N13" s="46" t="s">
        <v>34</v>
      </c>
      <c r="O13" s="44"/>
      <c r="P13" s="48"/>
      <c r="Q13" s="8">
        <f>VLOOKUP($F13,[1]装箱单!$A:$E,5,0)</f>
        <v>16.83</v>
      </c>
      <c r="R13" s="8">
        <f>VLOOKUP($F13,[1]装箱单!$A:$F,6,0)</f>
        <v>17.15</v>
      </c>
      <c r="S13" s="8">
        <f>VLOOKUP($F13,[1]装箱单!$A:$G,7,0)</f>
        <v>20</v>
      </c>
      <c r="T13" s="10">
        <f>VLOOKUP($F13,[1]装箱单!$A:$J,10,0)</f>
        <v>0.00577269</v>
      </c>
      <c r="U13" s="11">
        <f t="shared" si="3"/>
        <v>3.463614</v>
      </c>
    </row>
    <row r="14" ht="29.1" customHeight="1" spans="1:28">
      <c r="A14" s="40">
        <v>46178</v>
      </c>
      <c r="B14" s="52" t="s">
        <v>922</v>
      </c>
      <c r="C14" s="42" t="s">
        <v>1251</v>
      </c>
      <c r="D14" s="43" t="s">
        <v>1252</v>
      </c>
      <c r="E14" s="44">
        <v>984878580</v>
      </c>
      <c r="F14" s="44">
        <v>46857</v>
      </c>
      <c r="G14" s="44" t="str">
        <f>VLOOKUP(F14,[1]装箱单!$A:$C,3,0)</f>
        <v>33477外星史迪仔</v>
      </c>
      <c r="H14" s="49" t="s">
        <v>1253</v>
      </c>
      <c r="I14" s="45">
        <v>550</v>
      </c>
      <c r="J14" s="45" t="s">
        <v>32</v>
      </c>
      <c r="K14" s="45" t="s">
        <v>33</v>
      </c>
      <c r="L14" s="50">
        <v>67</v>
      </c>
      <c r="M14" s="43"/>
      <c r="N14" s="46" t="s">
        <v>34</v>
      </c>
      <c r="O14" s="49">
        <v>4650</v>
      </c>
      <c r="P14" s="48"/>
    </row>
    <row r="15" ht="29.1" customHeight="1" spans="1:28">
      <c r="A15" s="40">
        <v>46178</v>
      </c>
      <c r="B15" s="52" t="s">
        <v>922</v>
      </c>
      <c r="C15" s="42" t="s">
        <v>1254</v>
      </c>
      <c r="D15" s="43" t="s">
        <v>1255</v>
      </c>
      <c r="E15" s="44">
        <v>984878461</v>
      </c>
      <c r="F15" s="44">
        <v>46857</v>
      </c>
      <c r="G15" s="44" t="str">
        <f>VLOOKUP(F15,[1]装箱单!$A:$C,3,0)</f>
        <v>33477外星史迪仔</v>
      </c>
      <c r="H15" s="53"/>
      <c r="I15" s="45">
        <v>770</v>
      </c>
      <c r="J15" s="45" t="s">
        <v>32</v>
      </c>
      <c r="K15" s="45" t="s">
        <v>33</v>
      </c>
      <c r="L15" s="54"/>
      <c r="M15" s="43"/>
      <c r="N15" s="46" t="s">
        <v>34</v>
      </c>
      <c r="O15" s="53"/>
      <c r="P15" s="48"/>
    </row>
    <row r="16" ht="29.1" customHeight="1" spans="1:28">
      <c r="A16" s="40">
        <v>46178</v>
      </c>
      <c r="B16" s="52" t="s">
        <v>922</v>
      </c>
      <c r="C16" s="42" t="s">
        <v>1256</v>
      </c>
      <c r="D16" s="43" t="s">
        <v>1257</v>
      </c>
      <c r="E16" s="44">
        <v>984878548</v>
      </c>
      <c r="F16" s="44">
        <v>46857</v>
      </c>
      <c r="G16" s="44" t="str">
        <f>VLOOKUP(F16,[1]装箱单!$A:$C,3,0)</f>
        <v>33477外星史迪仔</v>
      </c>
      <c r="H16" s="53"/>
      <c r="I16" s="45">
        <v>550</v>
      </c>
      <c r="J16" s="45" t="s">
        <v>32</v>
      </c>
      <c r="K16" s="45" t="s">
        <v>33</v>
      </c>
      <c r="L16" s="54"/>
      <c r="M16" s="43"/>
      <c r="N16" s="46" t="s">
        <v>34</v>
      </c>
      <c r="O16" s="53"/>
      <c r="P16" s="48"/>
    </row>
    <row r="17" ht="29.1" customHeight="1" spans="1:16">
      <c r="A17" s="40">
        <v>46178</v>
      </c>
      <c r="B17" s="52" t="s">
        <v>922</v>
      </c>
      <c r="C17" s="42" t="s">
        <v>1085</v>
      </c>
      <c r="D17" s="43" t="s">
        <v>1086</v>
      </c>
      <c r="E17" s="44">
        <v>984878611</v>
      </c>
      <c r="F17" s="44">
        <v>46857</v>
      </c>
      <c r="G17" s="44" t="str">
        <f>VLOOKUP(F17,[1]装箱单!$A:$C,3,0)</f>
        <v>33477外星史迪仔</v>
      </c>
      <c r="H17" s="53"/>
      <c r="I17" s="45">
        <f>550-26</f>
        <v>524</v>
      </c>
      <c r="J17" s="45" t="s">
        <v>32</v>
      </c>
      <c r="K17" s="45" t="s">
        <v>33</v>
      </c>
      <c r="L17" s="54"/>
      <c r="M17" s="43">
        <v>1</v>
      </c>
      <c r="N17" s="46" t="s">
        <v>34</v>
      </c>
      <c r="O17" s="53"/>
      <c r="P17" s="48"/>
    </row>
    <row r="18" ht="29.1" customHeight="1" spans="1:16">
      <c r="A18" s="40">
        <v>46178</v>
      </c>
      <c r="B18" s="52" t="s">
        <v>922</v>
      </c>
      <c r="C18" s="42" t="s">
        <v>1258</v>
      </c>
      <c r="D18" s="43" t="s">
        <v>1259</v>
      </c>
      <c r="E18" s="42" t="s">
        <v>1260</v>
      </c>
      <c r="F18" s="44">
        <v>46886</v>
      </c>
      <c r="G18" s="44" t="str">
        <f>VLOOKUP(F18,[1]装箱单!$A:$C,3,0)</f>
        <v>33477外星史迪仔</v>
      </c>
      <c r="H18" s="53"/>
      <c r="I18" s="45">
        <v>1000</v>
      </c>
      <c r="J18" s="45" t="s">
        <v>32</v>
      </c>
      <c r="K18" s="45" t="s">
        <v>33</v>
      </c>
      <c r="L18" s="54"/>
      <c r="M18" s="43"/>
      <c r="N18" s="46" t="s">
        <v>34</v>
      </c>
      <c r="O18" s="53"/>
      <c r="P18" s="48"/>
    </row>
    <row r="19" ht="29.1" customHeight="1" spans="1:16">
      <c r="A19" s="40">
        <v>46178</v>
      </c>
      <c r="B19" s="52" t="s">
        <v>922</v>
      </c>
      <c r="C19" s="42" t="s">
        <v>1261</v>
      </c>
      <c r="D19" s="43" t="s">
        <v>1262</v>
      </c>
      <c r="E19" s="42" t="s">
        <v>1263</v>
      </c>
      <c r="F19" s="44">
        <v>46886</v>
      </c>
      <c r="G19" s="44" t="str">
        <f>VLOOKUP(F19,[1]装箱单!$A:$C,3,0)</f>
        <v>33477外星史迪仔</v>
      </c>
      <c r="H19" s="53"/>
      <c r="I19" s="45">
        <v>300</v>
      </c>
      <c r="J19" s="45" t="s">
        <v>32</v>
      </c>
      <c r="K19" s="45" t="s">
        <v>33</v>
      </c>
      <c r="L19" s="54"/>
      <c r="M19" s="43"/>
      <c r="N19" s="46" t="s">
        <v>34</v>
      </c>
      <c r="O19" s="53"/>
      <c r="P19" s="48"/>
    </row>
    <row r="20" ht="29.1" customHeight="1" spans="1:16">
      <c r="A20" s="40">
        <v>46178</v>
      </c>
      <c r="B20" s="52" t="s">
        <v>922</v>
      </c>
      <c r="C20" s="42" t="s">
        <v>1264</v>
      </c>
      <c r="D20" s="43" t="s">
        <v>1265</v>
      </c>
      <c r="E20" s="44">
        <v>2000009967</v>
      </c>
      <c r="F20" s="44">
        <v>46886</v>
      </c>
      <c r="G20" s="44" t="str">
        <f>VLOOKUP(F20,[1]装箱单!$A:$C,3,0)</f>
        <v>33477外星史迪仔</v>
      </c>
      <c r="H20" s="55"/>
      <c r="I20" s="45">
        <f>1136-180</f>
        <v>956</v>
      </c>
      <c r="J20" s="45" t="s">
        <v>32</v>
      </c>
      <c r="K20" s="45" t="s">
        <v>33</v>
      </c>
      <c r="L20" s="56"/>
      <c r="M20" s="43"/>
      <c r="N20" s="46" t="s">
        <v>34</v>
      </c>
      <c r="O20" s="55"/>
      <c r="P20" s="48"/>
    </row>
    <row r="21" ht="29.1" customHeight="1" spans="1:16">
      <c r="A21" s="40">
        <v>46178</v>
      </c>
      <c r="B21" s="52" t="s">
        <v>922</v>
      </c>
      <c r="C21" s="42" t="s">
        <v>1251</v>
      </c>
      <c r="D21" s="43" t="s">
        <v>1252</v>
      </c>
      <c r="E21" s="44">
        <v>984878580</v>
      </c>
      <c r="F21" s="44">
        <v>46897</v>
      </c>
      <c r="G21" s="44" t="str">
        <f>VLOOKUP(F21,[1]装箱单!$A:$C,3,0)</f>
        <v>33476天使</v>
      </c>
      <c r="H21" s="49" t="s">
        <v>1266</v>
      </c>
      <c r="I21" s="45">
        <v>300</v>
      </c>
      <c r="J21" s="45" t="s">
        <v>32</v>
      </c>
      <c r="K21" s="45" t="s">
        <v>33</v>
      </c>
      <c r="L21" s="50">
        <v>37</v>
      </c>
      <c r="M21" s="43"/>
      <c r="N21" s="46" t="s">
        <v>34</v>
      </c>
      <c r="O21" s="49">
        <v>2900</v>
      </c>
      <c r="P21" s="48"/>
    </row>
    <row r="22" ht="29.1" customHeight="1" spans="1:16">
      <c r="A22" s="40">
        <v>46178</v>
      </c>
      <c r="B22" s="52" t="s">
        <v>922</v>
      </c>
      <c r="C22" s="42" t="s">
        <v>1254</v>
      </c>
      <c r="D22" s="43" t="s">
        <v>1255</v>
      </c>
      <c r="E22" s="44">
        <v>984878461</v>
      </c>
      <c r="F22" s="44">
        <v>46897</v>
      </c>
      <c r="G22" s="44" t="str">
        <f>VLOOKUP(F22,[1]装箱单!$A:$C,3,0)</f>
        <v>33476天使</v>
      </c>
      <c r="H22" s="53"/>
      <c r="I22" s="45">
        <v>400</v>
      </c>
      <c r="J22" s="45" t="s">
        <v>32</v>
      </c>
      <c r="K22" s="45" t="s">
        <v>33</v>
      </c>
      <c r="L22" s="54"/>
      <c r="M22" s="43"/>
      <c r="N22" s="46" t="s">
        <v>34</v>
      </c>
      <c r="O22" s="53"/>
      <c r="P22" s="48"/>
    </row>
    <row r="23" ht="29.1" customHeight="1" spans="1:16">
      <c r="A23" s="40">
        <v>46178</v>
      </c>
      <c r="B23" s="52" t="s">
        <v>922</v>
      </c>
      <c r="C23" s="42" t="s">
        <v>1256</v>
      </c>
      <c r="D23" s="43" t="s">
        <v>1257</v>
      </c>
      <c r="E23" s="44">
        <v>984878548</v>
      </c>
      <c r="F23" s="44">
        <v>46897</v>
      </c>
      <c r="G23" s="44" t="str">
        <f>VLOOKUP(F23,[1]装箱单!$A:$C,3,0)</f>
        <v>33476天使</v>
      </c>
      <c r="H23" s="53"/>
      <c r="I23" s="45">
        <v>300</v>
      </c>
      <c r="J23" s="45" t="s">
        <v>32</v>
      </c>
      <c r="K23" s="45" t="s">
        <v>33</v>
      </c>
      <c r="L23" s="54"/>
      <c r="M23" s="43"/>
      <c r="N23" s="46" t="s">
        <v>34</v>
      </c>
      <c r="O23" s="53"/>
      <c r="P23" s="48"/>
    </row>
    <row r="24" ht="29.1" customHeight="1" spans="1:16">
      <c r="A24" s="40">
        <v>46178</v>
      </c>
      <c r="B24" s="52" t="s">
        <v>922</v>
      </c>
      <c r="C24" s="42" t="s">
        <v>1082</v>
      </c>
      <c r="D24" s="43" t="s">
        <v>1083</v>
      </c>
      <c r="E24" s="44">
        <v>984878589</v>
      </c>
      <c r="F24" s="44">
        <v>46897</v>
      </c>
      <c r="G24" s="44" t="str">
        <f>VLOOKUP(F24,[1]装箱单!$A:$C,3,0)</f>
        <v>33476天使</v>
      </c>
      <c r="H24" s="53"/>
      <c r="I24" s="45">
        <v>300</v>
      </c>
      <c r="J24" s="45" t="s">
        <v>32</v>
      </c>
      <c r="K24" s="45" t="s">
        <v>33</v>
      </c>
      <c r="L24" s="54"/>
      <c r="M24" s="43"/>
      <c r="N24" s="46" t="s">
        <v>34</v>
      </c>
      <c r="O24" s="53"/>
      <c r="P24" s="48"/>
    </row>
    <row r="25" ht="29.1" customHeight="1" spans="1:16">
      <c r="A25" s="40">
        <v>46178</v>
      </c>
      <c r="B25" s="52" t="s">
        <v>922</v>
      </c>
      <c r="C25" s="42" t="s">
        <v>1085</v>
      </c>
      <c r="D25" s="43" t="s">
        <v>1086</v>
      </c>
      <c r="E25" s="44">
        <v>984878611</v>
      </c>
      <c r="F25" s="44">
        <v>46897</v>
      </c>
      <c r="G25" s="44" t="str">
        <f>VLOOKUP(F25,[1]装箱单!$A:$C,3,0)</f>
        <v>33476天使</v>
      </c>
      <c r="H25" s="53"/>
      <c r="I25" s="45">
        <v>300</v>
      </c>
      <c r="J25" s="45" t="s">
        <v>32</v>
      </c>
      <c r="K25" s="45" t="s">
        <v>33</v>
      </c>
      <c r="L25" s="54"/>
      <c r="M25" s="43"/>
      <c r="N25" s="46" t="s">
        <v>34</v>
      </c>
      <c r="O25" s="53"/>
      <c r="P25" s="48"/>
    </row>
    <row r="26" ht="29.1" customHeight="1" spans="1:16">
      <c r="A26" s="40">
        <v>46178</v>
      </c>
      <c r="B26" s="52" t="s">
        <v>922</v>
      </c>
      <c r="C26" s="42" t="s">
        <v>1076</v>
      </c>
      <c r="D26" s="43" t="s">
        <v>1077</v>
      </c>
      <c r="E26" s="44">
        <v>984878332</v>
      </c>
      <c r="F26" s="44">
        <v>46897</v>
      </c>
      <c r="G26" s="44" t="str">
        <f>VLOOKUP(F26,[1]装箱单!$A:$C,3,0)</f>
        <v>33476天使</v>
      </c>
      <c r="H26" s="53"/>
      <c r="I26" s="45">
        <v>200</v>
      </c>
      <c r="J26" s="45" t="s">
        <v>32</v>
      </c>
      <c r="K26" s="45" t="s">
        <v>33</v>
      </c>
      <c r="L26" s="54"/>
      <c r="M26" s="43"/>
      <c r="N26" s="46" t="s">
        <v>34</v>
      </c>
      <c r="O26" s="53"/>
      <c r="P26" s="48"/>
    </row>
    <row r="27" ht="29.1" customHeight="1" spans="1:16">
      <c r="A27" s="40">
        <v>46178</v>
      </c>
      <c r="B27" s="52" t="s">
        <v>922</v>
      </c>
      <c r="C27" s="42" t="s">
        <v>1079</v>
      </c>
      <c r="D27" s="43" t="s">
        <v>1080</v>
      </c>
      <c r="E27" s="44">
        <v>984878334</v>
      </c>
      <c r="F27" s="44">
        <v>46897</v>
      </c>
      <c r="G27" s="44" t="str">
        <f>VLOOKUP(F27,[1]装箱单!$A:$C,3,0)</f>
        <v>33476天使</v>
      </c>
      <c r="H27" s="53"/>
      <c r="I27" s="45">
        <v>200</v>
      </c>
      <c r="J27" s="45" t="s">
        <v>32</v>
      </c>
      <c r="K27" s="45" t="s">
        <v>33</v>
      </c>
      <c r="L27" s="54"/>
      <c r="M27" s="43"/>
      <c r="N27" s="46" t="s">
        <v>34</v>
      </c>
      <c r="O27" s="53"/>
      <c r="P27" s="48"/>
    </row>
    <row r="28" ht="29.1" customHeight="1" spans="1:16">
      <c r="A28" s="40">
        <v>46178</v>
      </c>
      <c r="B28" s="52" t="s">
        <v>922</v>
      </c>
      <c r="C28" s="42" t="s">
        <v>1258</v>
      </c>
      <c r="D28" s="43" t="s">
        <v>1259</v>
      </c>
      <c r="E28" s="44" t="s">
        <v>1260</v>
      </c>
      <c r="F28" s="44" t="s">
        <v>1267</v>
      </c>
      <c r="G28" s="44" t="str">
        <f>VLOOKUP(F28,[1]装箱单!$A:$C,3,0)</f>
        <v>33476天使</v>
      </c>
      <c r="H28" s="55"/>
      <c r="I28" s="45">
        <v>900</v>
      </c>
      <c r="J28" s="45" t="s">
        <v>32</v>
      </c>
      <c r="K28" s="45" t="s">
        <v>33</v>
      </c>
      <c r="L28" s="56"/>
      <c r="M28" s="43"/>
      <c r="N28" s="46" t="s">
        <v>34</v>
      </c>
      <c r="O28" s="55"/>
      <c r="P28" s="48"/>
    </row>
    <row r="29" ht="29.1" customHeight="1" spans="1:16">
      <c r="A29" s="40">
        <v>46178</v>
      </c>
      <c r="B29" s="52" t="s">
        <v>922</v>
      </c>
      <c r="C29" s="42" t="s">
        <v>1258</v>
      </c>
      <c r="D29" s="43" t="s">
        <v>1259</v>
      </c>
      <c r="E29" s="44" t="s">
        <v>1260</v>
      </c>
      <c r="F29" s="44" t="s">
        <v>1268</v>
      </c>
      <c r="G29" s="44" t="str">
        <f>VLOOKUP(F29,[1]装箱单!$A:$C,3,0)</f>
        <v>33416史迪仔</v>
      </c>
      <c r="H29" s="44" t="s">
        <v>1269</v>
      </c>
      <c r="I29" s="45">
        <v>900</v>
      </c>
      <c r="J29" s="45" t="s">
        <v>32</v>
      </c>
      <c r="K29" s="45" t="s">
        <v>33</v>
      </c>
      <c r="L29" s="46">
        <v>10</v>
      </c>
      <c r="M29" s="43"/>
      <c r="N29" s="46" t="s">
        <v>34</v>
      </c>
      <c r="O29" s="44">
        <v>900</v>
      </c>
      <c r="P29" s="48"/>
    </row>
    <row r="30" ht="29.1" customHeight="1" spans="1:16">
      <c r="A30" s="40">
        <v>46178</v>
      </c>
      <c r="B30" s="52" t="s">
        <v>922</v>
      </c>
      <c r="C30" s="42" t="s">
        <v>1270</v>
      </c>
      <c r="D30" s="43" t="s">
        <v>1271</v>
      </c>
      <c r="E30" s="44">
        <v>117403871</v>
      </c>
      <c r="F30" s="44">
        <v>46862</v>
      </c>
      <c r="G30" s="44" t="str">
        <f>VLOOKUP(F30,[1]装箱单!$A:$C,3,0)</f>
        <v>荧光杰克</v>
      </c>
      <c r="H30" s="49" t="s">
        <v>1272</v>
      </c>
      <c r="I30" s="45">
        <v>2640</v>
      </c>
      <c r="J30" s="45" t="s">
        <v>32</v>
      </c>
      <c r="K30" s="45" t="s">
        <v>33</v>
      </c>
      <c r="L30" s="50">
        <v>96</v>
      </c>
      <c r="M30" s="43"/>
      <c r="N30" s="46" t="s">
        <v>34</v>
      </c>
      <c r="O30" s="49">
        <v>7773</v>
      </c>
      <c r="P30" s="48"/>
    </row>
    <row r="31" ht="29.1" customHeight="1" spans="1:16">
      <c r="A31" s="40">
        <v>46178</v>
      </c>
      <c r="B31" s="52" t="s">
        <v>922</v>
      </c>
      <c r="C31" s="42" t="s">
        <v>1273</v>
      </c>
      <c r="D31" s="43" t="s">
        <v>1274</v>
      </c>
      <c r="E31" s="44">
        <v>117405873</v>
      </c>
      <c r="F31" s="44">
        <v>46862</v>
      </c>
      <c r="G31" s="44" t="str">
        <f>VLOOKUP(F31,[1]装箱单!$A:$C,3,0)</f>
        <v>荧光杰克</v>
      </c>
      <c r="H31" s="53"/>
      <c r="I31" s="45">
        <v>2640</v>
      </c>
      <c r="J31" s="45" t="s">
        <v>32</v>
      </c>
      <c r="K31" s="45" t="s">
        <v>33</v>
      </c>
      <c r="L31" s="54"/>
      <c r="M31" s="43"/>
      <c r="N31" s="46" t="s">
        <v>34</v>
      </c>
      <c r="O31" s="53"/>
      <c r="P31" s="48"/>
    </row>
    <row r="32" ht="29.1" customHeight="1" spans="1:16">
      <c r="A32" s="40">
        <v>46178</v>
      </c>
      <c r="B32" s="52" t="s">
        <v>922</v>
      </c>
      <c r="C32" s="42" t="s">
        <v>1275</v>
      </c>
      <c r="D32" s="43" t="s">
        <v>1276</v>
      </c>
      <c r="E32" s="44" t="s">
        <v>945</v>
      </c>
      <c r="F32" s="44">
        <v>46862</v>
      </c>
      <c r="G32" s="44" t="str">
        <f>VLOOKUP(F32,[1]装箱单!$A:$C,3,0)</f>
        <v>荧光杰克</v>
      </c>
      <c r="H32" s="53"/>
      <c r="I32" s="45">
        <v>840</v>
      </c>
      <c r="J32" s="45" t="s">
        <v>32</v>
      </c>
      <c r="K32" s="45" t="s">
        <v>33</v>
      </c>
      <c r="L32" s="54"/>
      <c r="M32" s="43">
        <v>1</v>
      </c>
      <c r="N32" s="46" t="s">
        <v>34</v>
      </c>
      <c r="O32" s="53"/>
      <c r="P32" s="48"/>
    </row>
    <row r="33" ht="29.1" customHeight="1" spans="1:21">
      <c r="A33" s="40">
        <v>46178</v>
      </c>
      <c r="B33" s="52" t="s">
        <v>922</v>
      </c>
      <c r="C33" s="42" t="s">
        <v>1277</v>
      </c>
      <c r="D33" s="43" t="s">
        <v>1278</v>
      </c>
      <c r="E33" s="44">
        <v>7000995354</v>
      </c>
      <c r="F33" s="44">
        <v>46862</v>
      </c>
      <c r="G33" s="44" t="str">
        <f>VLOOKUP(F33,[1]装箱单!$A:$C,3,0)</f>
        <v>荧光杰克</v>
      </c>
      <c r="H33" s="53"/>
      <c r="I33" s="45">
        <v>500</v>
      </c>
      <c r="J33" s="45" t="s">
        <v>32</v>
      </c>
      <c r="K33" s="45" t="s">
        <v>33</v>
      </c>
      <c r="L33" s="54"/>
      <c r="M33" s="43"/>
      <c r="N33" s="46" t="s">
        <v>34</v>
      </c>
      <c r="O33" s="53"/>
      <c r="P33" s="48"/>
    </row>
    <row r="34" ht="29.1" customHeight="1" spans="1:21">
      <c r="A34" s="40">
        <v>46178</v>
      </c>
      <c r="B34" s="52" t="s">
        <v>922</v>
      </c>
      <c r="C34" s="42" t="s">
        <v>1279</v>
      </c>
      <c r="D34" s="43" t="s">
        <v>1280</v>
      </c>
      <c r="E34" s="44">
        <v>7000995356</v>
      </c>
      <c r="F34" s="44">
        <v>46862</v>
      </c>
      <c r="G34" s="44" t="str">
        <f>VLOOKUP(F34,[1]装箱单!$A:$C,3,0)</f>
        <v>荧光杰克</v>
      </c>
      <c r="H34" s="53"/>
      <c r="I34" s="45">
        <v>500</v>
      </c>
      <c r="J34" s="45" t="s">
        <v>32</v>
      </c>
      <c r="K34" s="45" t="s">
        <v>33</v>
      </c>
      <c r="L34" s="54"/>
      <c r="M34" s="43"/>
      <c r="N34" s="46" t="s">
        <v>34</v>
      </c>
      <c r="O34" s="53"/>
      <c r="P34" s="48"/>
    </row>
    <row r="35" ht="29.1" customHeight="1" spans="1:21">
      <c r="A35" s="40">
        <v>46178</v>
      </c>
      <c r="B35" s="52" t="s">
        <v>922</v>
      </c>
      <c r="C35" s="42" t="s">
        <v>1281</v>
      </c>
      <c r="D35" s="43" t="s">
        <v>1282</v>
      </c>
      <c r="E35" s="44">
        <v>7000995357</v>
      </c>
      <c r="F35" s="44">
        <v>46862</v>
      </c>
      <c r="G35" s="44" t="str">
        <f>VLOOKUP(F35,[1]装箱单!$A:$C,3,0)</f>
        <v>荧光杰克</v>
      </c>
      <c r="H35" s="55"/>
      <c r="I35" s="45">
        <v>653</v>
      </c>
      <c r="J35" s="45" t="s">
        <v>32</v>
      </c>
      <c r="K35" s="45" t="s">
        <v>33</v>
      </c>
      <c r="L35" s="56"/>
      <c r="M35" s="43"/>
      <c r="N35" s="46" t="s">
        <v>34</v>
      </c>
      <c r="O35" s="55"/>
      <c r="P35" s="48"/>
    </row>
    <row r="36" ht="29.1" customHeight="1" spans="1:21">
      <c r="A36" s="40">
        <v>46178</v>
      </c>
      <c r="B36" s="41" t="s">
        <v>1247</v>
      </c>
      <c r="C36" s="42" t="s">
        <v>1248</v>
      </c>
      <c r="D36" s="43" t="s">
        <v>1249</v>
      </c>
      <c r="E36" s="44" t="s">
        <v>1250</v>
      </c>
      <c r="F36" s="44">
        <v>28481</v>
      </c>
      <c r="G36" s="44" t="str">
        <f>VLOOKUP(F36,[1]装箱单!$A:$C,3,0)</f>
        <v>骰子</v>
      </c>
      <c r="H36" s="44">
        <f>+I36/4</f>
        <v>150</v>
      </c>
      <c r="I36" s="45">
        <f>+L36*4</f>
        <v>600</v>
      </c>
      <c r="J36" s="45" t="s">
        <v>47</v>
      </c>
      <c r="K36" s="45" t="s">
        <v>33</v>
      </c>
      <c r="L36" s="46">
        <v>150</v>
      </c>
      <c r="M36" s="43">
        <f t="shared" ref="M36:M57" si="4">+U36</f>
        <v>1.5119652387</v>
      </c>
      <c r="N36" s="46" t="s">
        <v>34</v>
      </c>
      <c r="O36" s="44"/>
      <c r="P36" s="48"/>
      <c r="Q36" s="8">
        <f>VLOOKUP($F36,[1]装箱单!$A:$E,5,0)</f>
        <v>23.81</v>
      </c>
      <c r="R36" s="8">
        <f>VLOOKUP($F36,[1]装箱单!$A:$F,6,0)</f>
        <v>17.78</v>
      </c>
      <c r="S36" s="8">
        <f>VLOOKUP($F36,[1]装箱单!$A:$G,7,0)</f>
        <v>23.81</v>
      </c>
      <c r="T36" s="10">
        <f>VLOOKUP($F36,[1]装箱单!$A:$J,10,0)</f>
        <v>0.010079768258</v>
      </c>
      <c r="U36" s="11">
        <f t="shared" ref="U36:U57" si="5">+T36*L36</f>
        <v>1.5119652387</v>
      </c>
    </row>
    <row r="37" ht="29.1" customHeight="1" spans="1:21">
      <c r="A37" s="40">
        <v>46178</v>
      </c>
      <c r="B37" s="41" t="s">
        <v>1283</v>
      </c>
      <c r="C37" s="42" t="s">
        <v>1284</v>
      </c>
      <c r="D37" s="43" t="s">
        <v>1285</v>
      </c>
      <c r="E37" s="44" t="s">
        <v>1286</v>
      </c>
      <c r="F37" s="44" t="s">
        <v>51</v>
      </c>
      <c r="G37" s="44" t="str">
        <f>VLOOKUP(F37,[1]装箱单!$A:$C,3,0)</f>
        <v>鸭子</v>
      </c>
      <c r="H37" s="44">
        <v>288</v>
      </c>
      <c r="I37" s="45">
        <v>13824</v>
      </c>
      <c r="J37" s="45" t="s">
        <v>32</v>
      </c>
      <c r="K37" s="45" t="s">
        <v>33</v>
      </c>
      <c r="L37" s="46">
        <v>288</v>
      </c>
      <c r="M37" s="43">
        <f t="shared" si="4"/>
        <v>11.771473824</v>
      </c>
      <c r="N37" s="46" t="s">
        <v>34</v>
      </c>
      <c r="O37" s="44"/>
      <c r="P37" s="48"/>
      <c r="Q37" s="8">
        <f>VLOOKUP($F37,[1]装箱单!$A:$E,5,0)</f>
        <v>37.15</v>
      </c>
      <c r="R37" s="8">
        <f>VLOOKUP($F37,[1]装箱单!$A:$F,6,0)</f>
        <v>33</v>
      </c>
      <c r="S37" s="8">
        <f>VLOOKUP($F37,[1]装箱单!$A:$G,7,0)</f>
        <v>33.34</v>
      </c>
      <c r="T37" s="10">
        <f>VLOOKUP($F37,[1]装箱单!$A:$J,10,0)</f>
        <v>0.040873173</v>
      </c>
      <c r="U37" s="11">
        <f t="shared" si="5"/>
        <v>11.771473824</v>
      </c>
    </row>
    <row r="38" ht="29.1" customHeight="1" spans="1:21">
      <c r="A38" s="40">
        <v>46178</v>
      </c>
      <c r="B38" s="41" t="s">
        <v>1283</v>
      </c>
      <c r="C38" s="42" t="s">
        <v>1287</v>
      </c>
      <c r="D38" s="43" t="s">
        <v>1288</v>
      </c>
      <c r="E38" s="44" t="s">
        <v>1289</v>
      </c>
      <c r="F38" s="44" t="s">
        <v>51</v>
      </c>
      <c r="G38" s="44" t="str">
        <f>VLOOKUP(F38,[1]装箱单!$A:$C,3,0)</f>
        <v>鸭子</v>
      </c>
      <c r="H38" s="44">
        <v>312</v>
      </c>
      <c r="I38" s="45">
        <v>14976</v>
      </c>
      <c r="J38" s="45" t="s">
        <v>32</v>
      </c>
      <c r="K38" s="45" t="s">
        <v>33</v>
      </c>
      <c r="L38" s="46">
        <v>312</v>
      </c>
      <c r="M38" s="43">
        <f t="shared" si="4"/>
        <v>12.752429976</v>
      </c>
      <c r="N38" s="46" t="s">
        <v>34</v>
      </c>
      <c r="O38" s="44"/>
      <c r="P38" s="48"/>
      <c r="Q38" s="8">
        <f>VLOOKUP($F38,[1]装箱单!$A:$E,5,0)</f>
        <v>37.15</v>
      </c>
      <c r="R38" s="8">
        <f>VLOOKUP($F38,[1]装箱单!$A:$F,6,0)</f>
        <v>33</v>
      </c>
      <c r="S38" s="8">
        <f>VLOOKUP($F38,[1]装箱单!$A:$G,7,0)</f>
        <v>33.34</v>
      </c>
      <c r="T38" s="10">
        <f>VLOOKUP($F38,[1]装箱单!$A:$J,10,0)</f>
        <v>0.040873173</v>
      </c>
      <c r="U38" s="11">
        <f t="shared" si="5"/>
        <v>12.752429976</v>
      </c>
    </row>
    <row r="39" ht="29.1" customHeight="1" spans="1:21">
      <c r="A39" s="40">
        <v>46178</v>
      </c>
      <c r="B39" s="41" t="s">
        <v>1290</v>
      </c>
      <c r="C39" s="42" t="s">
        <v>1291</v>
      </c>
      <c r="D39" s="43" t="s">
        <v>1292</v>
      </c>
      <c r="E39" s="44">
        <v>875099</v>
      </c>
      <c r="F39" s="44">
        <v>46134</v>
      </c>
      <c r="G39" s="44" t="str">
        <f>VLOOKUP(F39,[1]装箱单!$A:$C,3,0)</f>
        <v>海洋奇缘系列</v>
      </c>
      <c r="H39" s="44">
        <f t="shared" ref="H39:H41" si="6">+I39/2</f>
        <v>473</v>
      </c>
      <c r="I39" s="45">
        <f t="shared" ref="I39:I41" si="7">+L39*2</f>
        <v>946</v>
      </c>
      <c r="J39" s="45" t="s">
        <v>47</v>
      </c>
      <c r="K39" s="45" t="s">
        <v>33</v>
      </c>
      <c r="L39" s="46">
        <v>473</v>
      </c>
      <c r="M39" s="43">
        <f t="shared" si="4"/>
        <v>10.578984629136</v>
      </c>
      <c r="N39" s="46" t="s">
        <v>34</v>
      </c>
      <c r="O39" s="44"/>
      <c r="P39" s="48"/>
      <c r="Q39" s="8">
        <f>VLOOKUP($F39,[1]装箱单!$A:$E,5,0)</f>
        <v>40.01</v>
      </c>
      <c r="R39" s="8">
        <f>VLOOKUP($F39,[1]装箱单!$A:$F,6,0)</f>
        <v>26.67</v>
      </c>
      <c r="S39" s="8">
        <f>VLOOKUP($F39,[1]装箱单!$A:$G,7,0)</f>
        <v>20.96</v>
      </c>
      <c r="T39" s="10">
        <f>VLOOKUP($F39,[1]装箱单!$A:$J,10,0)</f>
        <v>0.022365718032</v>
      </c>
      <c r="U39" s="11">
        <f t="shared" si="5"/>
        <v>10.578984629136</v>
      </c>
    </row>
    <row r="40" ht="29.1" customHeight="1" spans="1:21">
      <c r="A40" s="40">
        <v>46178</v>
      </c>
      <c r="B40" s="41" t="s">
        <v>1290</v>
      </c>
      <c r="C40" s="42" t="s">
        <v>1293</v>
      </c>
      <c r="D40" s="43" t="s">
        <v>1294</v>
      </c>
      <c r="E40" s="44">
        <v>875100</v>
      </c>
      <c r="F40" s="44">
        <v>46134</v>
      </c>
      <c r="G40" s="44" t="str">
        <f>VLOOKUP(F40,[1]装箱单!$A:$C,3,0)</f>
        <v>海洋奇缘系列</v>
      </c>
      <c r="H40" s="44">
        <f t="shared" si="6"/>
        <v>533</v>
      </c>
      <c r="I40" s="45">
        <f t="shared" si="7"/>
        <v>1066</v>
      </c>
      <c r="J40" s="45" t="s">
        <v>47</v>
      </c>
      <c r="K40" s="45" t="s">
        <v>33</v>
      </c>
      <c r="L40" s="46">
        <v>533</v>
      </c>
      <c r="M40" s="43">
        <f t="shared" si="4"/>
        <v>11.920927711056</v>
      </c>
      <c r="N40" s="46" t="s">
        <v>34</v>
      </c>
      <c r="O40" s="44"/>
      <c r="P40" s="48"/>
      <c r="Q40" s="8">
        <f>VLOOKUP($F40,[1]装箱单!$A:$E,5,0)</f>
        <v>40.01</v>
      </c>
      <c r="R40" s="8">
        <f>VLOOKUP($F40,[1]装箱单!$A:$F,6,0)</f>
        <v>26.67</v>
      </c>
      <c r="S40" s="8">
        <f>VLOOKUP($F40,[1]装箱单!$A:$G,7,0)</f>
        <v>20.96</v>
      </c>
      <c r="T40" s="10">
        <f>VLOOKUP($F40,[1]装箱单!$A:$J,10,0)</f>
        <v>0.022365718032</v>
      </c>
      <c r="U40" s="11">
        <f t="shared" si="5"/>
        <v>11.920927711056</v>
      </c>
    </row>
    <row r="41" ht="29.1" customHeight="1" spans="1:21">
      <c r="A41" s="40">
        <v>46178</v>
      </c>
      <c r="B41" s="41" t="s">
        <v>1290</v>
      </c>
      <c r="C41" s="42" t="s">
        <v>1295</v>
      </c>
      <c r="D41" s="43" t="s">
        <v>1296</v>
      </c>
      <c r="E41" s="44">
        <v>875102</v>
      </c>
      <c r="F41" s="44">
        <v>46134</v>
      </c>
      <c r="G41" s="44" t="str">
        <f>VLOOKUP(F41,[1]装箱单!$A:$C,3,0)</f>
        <v>海洋奇缘系列</v>
      </c>
      <c r="H41" s="44">
        <f t="shared" si="6"/>
        <v>495</v>
      </c>
      <c r="I41" s="45">
        <f t="shared" si="7"/>
        <v>990</v>
      </c>
      <c r="J41" s="45" t="s">
        <v>47</v>
      </c>
      <c r="K41" s="45" t="s">
        <v>33</v>
      </c>
      <c r="L41" s="46">
        <v>495</v>
      </c>
      <c r="M41" s="43">
        <f t="shared" si="4"/>
        <v>11.07103042584</v>
      </c>
      <c r="N41" s="46" t="s">
        <v>34</v>
      </c>
      <c r="O41" s="44"/>
      <c r="P41" s="48"/>
      <c r="Q41" s="8">
        <f>VLOOKUP($F41,[1]装箱单!$A:$E,5,0)</f>
        <v>40.01</v>
      </c>
      <c r="R41" s="8">
        <f>VLOOKUP($F41,[1]装箱单!$A:$F,6,0)</f>
        <v>26.67</v>
      </c>
      <c r="S41" s="8">
        <f>VLOOKUP($F41,[1]装箱单!$A:$G,7,0)</f>
        <v>20.96</v>
      </c>
      <c r="T41" s="10">
        <f>VLOOKUP($F41,[1]装箱单!$A:$J,10,0)</f>
        <v>0.022365718032</v>
      </c>
      <c r="U41" s="11">
        <f t="shared" si="5"/>
        <v>11.07103042584</v>
      </c>
    </row>
    <row r="42" ht="29.1" customHeight="1" spans="1:21">
      <c r="A42" s="40">
        <v>46178</v>
      </c>
      <c r="B42" s="41" t="s">
        <v>1297</v>
      </c>
      <c r="C42" s="42" t="s">
        <v>1298</v>
      </c>
      <c r="D42" s="43" t="s">
        <v>1299</v>
      </c>
      <c r="E42" s="44">
        <v>7001315192</v>
      </c>
      <c r="F42" s="44" t="s">
        <v>122</v>
      </c>
      <c r="G42" s="44" t="str">
        <f>VLOOKUP(F42,[1]装箱单!$A:$C,3,0)</f>
        <v>搪胶小鸭</v>
      </c>
      <c r="H42" s="44">
        <v>28</v>
      </c>
      <c r="I42" s="45">
        <f t="shared" ref="I42:I44" si="8">+L42*36</f>
        <v>1008</v>
      </c>
      <c r="J42" s="45" t="s">
        <v>32</v>
      </c>
      <c r="K42" s="45" t="s">
        <v>33</v>
      </c>
      <c r="L42" s="46">
        <v>28</v>
      </c>
      <c r="M42" s="43">
        <f t="shared" si="4"/>
        <v>0.3325670768</v>
      </c>
      <c r="N42" s="46" t="s">
        <v>34</v>
      </c>
      <c r="O42" s="44">
        <v>33423</v>
      </c>
      <c r="P42" s="48"/>
      <c r="Q42" s="8">
        <f>VLOOKUP($F42,[1]装箱单!$A:$E,5,0)</f>
        <v>31.75</v>
      </c>
      <c r="R42" s="8">
        <f>VLOOKUP($F42,[1]装箱单!$A:$F,6,0)</f>
        <v>18.41</v>
      </c>
      <c r="S42" s="8">
        <f>VLOOKUP($F42,[1]装箱单!$A:$G,7,0)</f>
        <v>20.32</v>
      </c>
      <c r="T42" s="10">
        <f>VLOOKUP($F42,[1]装箱单!$A:$J,10,0)</f>
        <v>0.0118773956</v>
      </c>
      <c r="U42" s="11">
        <f t="shared" si="5"/>
        <v>0.3325670768</v>
      </c>
    </row>
    <row r="43" ht="29.1" customHeight="1" spans="1:21">
      <c r="A43" s="40">
        <v>46178</v>
      </c>
      <c r="B43" s="41" t="s">
        <v>1297</v>
      </c>
      <c r="C43" s="42" t="s">
        <v>1298</v>
      </c>
      <c r="D43" s="43" t="s">
        <v>1299</v>
      </c>
      <c r="E43" s="44" t="s">
        <v>1300</v>
      </c>
      <c r="F43" s="44" t="s">
        <v>122</v>
      </c>
      <c r="G43" s="44" t="str">
        <f>VLOOKUP(F43,[1]装箱单!$A:$C,3,0)</f>
        <v>搪胶小鸭</v>
      </c>
      <c r="H43" s="44">
        <v>28</v>
      </c>
      <c r="I43" s="45">
        <f t="shared" si="8"/>
        <v>1008</v>
      </c>
      <c r="J43" s="45" t="s">
        <v>32</v>
      </c>
      <c r="K43" s="45" t="s">
        <v>33</v>
      </c>
      <c r="L43" s="46">
        <v>28</v>
      </c>
      <c r="M43" s="43">
        <f t="shared" si="4"/>
        <v>0.3325670768</v>
      </c>
      <c r="N43" s="46" t="s">
        <v>34</v>
      </c>
      <c r="O43" s="44">
        <v>33480</v>
      </c>
      <c r="P43" s="48"/>
      <c r="Q43" s="8">
        <f>VLOOKUP($F43,[1]装箱单!$A:$E,5,0)</f>
        <v>31.75</v>
      </c>
      <c r="R43" s="8">
        <f>VLOOKUP($F43,[1]装箱单!$A:$F,6,0)</f>
        <v>18.41</v>
      </c>
      <c r="S43" s="8">
        <f>VLOOKUP($F43,[1]装箱单!$A:$G,7,0)</f>
        <v>20.32</v>
      </c>
      <c r="T43" s="10">
        <f>VLOOKUP($F43,[1]装箱单!$A:$J,10,0)</f>
        <v>0.0118773956</v>
      </c>
      <c r="U43" s="11">
        <f t="shared" si="5"/>
        <v>0.3325670768</v>
      </c>
    </row>
    <row r="44" ht="29.1" customHeight="1" spans="1:21">
      <c r="A44" s="40">
        <v>46178</v>
      </c>
      <c r="B44" s="41" t="s">
        <v>1297</v>
      </c>
      <c r="C44" s="42" t="s">
        <v>1298</v>
      </c>
      <c r="D44" s="43" t="s">
        <v>1299</v>
      </c>
      <c r="E44" s="44" t="s">
        <v>1300</v>
      </c>
      <c r="F44" s="44" t="s">
        <v>122</v>
      </c>
      <c r="G44" s="44" t="str">
        <f>VLOOKUP(F44,[1]装箱单!$A:$C,3,0)</f>
        <v>搪胶小鸭</v>
      </c>
      <c r="H44" s="44">
        <v>28</v>
      </c>
      <c r="I44" s="45">
        <f t="shared" si="8"/>
        <v>1008</v>
      </c>
      <c r="J44" s="45" t="s">
        <v>32</v>
      </c>
      <c r="K44" s="45" t="s">
        <v>33</v>
      </c>
      <c r="L44" s="46">
        <v>28</v>
      </c>
      <c r="M44" s="43">
        <f t="shared" si="4"/>
        <v>0.3325670768</v>
      </c>
      <c r="N44" s="46" t="s">
        <v>34</v>
      </c>
      <c r="O44" s="44">
        <v>33622</v>
      </c>
      <c r="P44" s="48"/>
      <c r="Q44" s="8">
        <f>VLOOKUP($F44,[1]装箱单!$A:$E,5,0)</f>
        <v>31.75</v>
      </c>
      <c r="R44" s="8">
        <f>VLOOKUP($F44,[1]装箱单!$A:$F,6,0)</f>
        <v>18.41</v>
      </c>
      <c r="S44" s="8">
        <f>VLOOKUP($F44,[1]装箱单!$A:$G,7,0)</f>
        <v>20.32</v>
      </c>
      <c r="T44" s="10">
        <f>VLOOKUP($F44,[1]装箱单!$A:$J,10,0)</f>
        <v>0.0118773956</v>
      </c>
      <c r="U44" s="11">
        <f t="shared" si="5"/>
        <v>0.3325670768</v>
      </c>
    </row>
    <row r="45" ht="29.1" customHeight="1" spans="1:21">
      <c r="A45" s="40">
        <v>46178</v>
      </c>
      <c r="B45" s="41" t="s">
        <v>1297</v>
      </c>
      <c r="C45" s="42" t="s">
        <v>1298</v>
      </c>
      <c r="D45" s="43" t="s">
        <v>1299</v>
      </c>
      <c r="E45" s="44" t="s">
        <v>1300</v>
      </c>
      <c r="F45" s="44" t="s">
        <v>45</v>
      </c>
      <c r="G45" s="44" t="str">
        <f>VLOOKUP(F45,[1]装箱单!$A:$C,3,0)</f>
        <v>鸭子</v>
      </c>
      <c r="H45" s="44">
        <v>56</v>
      </c>
      <c r="I45" s="45">
        <f t="shared" ref="I45:I53" si="9">+L45*18</f>
        <v>1008</v>
      </c>
      <c r="J45" s="45" t="s">
        <v>32</v>
      </c>
      <c r="K45" s="45" t="s">
        <v>33</v>
      </c>
      <c r="L45" s="46">
        <v>56</v>
      </c>
      <c r="M45" s="43">
        <f t="shared" si="4"/>
        <v>0.32440870602</v>
      </c>
      <c r="N45" s="46" t="s">
        <v>34</v>
      </c>
      <c r="O45" s="44">
        <v>33478</v>
      </c>
      <c r="P45" s="48"/>
      <c r="Q45" s="8">
        <f>VLOOKUP($F45,[1]装箱单!$A:$E,5,0)</f>
        <v>32.385</v>
      </c>
      <c r="R45" s="8">
        <f>VLOOKUP($F45,[1]装箱单!$A:$F,6,0)</f>
        <v>18.78</v>
      </c>
      <c r="S45" s="8">
        <f>VLOOKUP($F45,[1]装箱单!$A:$G,7,0)</f>
        <v>9.525</v>
      </c>
      <c r="T45" s="10">
        <f>VLOOKUP($F45,[1]装箱单!$A:$J,10,0)</f>
        <v>0.0057930126075</v>
      </c>
      <c r="U45" s="11">
        <f t="shared" si="5"/>
        <v>0.32440870602</v>
      </c>
    </row>
    <row r="46" ht="29.1" customHeight="1" spans="1:21">
      <c r="A46" s="40">
        <v>46178</v>
      </c>
      <c r="B46" s="41" t="s">
        <v>1297</v>
      </c>
      <c r="C46" s="42" t="s">
        <v>1298</v>
      </c>
      <c r="D46" s="43" t="s">
        <v>1299</v>
      </c>
      <c r="E46" s="44" t="s">
        <v>1300</v>
      </c>
      <c r="F46" s="44" t="s">
        <v>45</v>
      </c>
      <c r="G46" s="44" t="str">
        <f>VLOOKUP(F46,[1]装箱单!$A:$C,3,0)</f>
        <v>鸭子</v>
      </c>
      <c r="H46" s="44">
        <v>56</v>
      </c>
      <c r="I46" s="45">
        <f t="shared" si="9"/>
        <v>1008</v>
      </c>
      <c r="J46" s="45" t="s">
        <v>32</v>
      </c>
      <c r="K46" s="45" t="s">
        <v>33</v>
      </c>
      <c r="L46" s="46">
        <v>56</v>
      </c>
      <c r="M46" s="43">
        <f t="shared" si="4"/>
        <v>0.32440870602</v>
      </c>
      <c r="N46" s="46" t="s">
        <v>34</v>
      </c>
      <c r="O46" s="44">
        <v>33479</v>
      </c>
      <c r="P46" s="48"/>
      <c r="Q46" s="8">
        <f>VLOOKUP($F46,[1]装箱单!$A:$E,5,0)</f>
        <v>32.385</v>
      </c>
      <c r="R46" s="8">
        <f>VLOOKUP($F46,[1]装箱单!$A:$F,6,0)</f>
        <v>18.78</v>
      </c>
      <c r="S46" s="8">
        <f>VLOOKUP($F46,[1]装箱单!$A:$G,7,0)</f>
        <v>9.525</v>
      </c>
      <c r="T46" s="10">
        <f>VLOOKUP($F46,[1]装箱单!$A:$J,10,0)</f>
        <v>0.0057930126075</v>
      </c>
      <c r="U46" s="11">
        <f t="shared" si="5"/>
        <v>0.32440870602</v>
      </c>
    </row>
    <row r="47" ht="29.1" customHeight="1" spans="1:21">
      <c r="A47" s="40">
        <v>46178</v>
      </c>
      <c r="B47" s="41" t="s">
        <v>1297</v>
      </c>
      <c r="C47" s="42" t="s">
        <v>1298</v>
      </c>
      <c r="D47" s="43" t="s">
        <v>1299</v>
      </c>
      <c r="E47" s="44" t="s">
        <v>1300</v>
      </c>
      <c r="F47" s="44" t="s">
        <v>45</v>
      </c>
      <c r="G47" s="44" t="str">
        <f>VLOOKUP(F47,[1]装箱单!$A:$C,3,0)</f>
        <v>鸭子</v>
      </c>
      <c r="H47" s="44">
        <v>56</v>
      </c>
      <c r="I47" s="45">
        <f t="shared" si="9"/>
        <v>1008</v>
      </c>
      <c r="J47" s="45" t="s">
        <v>32</v>
      </c>
      <c r="K47" s="45" t="s">
        <v>33</v>
      </c>
      <c r="L47" s="46">
        <v>56</v>
      </c>
      <c r="M47" s="43">
        <f t="shared" si="4"/>
        <v>0.32440870602</v>
      </c>
      <c r="N47" s="46" t="s">
        <v>34</v>
      </c>
      <c r="O47" s="44">
        <v>33481</v>
      </c>
      <c r="P47" s="48"/>
      <c r="Q47" s="8">
        <f>VLOOKUP($F47,[1]装箱单!$A:$E,5,0)</f>
        <v>32.385</v>
      </c>
      <c r="R47" s="8">
        <f>VLOOKUP($F47,[1]装箱单!$A:$F,6,0)</f>
        <v>18.78</v>
      </c>
      <c r="S47" s="8">
        <f>VLOOKUP($F47,[1]装箱单!$A:$G,7,0)</f>
        <v>9.525</v>
      </c>
      <c r="T47" s="10">
        <f>VLOOKUP($F47,[1]装箱单!$A:$J,10,0)</f>
        <v>0.0057930126075</v>
      </c>
      <c r="U47" s="11">
        <f t="shared" si="5"/>
        <v>0.32440870602</v>
      </c>
    </row>
    <row r="48" ht="29.1" customHeight="1" spans="1:21">
      <c r="A48" s="40">
        <v>46178</v>
      </c>
      <c r="B48" s="41" t="s">
        <v>1297</v>
      </c>
      <c r="C48" s="42" t="s">
        <v>1301</v>
      </c>
      <c r="D48" s="43" t="s">
        <v>1302</v>
      </c>
      <c r="E48" s="44" t="s">
        <v>1303</v>
      </c>
      <c r="F48" s="44" t="s">
        <v>45</v>
      </c>
      <c r="G48" s="44" t="str">
        <f>VLOOKUP(F48,[1]装箱单!$A:$C,3,0)</f>
        <v>鸭子</v>
      </c>
      <c r="H48" s="44">
        <v>6</v>
      </c>
      <c r="I48" s="45">
        <f t="shared" si="9"/>
        <v>108</v>
      </c>
      <c r="J48" s="45" t="s">
        <v>32</v>
      </c>
      <c r="K48" s="45" t="s">
        <v>33</v>
      </c>
      <c r="L48" s="46">
        <v>6</v>
      </c>
      <c r="M48" s="43">
        <f t="shared" si="4"/>
        <v>0.034758075645</v>
      </c>
      <c r="N48" s="46" t="s">
        <v>34</v>
      </c>
      <c r="O48" s="44">
        <v>33479</v>
      </c>
      <c r="P48" s="48"/>
      <c r="Q48" s="8">
        <f>VLOOKUP($F48,[1]装箱单!$A:$E,5,0)</f>
        <v>32.385</v>
      </c>
      <c r="R48" s="8">
        <f>VLOOKUP($F48,[1]装箱单!$A:$F,6,0)</f>
        <v>18.78</v>
      </c>
      <c r="S48" s="8">
        <f>VLOOKUP($F48,[1]装箱单!$A:$G,7,0)</f>
        <v>9.525</v>
      </c>
      <c r="T48" s="10">
        <f>VLOOKUP($F48,[1]装箱单!$A:$J,10,0)</f>
        <v>0.0057930126075</v>
      </c>
      <c r="U48" s="11">
        <f t="shared" si="5"/>
        <v>0.034758075645</v>
      </c>
    </row>
    <row r="49" ht="29.1" customHeight="1" spans="1:21">
      <c r="A49" s="40">
        <v>46178</v>
      </c>
      <c r="B49" s="41" t="s">
        <v>1297</v>
      </c>
      <c r="C49" s="42" t="s">
        <v>1301</v>
      </c>
      <c r="D49" s="43" t="s">
        <v>1302</v>
      </c>
      <c r="E49" s="44" t="s">
        <v>1303</v>
      </c>
      <c r="F49" s="44" t="s">
        <v>45</v>
      </c>
      <c r="G49" s="44" t="str">
        <f>VLOOKUP(F49,[1]装箱单!$A:$C,3,0)</f>
        <v>鸭子</v>
      </c>
      <c r="H49" s="44">
        <v>6</v>
      </c>
      <c r="I49" s="45">
        <f t="shared" si="9"/>
        <v>108</v>
      </c>
      <c r="J49" s="45" t="s">
        <v>32</v>
      </c>
      <c r="K49" s="45" t="s">
        <v>33</v>
      </c>
      <c r="L49" s="46">
        <v>6</v>
      </c>
      <c r="M49" s="43">
        <f t="shared" si="4"/>
        <v>0.034758075645</v>
      </c>
      <c r="N49" s="46" t="s">
        <v>34</v>
      </c>
      <c r="O49" s="44">
        <v>33478</v>
      </c>
      <c r="P49" s="48"/>
      <c r="Q49" s="8">
        <f>VLOOKUP($F49,[1]装箱单!$A:$E,5,0)</f>
        <v>32.385</v>
      </c>
      <c r="R49" s="8">
        <f>VLOOKUP($F49,[1]装箱单!$A:$F,6,0)</f>
        <v>18.78</v>
      </c>
      <c r="S49" s="8">
        <f>VLOOKUP($F49,[1]装箱单!$A:$G,7,0)</f>
        <v>9.525</v>
      </c>
      <c r="T49" s="10">
        <f>VLOOKUP($F49,[1]装箱单!$A:$J,10,0)</f>
        <v>0.0057930126075</v>
      </c>
      <c r="U49" s="11">
        <f t="shared" si="5"/>
        <v>0.034758075645</v>
      </c>
    </row>
    <row r="50" ht="29.1" customHeight="1" spans="1:21">
      <c r="A50" s="40">
        <v>46178</v>
      </c>
      <c r="B50" s="41" t="s">
        <v>1297</v>
      </c>
      <c r="C50" s="42" t="s">
        <v>1301</v>
      </c>
      <c r="D50" s="43" t="s">
        <v>1302</v>
      </c>
      <c r="E50" s="44" t="s">
        <v>1303</v>
      </c>
      <c r="F50" s="44" t="s">
        <v>45</v>
      </c>
      <c r="G50" s="44" t="str">
        <f>VLOOKUP(F50,[1]装箱单!$A:$C,3,0)</f>
        <v>鸭子</v>
      </c>
      <c r="H50" s="44">
        <v>6</v>
      </c>
      <c r="I50" s="45">
        <f t="shared" si="9"/>
        <v>108</v>
      </c>
      <c r="J50" s="45" t="s">
        <v>32</v>
      </c>
      <c r="K50" s="45" t="s">
        <v>33</v>
      </c>
      <c r="L50" s="46">
        <v>6</v>
      </c>
      <c r="M50" s="43">
        <f t="shared" si="4"/>
        <v>0.034758075645</v>
      </c>
      <c r="N50" s="46" t="s">
        <v>34</v>
      </c>
      <c r="O50" s="44">
        <v>33481</v>
      </c>
      <c r="P50" s="48"/>
      <c r="Q50" s="8">
        <f>VLOOKUP($F50,[1]装箱单!$A:$E,5,0)</f>
        <v>32.385</v>
      </c>
      <c r="R50" s="8">
        <f>VLOOKUP($F50,[1]装箱单!$A:$F,6,0)</f>
        <v>18.78</v>
      </c>
      <c r="S50" s="8">
        <f>VLOOKUP($F50,[1]装箱单!$A:$G,7,0)</f>
        <v>9.525</v>
      </c>
      <c r="T50" s="10">
        <f>VLOOKUP($F50,[1]装箱单!$A:$J,10,0)</f>
        <v>0.0057930126075</v>
      </c>
      <c r="U50" s="11">
        <f t="shared" si="5"/>
        <v>0.034758075645</v>
      </c>
    </row>
    <row r="51" ht="29.1" customHeight="1" spans="1:21">
      <c r="A51" s="40">
        <v>46178</v>
      </c>
      <c r="B51" s="41" t="s">
        <v>1297</v>
      </c>
      <c r="C51" s="42" t="s">
        <v>1304</v>
      </c>
      <c r="D51" s="43" t="s">
        <v>1305</v>
      </c>
      <c r="E51" s="44" t="s">
        <v>1306</v>
      </c>
      <c r="F51" s="44" t="s">
        <v>45</v>
      </c>
      <c r="G51" s="44" t="str">
        <f>VLOOKUP(F51,[1]装箱单!$A:$C,3,0)</f>
        <v>鸭子</v>
      </c>
      <c r="H51" s="44">
        <v>56</v>
      </c>
      <c r="I51" s="45">
        <f t="shared" si="9"/>
        <v>1008</v>
      </c>
      <c r="J51" s="45" t="s">
        <v>32</v>
      </c>
      <c r="K51" s="45" t="s">
        <v>33</v>
      </c>
      <c r="L51" s="46">
        <v>56</v>
      </c>
      <c r="M51" s="43">
        <f t="shared" si="4"/>
        <v>0.32440870602</v>
      </c>
      <c r="N51" s="46" t="s">
        <v>34</v>
      </c>
      <c r="O51" s="44">
        <v>33478</v>
      </c>
      <c r="P51" s="48"/>
      <c r="Q51" s="8">
        <f>VLOOKUP($F51,[1]装箱单!$A:$E,5,0)</f>
        <v>32.385</v>
      </c>
      <c r="R51" s="8">
        <f>VLOOKUP($F51,[1]装箱单!$A:$F,6,0)</f>
        <v>18.78</v>
      </c>
      <c r="S51" s="8">
        <f>VLOOKUP($F51,[1]装箱单!$A:$G,7,0)</f>
        <v>9.525</v>
      </c>
      <c r="T51" s="10">
        <f>VLOOKUP($F51,[1]装箱单!$A:$J,10,0)</f>
        <v>0.0057930126075</v>
      </c>
      <c r="U51" s="11">
        <f t="shared" si="5"/>
        <v>0.32440870602</v>
      </c>
    </row>
    <row r="52" ht="29.1" customHeight="1" spans="1:21">
      <c r="A52" s="40">
        <v>46178</v>
      </c>
      <c r="B52" s="41" t="s">
        <v>1297</v>
      </c>
      <c r="C52" s="42" t="s">
        <v>1304</v>
      </c>
      <c r="D52" s="43" t="s">
        <v>1305</v>
      </c>
      <c r="E52" s="44" t="s">
        <v>1306</v>
      </c>
      <c r="F52" s="44" t="s">
        <v>45</v>
      </c>
      <c r="G52" s="44" t="str">
        <f>VLOOKUP(F52,[1]装箱单!$A:$C,3,0)</f>
        <v>鸭子</v>
      </c>
      <c r="H52" s="44">
        <v>56</v>
      </c>
      <c r="I52" s="45">
        <f t="shared" si="9"/>
        <v>1008</v>
      </c>
      <c r="J52" s="45" t="s">
        <v>32</v>
      </c>
      <c r="K52" s="45" t="s">
        <v>33</v>
      </c>
      <c r="L52" s="46">
        <v>56</v>
      </c>
      <c r="M52" s="43">
        <f t="shared" si="4"/>
        <v>0.32440870602</v>
      </c>
      <c r="N52" s="46" t="s">
        <v>34</v>
      </c>
      <c r="O52" s="44">
        <v>33481</v>
      </c>
      <c r="P52" s="48"/>
      <c r="Q52" s="8">
        <f>VLOOKUP($F52,[1]装箱单!$A:$E,5,0)</f>
        <v>32.385</v>
      </c>
      <c r="R52" s="8">
        <f>VLOOKUP($F52,[1]装箱单!$A:$F,6,0)</f>
        <v>18.78</v>
      </c>
      <c r="S52" s="8">
        <f>VLOOKUP($F52,[1]装箱单!$A:$G,7,0)</f>
        <v>9.525</v>
      </c>
      <c r="T52" s="10">
        <f>VLOOKUP($F52,[1]装箱单!$A:$J,10,0)</f>
        <v>0.0057930126075</v>
      </c>
      <c r="U52" s="11">
        <f t="shared" si="5"/>
        <v>0.32440870602</v>
      </c>
    </row>
    <row r="53" ht="29.1" customHeight="1" spans="1:21">
      <c r="A53" s="40">
        <v>46178</v>
      </c>
      <c r="B53" s="41" t="s">
        <v>1133</v>
      </c>
      <c r="C53" s="42" t="s">
        <v>1307</v>
      </c>
      <c r="D53" s="43" t="s">
        <v>1308</v>
      </c>
      <c r="E53" s="44" t="s">
        <v>1309</v>
      </c>
      <c r="F53" s="44" t="s">
        <v>45</v>
      </c>
      <c r="G53" s="44" t="str">
        <f>VLOOKUP(F53,[1]装箱单!$A:$C,3,0)</f>
        <v>鸭子</v>
      </c>
      <c r="H53" s="44">
        <v>1000</v>
      </c>
      <c r="I53" s="45">
        <f t="shared" si="9"/>
        <v>18000</v>
      </c>
      <c r="J53" s="45" t="s">
        <v>32</v>
      </c>
      <c r="K53" s="45" t="s">
        <v>33</v>
      </c>
      <c r="L53" s="46">
        <v>1000</v>
      </c>
      <c r="M53" s="43">
        <f t="shared" si="4"/>
        <v>5.7930126075</v>
      </c>
      <c r="N53" s="46" t="s">
        <v>34</v>
      </c>
      <c r="O53" s="44"/>
      <c r="P53" s="48"/>
      <c r="Q53" s="8">
        <f>VLOOKUP($F53,[1]装箱单!$A:$E,5,0)</f>
        <v>32.385</v>
      </c>
      <c r="R53" s="8">
        <f>VLOOKUP($F53,[1]装箱单!$A:$F,6,0)</f>
        <v>18.78</v>
      </c>
      <c r="S53" s="8">
        <f>VLOOKUP($F53,[1]装箱单!$A:$G,7,0)</f>
        <v>9.525</v>
      </c>
      <c r="T53" s="10">
        <f>VLOOKUP($F53,[1]装箱单!$A:$J,10,0)</f>
        <v>0.0057930126075</v>
      </c>
      <c r="U53" s="11">
        <f t="shared" si="5"/>
        <v>5.7930126075</v>
      </c>
    </row>
    <row r="54" ht="29.1" customHeight="1" spans="1:21">
      <c r="A54" s="40">
        <v>46178</v>
      </c>
      <c r="B54" s="41" t="s">
        <v>1190</v>
      </c>
      <c r="C54" s="42" t="s">
        <v>1310</v>
      </c>
      <c r="D54" s="43" t="s">
        <v>1311</v>
      </c>
      <c r="E54" s="44" t="s">
        <v>1312</v>
      </c>
      <c r="F54" s="44">
        <v>46462</v>
      </c>
      <c r="G54" s="44" t="str">
        <f>VLOOKUP(F54,[1]装箱单!$A:$C,3,0)</f>
        <v>史迪仔系列</v>
      </c>
      <c r="H54" s="44">
        <f t="shared" ref="H54:H57" si="10">+I54/2</f>
        <v>250</v>
      </c>
      <c r="I54" s="45">
        <f t="shared" ref="I54:I57" si="11">+L54*2</f>
        <v>500</v>
      </c>
      <c r="J54" s="45" t="s">
        <v>47</v>
      </c>
      <c r="K54" s="45" t="s">
        <v>33</v>
      </c>
      <c r="L54" s="46">
        <v>250</v>
      </c>
      <c r="M54" s="43">
        <f t="shared" si="4"/>
        <v>5.591429508</v>
      </c>
      <c r="N54" s="46" t="s">
        <v>34</v>
      </c>
      <c r="O54" s="44" t="s">
        <v>164</v>
      </c>
      <c r="P54" s="48"/>
      <c r="Q54" s="8">
        <f>VLOOKUP($F54,[1]装箱单!$A:$E,5,0)</f>
        <v>40.01</v>
      </c>
      <c r="R54" s="8">
        <f>VLOOKUP($F54,[1]装箱单!$A:$F,6,0)</f>
        <v>26.67</v>
      </c>
      <c r="S54" s="8">
        <f>VLOOKUP($F54,[1]装箱单!$A:$G,7,0)</f>
        <v>20.96</v>
      </c>
      <c r="T54" s="10">
        <f>VLOOKUP($F54,[1]装箱单!$A:$J,10,0)</f>
        <v>0.022365718032</v>
      </c>
      <c r="U54" s="11">
        <f t="shared" si="5"/>
        <v>5.591429508</v>
      </c>
    </row>
    <row r="55" ht="29.1" customHeight="1" spans="1:21">
      <c r="A55" s="40">
        <v>46178</v>
      </c>
      <c r="B55" s="41" t="s">
        <v>1190</v>
      </c>
      <c r="C55" s="42" t="s">
        <v>1310</v>
      </c>
      <c r="D55" s="43" t="s">
        <v>1311</v>
      </c>
      <c r="E55" s="44" t="s">
        <v>1312</v>
      </c>
      <c r="F55" s="44">
        <v>46097</v>
      </c>
      <c r="G55" s="44" t="str">
        <f>VLOOKUP(F55,[1]装箱单!$A:$C,3,0)</f>
        <v>小熊维尼历险记系列</v>
      </c>
      <c r="H55" s="44">
        <f t="shared" si="10"/>
        <v>250</v>
      </c>
      <c r="I55" s="45">
        <f t="shared" si="11"/>
        <v>500</v>
      </c>
      <c r="J55" s="45" t="s">
        <v>47</v>
      </c>
      <c r="K55" s="45" t="s">
        <v>33</v>
      </c>
      <c r="L55" s="46">
        <v>250</v>
      </c>
      <c r="M55" s="43">
        <f t="shared" si="4"/>
        <v>5.591429508</v>
      </c>
      <c r="N55" s="46" t="s">
        <v>34</v>
      </c>
      <c r="O55" s="44" t="s">
        <v>164</v>
      </c>
      <c r="P55" s="48"/>
      <c r="Q55" s="8">
        <f>VLOOKUP($F55,[1]装箱单!$A:$E,5,0)</f>
        <v>40.01</v>
      </c>
      <c r="R55" s="8">
        <f>VLOOKUP($F55,[1]装箱单!$A:$F,6,0)</f>
        <v>26.67</v>
      </c>
      <c r="S55" s="8">
        <f>VLOOKUP($F55,[1]装箱单!$A:$G,7,0)</f>
        <v>20.96</v>
      </c>
      <c r="T55" s="10">
        <f>VLOOKUP($F55,[1]装箱单!$A:$J,10,0)</f>
        <v>0.022365718032</v>
      </c>
      <c r="U55" s="11">
        <f t="shared" si="5"/>
        <v>5.591429508</v>
      </c>
    </row>
    <row r="56" ht="29.1" customHeight="1" spans="1:21">
      <c r="A56" s="40">
        <v>46178</v>
      </c>
      <c r="B56" s="41" t="s">
        <v>1190</v>
      </c>
      <c r="C56" s="42" t="s">
        <v>1310</v>
      </c>
      <c r="D56" s="43" t="s">
        <v>1311</v>
      </c>
      <c r="E56" s="44" t="s">
        <v>1312</v>
      </c>
      <c r="F56" s="44">
        <v>46099</v>
      </c>
      <c r="G56" s="44" t="str">
        <f>VLOOKUP(F56,[1]装箱单!$A:$C,3,0)</f>
        <v>米奇老鼠系列</v>
      </c>
      <c r="H56" s="44">
        <f t="shared" si="10"/>
        <v>250</v>
      </c>
      <c r="I56" s="45">
        <f t="shared" si="11"/>
        <v>500</v>
      </c>
      <c r="J56" s="45" t="s">
        <v>47</v>
      </c>
      <c r="K56" s="45" t="s">
        <v>33</v>
      </c>
      <c r="L56" s="46">
        <v>250</v>
      </c>
      <c r="M56" s="43">
        <f t="shared" si="4"/>
        <v>5.591429508</v>
      </c>
      <c r="N56" s="46" t="s">
        <v>34</v>
      </c>
      <c r="O56" s="44" t="s">
        <v>164</v>
      </c>
      <c r="P56" s="48"/>
      <c r="Q56" s="8">
        <f>VLOOKUP($F56,[1]装箱单!$A:$E,5,0)</f>
        <v>40.01</v>
      </c>
      <c r="R56" s="8">
        <f>VLOOKUP($F56,[1]装箱单!$A:$F,6,0)</f>
        <v>26.67</v>
      </c>
      <c r="S56" s="8">
        <f>VLOOKUP($F56,[1]装箱单!$A:$G,7,0)</f>
        <v>20.96</v>
      </c>
      <c r="T56" s="10">
        <f>VLOOKUP($F56,[1]装箱单!$A:$J,10,0)</f>
        <v>0.022365718032</v>
      </c>
      <c r="U56" s="11">
        <f t="shared" si="5"/>
        <v>5.591429508</v>
      </c>
    </row>
    <row r="57" ht="29.1" customHeight="1" spans="1:21">
      <c r="A57" s="40">
        <v>46178</v>
      </c>
      <c r="B57" s="41" t="s">
        <v>1190</v>
      </c>
      <c r="C57" s="42" t="s">
        <v>1310</v>
      </c>
      <c r="D57" s="43" t="s">
        <v>1311</v>
      </c>
      <c r="E57" s="44" t="s">
        <v>1312</v>
      </c>
      <c r="F57" s="44">
        <v>46496</v>
      </c>
      <c r="G57" s="44" t="str">
        <f>VLOOKUP(F57,[1]装箱单!$A:$C,3,0)</f>
        <v>米妮系列</v>
      </c>
      <c r="H57" s="44">
        <f t="shared" si="10"/>
        <v>250</v>
      </c>
      <c r="I57" s="45">
        <f t="shared" si="11"/>
        <v>500</v>
      </c>
      <c r="J57" s="45" t="s">
        <v>47</v>
      </c>
      <c r="K57" s="45" t="s">
        <v>33</v>
      </c>
      <c r="L57" s="46">
        <v>250</v>
      </c>
      <c r="M57" s="43">
        <f t="shared" si="4"/>
        <v>5.591429508</v>
      </c>
      <c r="N57" s="46" t="s">
        <v>34</v>
      </c>
      <c r="O57" s="44" t="s">
        <v>164</v>
      </c>
      <c r="P57" s="48"/>
      <c r="Q57" s="8">
        <f>VLOOKUP($F57,[1]装箱单!$A:$E,5,0)</f>
        <v>40.01</v>
      </c>
      <c r="R57" s="8">
        <f>VLOOKUP($F57,[1]装箱单!$A:$F,6,0)</f>
        <v>26.67</v>
      </c>
      <c r="S57" s="8">
        <f>VLOOKUP($F57,[1]装箱单!$A:$G,7,0)</f>
        <v>20.96</v>
      </c>
      <c r="T57" s="10">
        <f>VLOOKUP($F57,[1]装箱单!$A:$J,10,0)</f>
        <v>0.022365718032</v>
      </c>
      <c r="U57" s="11">
        <f t="shared" si="5"/>
        <v>5.591429508</v>
      </c>
    </row>
    <row r="58" ht="29.1" customHeight="1" spans="1:21">
      <c r="A58" s="40"/>
      <c r="B58" s="41"/>
      <c r="C58" s="42"/>
      <c r="D58" s="43"/>
      <c r="E58" s="44"/>
      <c r="F58" s="44"/>
      <c r="G58" s="44"/>
      <c r="H58" s="44"/>
      <c r="I58" s="45"/>
      <c r="J58" s="45"/>
      <c r="K58" s="45"/>
      <c r="L58" s="46"/>
      <c r="M58" s="43">
        <f>SUM(M10:M57)</f>
        <v>118.697262631567</v>
      </c>
      <c r="N58" s="46"/>
      <c r="O58" s="44"/>
      <c r="P58" s="51"/>
    </row>
    <row r="59" ht="29.1" customHeight="1" spans="1:21">
      <c r="A59" s="40">
        <v>46179</v>
      </c>
      <c r="B59" s="41" t="s">
        <v>138</v>
      </c>
      <c r="C59" s="42" t="s">
        <v>1313</v>
      </c>
      <c r="D59" s="43" t="s">
        <v>1314</v>
      </c>
      <c r="E59" s="44" t="s">
        <v>1315</v>
      </c>
      <c r="F59" s="44">
        <v>46462</v>
      </c>
      <c r="G59" s="44" t="str">
        <f>VLOOKUP(F59,[1]装箱单!$A:$C,3,0)</f>
        <v>史迪仔系列</v>
      </c>
      <c r="H59" s="44">
        <f t="shared" ref="H59:H62" si="12">+I59/2</f>
        <v>50</v>
      </c>
      <c r="I59" s="45">
        <f t="shared" ref="I59:I62" si="13">+L59*2</f>
        <v>100</v>
      </c>
      <c r="J59" s="45" t="s">
        <v>47</v>
      </c>
      <c r="K59" s="45" t="s">
        <v>33</v>
      </c>
      <c r="L59" s="46">
        <v>50</v>
      </c>
      <c r="M59" s="43">
        <f t="shared" ref="M59:M67" si="14">+U59</f>
        <v>1.1182859016</v>
      </c>
      <c r="N59" s="46" t="s">
        <v>34</v>
      </c>
      <c r="O59" s="44"/>
      <c r="P59" s="47" t="s">
        <v>901</v>
      </c>
      <c r="Q59" s="8">
        <f>VLOOKUP($F59,[1]装箱单!$A:$E,5,0)</f>
        <v>40.01</v>
      </c>
      <c r="R59" s="8">
        <f>VLOOKUP($F59,[1]装箱单!$A:$F,6,0)</f>
        <v>26.67</v>
      </c>
      <c r="S59" s="8">
        <f>VLOOKUP($F59,[1]装箱单!$A:$G,7,0)</f>
        <v>20.96</v>
      </c>
      <c r="T59" s="10">
        <f>VLOOKUP($F59,[1]装箱单!$A:$J,10,0)</f>
        <v>0.022365718032</v>
      </c>
      <c r="U59" s="11">
        <f t="shared" ref="U59:U67" si="15">+T59*L59</f>
        <v>1.1182859016</v>
      </c>
    </row>
    <row r="60" ht="29.1" customHeight="1" spans="1:21">
      <c r="A60" s="40">
        <v>46179</v>
      </c>
      <c r="B60" s="41" t="s">
        <v>138</v>
      </c>
      <c r="C60" s="42" t="s">
        <v>1313</v>
      </c>
      <c r="D60" s="43" t="s">
        <v>1314</v>
      </c>
      <c r="E60" s="44" t="s">
        <v>1315</v>
      </c>
      <c r="F60" s="44">
        <v>46132</v>
      </c>
      <c r="G60" s="44" t="str">
        <f>VLOOKUP(F60,[1]装箱单!$A:$C,3,0)</f>
        <v>赛车总动员系列</v>
      </c>
      <c r="H60" s="44">
        <f t="shared" si="12"/>
        <v>50</v>
      </c>
      <c r="I60" s="45">
        <f t="shared" si="13"/>
        <v>100</v>
      </c>
      <c r="J60" s="45" t="s">
        <v>47</v>
      </c>
      <c r="K60" s="45" t="s">
        <v>33</v>
      </c>
      <c r="L60" s="46">
        <v>50</v>
      </c>
      <c r="M60" s="43">
        <f t="shared" si="14"/>
        <v>1.1182859016</v>
      </c>
      <c r="N60" s="46" t="s">
        <v>34</v>
      </c>
      <c r="O60" s="44"/>
      <c r="P60" s="48"/>
      <c r="Q60" s="8">
        <f>VLOOKUP($F60,[1]装箱单!$A:$E,5,0)</f>
        <v>40.01</v>
      </c>
      <c r="R60" s="8">
        <f>VLOOKUP($F60,[1]装箱单!$A:$F,6,0)</f>
        <v>26.67</v>
      </c>
      <c r="S60" s="8">
        <f>VLOOKUP($F60,[1]装箱单!$A:$G,7,0)</f>
        <v>20.96</v>
      </c>
      <c r="T60" s="10">
        <f>VLOOKUP($F60,[1]装箱单!$A:$J,10,0)</f>
        <v>0.022365718032</v>
      </c>
      <c r="U60" s="11">
        <f t="shared" si="15"/>
        <v>1.1182859016</v>
      </c>
    </row>
    <row r="61" ht="29.1" customHeight="1" spans="1:21">
      <c r="A61" s="40">
        <v>46179</v>
      </c>
      <c r="B61" s="41" t="s">
        <v>138</v>
      </c>
      <c r="C61" s="42" t="s">
        <v>1313</v>
      </c>
      <c r="D61" s="43" t="s">
        <v>1314</v>
      </c>
      <c r="E61" s="44" t="s">
        <v>1315</v>
      </c>
      <c r="F61" s="44">
        <v>46099</v>
      </c>
      <c r="G61" s="44" t="str">
        <f>VLOOKUP(F61,[1]装箱单!$A:$C,3,0)</f>
        <v>米奇老鼠系列</v>
      </c>
      <c r="H61" s="44">
        <f t="shared" si="12"/>
        <v>50</v>
      </c>
      <c r="I61" s="45">
        <f t="shared" si="13"/>
        <v>100</v>
      </c>
      <c r="J61" s="45" t="s">
        <v>47</v>
      </c>
      <c r="K61" s="45" t="s">
        <v>33</v>
      </c>
      <c r="L61" s="46">
        <v>50</v>
      </c>
      <c r="M61" s="43">
        <f t="shared" si="14"/>
        <v>1.1182859016</v>
      </c>
      <c r="N61" s="46" t="s">
        <v>34</v>
      </c>
      <c r="O61" s="44"/>
      <c r="P61" s="48"/>
      <c r="Q61" s="8">
        <f>VLOOKUP($F61,[1]装箱单!$A:$E,5,0)</f>
        <v>40.01</v>
      </c>
      <c r="R61" s="8">
        <f>VLOOKUP($F61,[1]装箱单!$A:$F,6,0)</f>
        <v>26.67</v>
      </c>
      <c r="S61" s="8">
        <f>VLOOKUP($F61,[1]装箱单!$A:$G,7,0)</f>
        <v>20.96</v>
      </c>
      <c r="T61" s="10">
        <f>VLOOKUP($F61,[1]装箱单!$A:$J,10,0)</f>
        <v>0.022365718032</v>
      </c>
      <c r="U61" s="11">
        <f t="shared" si="15"/>
        <v>1.1182859016</v>
      </c>
    </row>
    <row r="62" ht="29.1" customHeight="1" spans="1:21">
      <c r="A62" s="40">
        <v>46179</v>
      </c>
      <c r="B62" s="41" t="s">
        <v>138</v>
      </c>
      <c r="C62" s="42" t="s">
        <v>1313</v>
      </c>
      <c r="D62" s="43" t="s">
        <v>1314</v>
      </c>
      <c r="E62" s="44" t="s">
        <v>1315</v>
      </c>
      <c r="F62" s="44">
        <v>46097</v>
      </c>
      <c r="G62" s="44" t="str">
        <f>VLOOKUP(F62,[1]装箱单!$A:$C,3,0)</f>
        <v>小熊维尼历险记系列</v>
      </c>
      <c r="H62" s="44">
        <f t="shared" si="12"/>
        <v>50</v>
      </c>
      <c r="I62" s="45">
        <f t="shared" si="13"/>
        <v>100</v>
      </c>
      <c r="J62" s="45" t="s">
        <v>47</v>
      </c>
      <c r="K62" s="45" t="s">
        <v>33</v>
      </c>
      <c r="L62" s="46">
        <v>50</v>
      </c>
      <c r="M62" s="43">
        <f t="shared" si="14"/>
        <v>1.1182859016</v>
      </c>
      <c r="N62" s="46" t="s">
        <v>34</v>
      </c>
      <c r="O62" s="44"/>
      <c r="P62" s="48"/>
      <c r="Q62" s="8">
        <f>VLOOKUP($F62,[1]装箱单!$A:$E,5,0)</f>
        <v>40.01</v>
      </c>
      <c r="R62" s="8">
        <f>VLOOKUP($F62,[1]装箱单!$A:$F,6,0)</f>
        <v>26.67</v>
      </c>
      <c r="S62" s="8">
        <f>VLOOKUP($F62,[1]装箱单!$A:$G,7,0)</f>
        <v>20.96</v>
      </c>
      <c r="T62" s="10">
        <f>VLOOKUP($F62,[1]装箱单!$A:$J,10,0)</f>
        <v>0.022365718032</v>
      </c>
      <c r="U62" s="11">
        <f t="shared" si="15"/>
        <v>1.1182859016</v>
      </c>
    </row>
    <row r="63" ht="29.1" customHeight="1" spans="1:21">
      <c r="A63" s="40">
        <v>46179</v>
      </c>
      <c r="B63" s="41" t="s">
        <v>1316</v>
      </c>
      <c r="C63" s="42" t="s">
        <v>1317</v>
      </c>
      <c r="D63" s="43" t="s">
        <v>1318</v>
      </c>
      <c r="E63" s="44" t="s">
        <v>1319</v>
      </c>
      <c r="F63" s="44" t="s">
        <v>1320</v>
      </c>
      <c r="G63" s="44" t="str">
        <f>VLOOKUP(F63,[1]装箱单!$A:$C,3,0)</f>
        <v>盲盒小鸭</v>
      </c>
      <c r="H63" s="44">
        <v>360</v>
      </c>
      <c r="I63" s="45">
        <v>34560</v>
      </c>
      <c r="J63" s="45" t="s">
        <v>32</v>
      </c>
      <c r="K63" s="45" t="s">
        <v>33</v>
      </c>
      <c r="L63" s="46">
        <v>360</v>
      </c>
      <c r="M63" s="43">
        <f t="shared" si="14"/>
        <v>29.66024061</v>
      </c>
      <c r="N63" s="46" t="s">
        <v>34</v>
      </c>
      <c r="O63" s="44"/>
      <c r="P63" s="48"/>
      <c r="Q63" s="8">
        <f>VLOOKUP($F63,[1]装箱单!$A:$E,5,0)</f>
        <v>54.95</v>
      </c>
      <c r="R63" s="8">
        <f>VLOOKUP($F63,[1]装箱单!$A:$F,6,0)</f>
        <v>34.95</v>
      </c>
      <c r="S63" s="8">
        <f>VLOOKUP($F63,[1]装箱单!$A:$G,7,0)</f>
        <v>42.9</v>
      </c>
      <c r="T63" s="10">
        <f>VLOOKUP($F63,[1]装箱单!$A:$J,10,0)</f>
        <v>0.08238955725</v>
      </c>
      <c r="U63" s="11">
        <f t="shared" si="15"/>
        <v>29.66024061</v>
      </c>
    </row>
    <row r="64" ht="29.1" customHeight="1" spans="1:21">
      <c r="A64" s="40">
        <v>46179</v>
      </c>
      <c r="B64" s="41" t="s">
        <v>1316</v>
      </c>
      <c r="C64" s="42" t="s">
        <v>1321</v>
      </c>
      <c r="D64" s="43" t="s">
        <v>1322</v>
      </c>
      <c r="E64" s="44" t="s">
        <v>1323</v>
      </c>
      <c r="F64" s="44" t="s">
        <v>1320</v>
      </c>
      <c r="G64" s="44" t="str">
        <f>VLOOKUP(F64,[1]装箱单!$A:$C,3,0)</f>
        <v>盲盒小鸭</v>
      </c>
      <c r="H64" s="44">
        <v>240</v>
      </c>
      <c r="I64" s="45">
        <v>23040</v>
      </c>
      <c r="J64" s="45" t="s">
        <v>32</v>
      </c>
      <c r="K64" s="45" t="s">
        <v>33</v>
      </c>
      <c r="L64" s="46">
        <v>240</v>
      </c>
      <c r="M64" s="43">
        <f t="shared" si="14"/>
        <v>19.77349374</v>
      </c>
      <c r="N64" s="46" t="s">
        <v>34</v>
      </c>
      <c r="O64" s="44"/>
      <c r="P64" s="48"/>
      <c r="Q64" s="8">
        <f>VLOOKUP($F64,[1]装箱单!$A:$E,5,0)</f>
        <v>54.95</v>
      </c>
      <c r="R64" s="8">
        <f>VLOOKUP($F64,[1]装箱单!$A:$F,6,0)</f>
        <v>34.95</v>
      </c>
      <c r="S64" s="8">
        <f>VLOOKUP($F64,[1]装箱单!$A:$G,7,0)</f>
        <v>42.9</v>
      </c>
      <c r="T64" s="10">
        <f>VLOOKUP($F64,[1]装箱单!$A:$J,10,0)</f>
        <v>0.08238955725</v>
      </c>
      <c r="U64" s="11">
        <f t="shared" si="15"/>
        <v>19.77349374</v>
      </c>
    </row>
    <row r="65" ht="29.1" customHeight="1" spans="1:21">
      <c r="A65" s="40">
        <v>46179</v>
      </c>
      <c r="B65" s="41" t="s">
        <v>1324</v>
      </c>
      <c r="C65" s="42" t="s">
        <v>935</v>
      </c>
      <c r="D65" s="43" t="s">
        <v>936</v>
      </c>
      <c r="E65" s="44">
        <v>1598562</v>
      </c>
      <c r="F65" s="44" t="s">
        <v>1320</v>
      </c>
      <c r="G65" s="44" t="str">
        <f>VLOOKUP(F65,[1]装箱单!$A:$C,3,0)</f>
        <v>盲盒小鸭</v>
      </c>
      <c r="H65" s="44">
        <v>470</v>
      </c>
      <c r="I65" s="45">
        <v>45120</v>
      </c>
      <c r="J65" s="45" t="s">
        <v>32</v>
      </c>
      <c r="K65" s="45" t="s">
        <v>33</v>
      </c>
      <c r="L65" s="46">
        <v>470</v>
      </c>
      <c r="M65" s="43">
        <f t="shared" si="14"/>
        <v>38.7230919075</v>
      </c>
      <c r="N65" s="46" t="s">
        <v>34</v>
      </c>
      <c r="O65" s="44"/>
      <c r="P65" s="48"/>
      <c r="Q65" s="8">
        <f>VLOOKUP($F65,[1]装箱单!$A:$E,5,0)</f>
        <v>54.95</v>
      </c>
      <c r="R65" s="8">
        <f>VLOOKUP($F65,[1]装箱单!$A:$F,6,0)</f>
        <v>34.95</v>
      </c>
      <c r="S65" s="8">
        <f>VLOOKUP($F65,[1]装箱单!$A:$G,7,0)</f>
        <v>42.9</v>
      </c>
      <c r="T65" s="10">
        <f>VLOOKUP($F65,[1]装箱单!$A:$J,10,0)</f>
        <v>0.08238955725</v>
      </c>
      <c r="U65" s="11">
        <f t="shared" si="15"/>
        <v>38.7230919075</v>
      </c>
    </row>
    <row r="66" ht="29.1" customHeight="1" spans="1:21">
      <c r="A66" s="40">
        <v>46179</v>
      </c>
      <c r="B66" s="41" t="s">
        <v>1324</v>
      </c>
      <c r="C66" s="42" t="s">
        <v>933</v>
      </c>
      <c r="D66" s="43" t="s">
        <v>934</v>
      </c>
      <c r="E66" s="44" t="s">
        <v>1325</v>
      </c>
      <c r="F66" s="44" t="s">
        <v>1320</v>
      </c>
      <c r="G66" s="44" t="str">
        <f>VLOOKUP(F66,[1]装箱单!$A:$C,3,0)</f>
        <v>盲盒小鸭</v>
      </c>
      <c r="H66" s="44">
        <v>390</v>
      </c>
      <c r="I66" s="45">
        <v>37440</v>
      </c>
      <c r="J66" s="45" t="s">
        <v>32</v>
      </c>
      <c r="K66" s="45" t="s">
        <v>33</v>
      </c>
      <c r="L66" s="46">
        <v>390</v>
      </c>
      <c r="M66" s="43">
        <f t="shared" si="14"/>
        <v>32.1319273275</v>
      </c>
      <c r="N66" s="46" t="s">
        <v>34</v>
      </c>
      <c r="O66" s="44"/>
      <c r="P66" s="48"/>
      <c r="Q66" s="8">
        <f>VLOOKUP($F66,[1]装箱单!$A:$E,5,0)</f>
        <v>54.95</v>
      </c>
      <c r="R66" s="8">
        <f>VLOOKUP($F66,[1]装箱单!$A:$F,6,0)</f>
        <v>34.95</v>
      </c>
      <c r="S66" s="8">
        <f>VLOOKUP($F66,[1]装箱单!$A:$G,7,0)</f>
        <v>42.9</v>
      </c>
      <c r="T66" s="10">
        <f>VLOOKUP($F66,[1]装箱单!$A:$J,10,0)</f>
        <v>0.08238955725</v>
      </c>
      <c r="U66" s="11">
        <f t="shared" si="15"/>
        <v>32.1319273275</v>
      </c>
    </row>
    <row r="67" ht="29.1" customHeight="1" spans="1:21">
      <c r="A67" s="40">
        <v>46179</v>
      </c>
      <c r="B67" s="41" t="s">
        <v>1324</v>
      </c>
      <c r="C67" s="42" t="s">
        <v>1264</v>
      </c>
      <c r="D67" s="43" t="s">
        <v>1265</v>
      </c>
      <c r="E67" s="44" t="s">
        <v>1325</v>
      </c>
      <c r="F67" s="44" t="s">
        <v>1320</v>
      </c>
      <c r="G67" s="44" t="str">
        <f>VLOOKUP(F67,[1]装箱单!$A:$C,3,0)</f>
        <v>盲盒小鸭</v>
      </c>
      <c r="H67" s="44">
        <v>390</v>
      </c>
      <c r="I67" s="45">
        <v>37440</v>
      </c>
      <c r="J67" s="45" t="s">
        <v>32</v>
      </c>
      <c r="K67" s="45" t="s">
        <v>33</v>
      </c>
      <c r="L67" s="46">
        <v>390</v>
      </c>
      <c r="M67" s="43">
        <f t="shared" si="14"/>
        <v>32.1319273275</v>
      </c>
      <c r="N67" s="46" t="s">
        <v>34</v>
      </c>
      <c r="O67" s="44"/>
      <c r="P67" s="48"/>
      <c r="Q67" s="8">
        <f>VLOOKUP($F67,[1]装箱单!$A:$E,5,0)</f>
        <v>54.95</v>
      </c>
      <c r="R67" s="8">
        <f>VLOOKUP($F67,[1]装箱单!$A:$F,6,0)</f>
        <v>34.95</v>
      </c>
      <c r="S67" s="8">
        <f>VLOOKUP($F67,[1]装箱单!$A:$G,7,0)</f>
        <v>42.9</v>
      </c>
      <c r="T67" s="10">
        <f>VLOOKUP($F67,[1]装箱单!$A:$J,10,0)</f>
        <v>0.08238955725</v>
      </c>
      <c r="U67" s="11">
        <f t="shared" si="15"/>
        <v>32.1319273275</v>
      </c>
    </row>
    <row r="68" ht="29.1" customHeight="1" spans="1:21">
      <c r="A68" s="40"/>
      <c r="B68" s="41"/>
      <c r="C68" s="42"/>
      <c r="D68" s="43"/>
      <c r="E68" s="44"/>
      <c r="F68" s="44"/>
      <c r="G68" s="44"/>
      <c r="H68" s="44"/>
      <c r="I68" s="45"/>
      <c r="J68" s="45"/>
      <c r="K68" s="45"/>
      <c r="L68" s="46"/>
      <c r="M68" s="43">
        <f>SUM(M59:M67)</f>
        <v>156.8938245189</v>
      </c>
      <c r="N68" s="46"/>
      <c r="O68" s="44"/>
      <c r="P68" s="51"/>
    </row>
    <row r="69" ht="29.1" customHeight="1" spans="1:21">
      <c r="A69" s="40">
        <v>46181</v>
      </c>
      <c r="B69" s="41" t="s">
        <v>1133</v>
      </c>
      <c r="C69" s="42" t="s">
        <v>1326</v>
      </c>
      <c r="D69" s="43" t="s">
        <v>1327</v>
      </c>
      <c r="E69" s="44" t="s">
        <v>1328</v>
      </c>
      <c r="F69" s="44">
        <v>46092</v>
      </c>
      <c r="G69" s="44" t="str">
        <f>VLOOKUP(F69,[2]装箱单!$A:$C,3,0)</f>
        <v>玩具总动员系列</v>
      </c>
      <c r="H69" s="44">
        <f t="shared" ref="H69:H75" si="16">+I69/2</f>
        <v>2850</v>
      </c>
      <c r="I69" s="45">
        <f t="shared" ref="I69:I75" si="17">+L69*2</f>
        <v>5700</v>
      </c>
      <c r="J69" s="45" t="s">
        <v>47</v>
      </c>
      <c r="K69" s="45" t="s">
        <v>33</v>
      </c>
      <c r="L69" s="46">
        <v>2850</v>
      </c>
      <c r="M69" s="43">
        <f t="shared" ref="M69:M75" si="18">+U69</f>
        <v>63.7422963912</v>
      </c>
      <c r="N69" s="46" t="s">
        <v>34</v>
      </c>
      <c r="O69" s="44"/>
      <c r="P69" s="47" t="s">
        <v>271</v>
      </c>
      <c r="Q69" s="8">
        <f>VLOOKUP($F69,[2]装箱单!$A:$E,5,0)</f>
        <v>40.01</v>
      </c>
      <c r="R69" s="8">
        <f>VLOOKUP($F69,[2]装箱单!$A:$F,6,0)</f>
        <v>26.67</v>
      </c>
      <c r="S69" s="8">
        <f>VLOOKUP($F69,[2]装箱单!$A:$G,7,0)</f>
        <v>20.96</v>
      </c>
      <c r="T69" s="10">
        <f>VLOOKUP($F69,[2]装箱单!$A:$J,10,0)</f>
        <v>0.022365718032</v>
      </c>
      <c r="U69" s="11">
        <f t="shared" ref="U69:U75" si="19">+T69*L69</f>
        <v>63.7422963912</v>
      </c>
    </row>
    <row r="70" ht="29.1" customHeight="1" spans="1:21">
      <c r="A70" s="40">
        <v>46181</v>
      </c>
      <c r="B70" s="41" t="s">
        <v>1290</v>
      </c>
      <c r="C70" s="42" t="s">
        <v>1293</v>
      </c>
      <c r="D70" s="43" t="s">
        <v>1294</v>
      </c>
      <c r="E70" s="44">
        <v>875100</v>
      </c>
      <c r="F70" s="44">
        <v>46092</v>
      </c>
      <c r="G70" s="44" t="str">
        <f>VLOOKUP(F70,[2]装箱单!$A:$C,3,0)</f>
        <v>玩具总动员系列</v>
      </c>
      <c r="H70" s="44">
        <f t="shared" si="16"/>
        <v>533</v>
      </c>
      <c r="I70" s="45">
        <f t="shared" si="17"/>
        <v>1066</v>
      </c>
      <c r="J70" s="45" t="s">
        <v>47</v>
      </c>
      <c r="K70" s="45" t="s">
        <v>33</v>
      </c>
      <c r="L70" s="46">
        <v>533</v>
      </c>
      <c r="M70" s="43">
        <f t="shared" si="18"/>
        <v>11.920927711056</v>
      </c>
      <c r="N70" s="46" t="s">
        <v>34</v>
      </c>
      <c r="O70" s="44"/>
      <c r="P70" s="48"/>
      <c r="Q70" s="8">
        <f>VLOOKUP($F70,[2]装箱单!$A:$E,5,0)</f>
        <v>40.01</v>
      </c>
      <c r="R70" s="8">
        <f>VLOOKUP($F70,[2]装箱单!$A:$F,6,0)</f>
        <v>26.67</v>
      </c>
      <c r="S70" s="8">
        <f>VLOOKUP($F70,[2]装箱单!$A:$G,7,0)</f>
        <v>20.96</v>
      </c>
      <c r="T70" s="10">
        <f>VLOOKUP($F70,[2]装箱单!$A:$J,10,0)</f>
        <v>0.022365718032</v>
      </c>
      <c r="U70" s="11">
        <f t="shared" si="19"/>
        <v>11.920927711056</v>
      </c>
    </row>
    <row r="71" ht="29.1" customHeight="1" spans="1:21">
      <c r="A71" s="40">
        <v>46181</v>
      </c>
      <c r="B71" s="41" t="s">
        <v>1290</v>
      </c>
      <c r="C71" s="42" t="s">
        <v>1291</v>
      </c>
      <c r="D71" s="43" t="s">
        <v>1292</v>
      </c>
      <c r="E71" s="44">
        <v>875099</v>
      </c>
      <c r="F71" s="44">
        <v>46092</v>
      </c>
      <c r="G71" s="44" t="str">
        <f>VLOOKUP(F71,[2]装箱单!$A:$C,3,0)</f>
        <v>玩具总动员系列</v>
      </c>
      <c r="H71" s="44">
        <f t="shared" si="16"/>
        <v>473</v>
      </c>
      <c r="I71" s="45">
        <f t="shared" si="17"/>
        <v>946</v>
      </c>
      <c r="J71" s="45" t="s">
        <v>47</v>
      </c>
      <c r="K71" s="45" t="s">
        <v>33</v>
      </c>
      <c r="L71" s="46">
        <v>473</v>
      </c>
      <c r="M71" s="43">
        <f t="shared" si="18"/>
        <v>10.578984629136</v>
      </c>
      <c r="N71" s="46" t="s">
        <v>34</v>
      </c>
      <c r="O71" s="44"/>
      <c r="P71" s="48"/>
      <c r="Q71" s="8">
        <f>VLOOKUP($F71,[2]装箱单!$A:$E,5,0)</f>
        <v>40.01</v>
      </c>
      <c r="R71" s="8">
        <f>VLOOKUP($F71,[2]装箱单!$A:$F,6,0)</f>
        <v>26.67</v>
      </c>
      <c r="S71" s="8">
        <f>VLOOKUP($F71,[2]装箱单!$A:$G,7,0)</f>
        <v>20.96</v>
      </c>
      <c r="T71" s="10">
        <f>VLOOKUP($F71,[2]装箱单!$A:$J,10,0)</f>
        <v>0.022365718032</v>
      </c>
      <c r="U71" s="11">
        <f t="shared" si="19"/>
        <v>10.578984629136</v>
      </c>
    </row>
    <row r="72" ht="29.1" customHeight="1" spans="1:21">
      <c r="A72" s="40">
        <v>46181</v>
      </c>
      <c r="B72" s="41" t="s">
        <v>1290</v>
      </c>
      <c r="C72" s="42" t="s">
        <v>1295</v>
      </c>
      <c r="D72" s="43" t="s">
        <v>1296</v>
      </c>
      <c r="E72" s="44">
        <v>875102</v>
      </c>
      <c r="F72" s="44">
        <v>46092</v>
      </c>
      <c r="G72" s="44" t="str">
        <f>VLOOKUP(F72,[2]装箱单!$A:$C,3,0)</f>
        <v>玩具总动员系列</v>
      </c>
      <c r="H72" s="44">
        <f t="shared" si="16"/>
        <v>495</v>
      </c>
      <c r="I72" s="45">
        <f t="shared" si="17"/>
        <v>990</v>
      </c>
      <c r="J72" s="45" t="s">
        <v>47</v>
      </c>
      <c r="K72" s="45" t="s">
        <v>33</v>
      </c>
      <c r="L72" s="46">
        <v>495</v>
      </c>
      <c r="M72" s="43">
        <f t="shared" si="18"/>
        <v>11.07103042584</v>
      </c>
      <c r="N72" s="46" t="s">
        <v>34</v>
      </c>
      <c r="O72" s="44"/>
      <c r="P72" s="48"/>
      <c r="Q72" s="8">
        <f>VLOOKUP($F72,[2]装箱单!$A:$E,5,0)</f>
        <v>40.01</v>
      </c>
      <c r="R72" s="8">
        <f>VLOOKUP($F72,[2]装箱单!$A:$F,6,0)</f>
        <v>26.67</v>
      </c>
      <c r="S72" s="8">
        <f>VLOOKUP($F72,[2]装箱单!$A:$G,7,0)</f>
        <v>20.96</v>
      </c>
      <c r="T72" s="10">
        <f>VLOOKUP($F72,[2]装箱单!$A:$J,10,0)</f>
        <v>0.022365718032</v>
      </c>
      <c r="U72" s="11">
        <f t="shared" si="19"/>
        <v>11.07103042584</v>
      </c>
    </row>
    <row r="73" ht="29.1" customHeight="1" spans="1:21">
      <c r="A73" s="40">
        <v>46181</v>
      </c>
      <c r="B73" s="41" t="s">
        <v>1290</v>
      </c>
      <c r="C73" s="42" t="s">
        <v>1291</v>
      </c>
      <c r="D73" s="43" t="s">
        <v>1292</v>
      </c>
      <c r="E73" s="44">
        <v>875099</v>
      </c>
      <c r="F73" s="44">
        <v>46462</v>
      </c>
      <c r="G73" s="44" t="str">
        <f>VLOOKUP(F73,[2]装箱单!$A:$C,3,0)</f>
        <v>史迪仔系列</v>
      </c>
      <c r="H73" s="44">
        <f t="shared" si="16"/>
        <v>473</v>
      </c>
      <c r="I73" s="45">
        <f t="shared" si="17"/>
        <v>946</v>
      </c>
      <c r="J73" s="45" t="s">
        <v>47</v>
      </c>
      <c r="K73" s="45" t="s">
        <v>33</v>
      </c>
      <c r="L73" s="46">
        <v>473</v>
      </c>
      <c r="M73" s="43">
        <f t="shared" si="18"/>
        <v>10.578984629136</v>
      </c>
      <c r="N73" s="46" t="s">
        <v>34</v>
      </c>
      <c r="O73" s="44"/>
      <c r="P73" s="48"/>
      <c r="Q73" s="8">
        <f>VLOOKUP($F73,[2]装箱单!$A:$E,5,0)</f>
        <v>40.01</v>
      </c>
      <c r="R73" s="8">
        <f>VLOOKUP($F73,[2]装箱单!$A:$F,6,0)</f>
        <v>26.67</v>
      </c>
      <c r="S73" s="8">
        <f>VLOOKUP($F73,[2]装箱单!$A:$G,7,0)</f>
        <v>20.96</v>
      </c>
      <c r="T73" s="10">
        <f>VLOOKUP($F73,[2]装箱单!$A:$J,10,0)</f>
        <v>0.022365718032</v>
      </c>
      <c r="U73" s="11">
        <f t="shared" si="19"/>
        <v>10.578984629136</v>
      </c>
    </row>
    <row r="74" ht="29.1" customHeight="1" spans="1:21">
      <c r="A74" s="40">
        <v>46181</v>
      </c>
      <c r="B74" s="41" t="s">
        <v>1290</v>
      </c>
      <c r="C74" s="42" t="s">
        <v>1293</v>
      </c>
      <c r="D74" s="43" t="s">
        <v>1294</v>
      </c>
      <c r="E74" s="44">
        <v>875100</v>
      </c>
      <c r="F74" s="44">
        <v>46462</v>
      </c>
      <c r="G74" s="44" t="str">
        <f>VLOOKUP(F74,[2]装箱单!$A:$C,3,0)</f>
        <v>史迪仔系列</v>
      </c>
      <c r="H74" s="44">
        <f t="shared" si="16"/>
        <v>533</v>
      </c>
      <c r="I74" s="45">
        <f t="shared" si="17"/>
        <v>1066</v>
      </c>
      <c r="J74" s="45" t="s">
        <v>47</v>
      </c>
      <c r="K74" s="45" t="s">
        <v>33</v>
      </c>
      <c r="L74" s="46">
        <v>533</v>
      </c>
      <c r="M74" s="43">
        <f t="shared" si="18"/>
        <v>11.920927711056</v>
      </c>
      <c r="N74" s="46" t="s">
        <v>34</v>
      </c>
      <c r="O74" s="44"/>
      <c r="P74" s="48"/>
      <c r="Q74" s="8">
        <f>VLOOKUP($F74,[2]装箱单!$A:$E,5,0)</f>
        <v>40.01</v>
      </c>
      <c r="R74" s="8">
        <f>VLOOKUP($F74,[2]装箱单!$A:$F,6,0)</f>
        <v>26.67</v>
      </c>
      <c r="S74" s="8">
        <f>VLOOKUP($F74,[2]装箱单!$A:$G,7,0)</f>
        <v>20.96</v>
      </c>
      <c r="T74" s="10">
        <f>VLOOKUP($F74,[2]装箱单!$A:$J,10,0)</f>
        <v>0.022365718032</v>
      </c>
      <c r="U74" s="11">
        <f t="shared" si="19"/>
        <v>11.920927711056</v>
      </c>
    </row>
    <row r="75" ht="29.1" customHeight="1" spans="1:21">
      <c r="A75" s="40">
        <v>46181</v>
      </c>
      <c r="B75" s="41" t="s">
        <v>1290</v>
      </c>
      <c r="C75" s="42" t="s">
        <v>1295</v>
      </c>
      <c r="D75" s="43" t="s">
        <v>1296</v>
      </c>
      <c r="E75" s="44">
        <v>875102</v>
      </c>
      <c r="F75" s="44">
        <v>46462</v>
      </c>
      <c r="G75" s="44" t="str">
        <f>VLOOKUP(F75,[2]装箱单!$A:$C,3,0)</f>
        <v>史迪仔系列</v>
      </c>
      <c r="H75" s="44">
        <f t="shared" si="16"/>
        <v>495</v>
      </c>
      <c r="I75" s="45">
        <f t="shared" si="17"/>
        <v>990</v>
      </c>
      <c r="J75" s="45" t="s">
        <v>47</v>
      </c>
      <c r="K75" s="45" t="s">
        <v>33</v>
      </c>
      <c r="L75" s="46">
        <v>495</v>
      </c>
      <c r="M75" s="43">
        <f t="shared" si="18"/>
        <v>11.07103042584</v>
      </c>
      <c r="N75" s="46" t="s">
        <v>34</v>
      </c>
      <c r="O75" s="44"/>
      <c r="P75" s="48"/>
      <c r="Q75" s="8">
        <f>VLOOKUP($F75,[2]装箱单!$A:$E,5,0)</f>
        <v>40.01</v>
      </c>
      <c r="R75" s="8">
        <f>VLOOKUP($F75,[2]装箱单!$A:$F,6,0)</f>
        <v>26.67</v>
      </c>
      <c r="S75" s="8">
        <f>VLOOKUP($F75,[2]装箱单!$A:$G,7,0)</f>
        <v>20.96</v>
      </c>
      <c r="T75" s="10">
        <f>VLOOKUP($F75,[2]装箱单!$A:$J,10,0)</f>
        <v>0.022365718032</v>
      </c>
      <c r="U75" s="11">
        <f t="shared" si="19"/>
        <v>11.07103042584</v>
      </c>
    </row>
    <row r="76" ht="29.1" customHeight="1" spans="1:21">
      <c r="A76" s="40"/>
      <c r="B76" s="41"/>
      <c r="C76" s="42"/>
      <c r="D76" s="43"/>
      <c r="E76" s="44"/>
      <c r="F76" s="44"/>
      <c r="G76" s="44"/>
      <c r="H76" s="44"/>
      <c r="I76" s="45"/>
      <c r="J76" s="45"/>
      <c r="K76" s="45"/>
      <c r="L76" s="46"/>
      <c r="M76" s="43">
        <f>SUM(M69:M75)</f>
        <v>130.884181923264</v>
      </c>
      <c r="N76" s="46"/>
      <c r="O76" s="44"/>
      <c r="P76" s="51"/>
    </row>
    <row r="77" ht="29.1" customHeight="1" spans="1:21">
      <c r="A77" s="40">
        <v>46182</v>
      </c>
      <c r="B77" s="41" t="s">
        <v>1329</v>
      </c>
      <c r="C77" s="42">
        <v>45867</v>
      </c>
      <c r="D77" s="43" t="s">
        <v>1164</v>
      </c>
      <c r="E77" s="44"/>
      <c r="F77" s="44">
        <v>320399</v>
      </c>
      <c r="G77" s="44" t="str">
        <f>VLOOKUP(F77,[1]装箱单!$A:$C,3,0)</f>
        <v>猫家族</v>
      </c>
      <c r="H77" s="44">
        <v>1500</v>
      </c>
      <c r="I77" s="45">
        <f t="shared" ref="I77:I79" si="20">+L77*4</f>
        <v>3000</v>
      </c>
      <c r="J77" s="45" t="s">
        <v>47</v>
      </c>
      <c r="K77" s="45" t="s">
        <v>33</v>
      </c>
      <c r="L77" s="45">
        <v>750</v>
      </c>
      <c r="M77" s="43">
        <f t="shared" ref="M77:M84" si="21">+U77</f>
        <v>7.7175</v>
      </c>
      <c r="N77" s="46" t="s">
        <v>34</v>
      </c>
      <c r="O77" s="44"/>
      <c r="P77" s="47" t="s">
        <v>1330</v>
      </c>
      <c r="Q77" s="8">
        <f>VLOOKUP($F77,[1]装箱单!$A:$E,5,0)</f>
        <v>24.5</v>
      </c>
      <c r="R77" s="8">
        <f>VLOOKUP($F77,[1]装箱单!$A:$F,6,0)</f>
        <v>21</v>
      </c>
      <c r="S77" s="8">
        <f>VLOOKUP($F77,[1]装箱单!$A:$G,7,0)</f>
        <v>20</v>
      </c>
      <c r="T77" s="10">
        <f>VLOOKUP($F77,[1]装箱单!$A:$J,10,0)</f>
        <v>0.01029</v>
      </c>
      <c r="U77" s="11">
        <f t="shared" ref="U77:U84" si="22">+T77*L77</f>
        <v>7.7175</v>
      </c>
    </row>
    <row r="78" ht="29.1" customHeight="1" spans="1:21">
      <c r="A78" s="40">
        <v>46182</v>
      </c>
      <c r="B78" s="41" t="s">
        <v>1329</v>
      </c>
      <c r="C78" s="42">
        <v>46346</v>
      </c>
      <c r="D78" s="43" t="s">
        <v>1331</v>
      </c>
      <c r="E78" s="44"/>
      <c r="F78" s="44">
        <v>320399</v>
      </c>
      <c r="G78" s="44" t="str">
        <f>VLOOKUP(F78,[1]装箱单!$A:$C,3,0)</f>
        <v>猫家族</v>
      </c>
      <c r="H78" s="44">
        <v>750</v>
      </c>
      <c r="I78" s="45">
        <f t="shared" si="20"/>
        <v>3000</v>
      </c>
      <c r="J78" s="45" t="s">
        <v>47</v>
      </c>
      <c r="K78" s="45" t="s">
        <v>33</v>
      </c>
      <c r="L78" s="46">
        <v>750</v>
      </c>
      <c r="M78" s="43">
        <f t="shared" si="21"/>
        <v>7.7175</v>
      </c>
      <c r="N78" s="46" t="s">
        <v>34</v>
      </c>
      <c r="O78" s="44"/>
      <c r="P78" s="48"/>
      <c r="Q78" s="8">
        <f>VLOOKUP($F78,[1]装箱单!$A:$E,5,0)</f>
        <v>24.5</v>
      </c>
      <c r="R78" s="8">
        <f>VLOOKUP($F78,[1]装箱单!$A:$F,6,0)</f>
        <v>21</v>
      </c>
      <c r="S78" s="8">
        <f>VLOOKUP($F78,[1]装箱单!$A:$G,7,0)</f>
        <v>20</v>
      </c>
      <c r="T78" s="10">
        <f>VLOOKUP($F78,[1]装箱单!$A:$J,10,0)</f>
        <v>0.01029</v>
      </c>
      <c r="U78" s="11">
        <f t="shared" si="22"/>
        <v>7.7175</v>
      </c>
    </row>
    <row r="79" ht="29.1" customHeight="1" spans="1:21">
      <c r="A79" s="40">
        <v>46182</v>
      </c>
      <c r="B79" s="41" t="s">
        <v>1329</v>
      </c>
      <c r="C79" s="42">
        <v>46554</v>
      </c>
      <c r="D79" s="43" t="s">
        <v>1332</v>
      </c>
      <c r="E79" s="44"/>
      <c r="F79" s="44">
        <v>320399</v>
      </c>
      <c r="G79" s="44" t="str">
        <f>VLOOKUP(F79,[1]装箱单!$A:$C,3,0)</f>
        <v>猫家族</v>
      </c>
      <c r="H79" s="44">
        <v>750</v>
      </c>
      <c r="I79" s="45">
        <f t="shared" si="20"/>
        <v>3000</v>
      </c>
      <c r="J79" s="45" t="s">
        <v>47</v>
      </c>
      <c r="K79" s="45" t="s">
        <v>33</v>
      </c>
      <c r="L79" s="46">
        <v>750</v>
      </c>
      <c r="M79" s="43">
        <f t="shared" si="21"/>
        <v>7.7175</v>
      </c>
      <c r="N79" s="46" t="s">
        <v>34</v>
      </c>
      <c r="O79" s="44"/>
      <c r="P79" s="48"/>
      <c r="Q79" s="8">
        <f>VLOOKUP($F79,[1]装箱单!$A:$E,5,0)</f>
        <v>24.5</v>
      </c>
      <c r="R79" s="8">
        <f>VLOOKUP($F79,[1]装箱单!$A:$F,6,0)</f>
        <v>21</v>
      </c>
      <c r="S79" s="8">
        <f>VLOOKUP($F79,[1]装箱单!$A:$G,7,0)</f>
        <v>20</v>
      </c>
      <c r="T79" s="10">
        <f>VLOOKUP($F79,[1]装箱单!$A:$J,10,0)</f>
        <v>0.01029</v>
      </c>
      <c r="U79" s="11">
        <f t="shared" si="22"/>
        <v>7.7175</v>
      </c>
    </row>
    <row r="80" ht="29.1" customHeight="1" spans="1:21">
      <c r="A80" s="40">
        <v>46182</v>
      </c>
      <c r="B80" s="41" t="s">
        <v>1329</v>
      </c>
      <c r="C80" s="42">
        <v>46127</v>
      </c>
      <c r="D80" s="43" t="s">
        <v>1333</v>
      </c>
      <c r="E80" s="44"/>
      <c r="F80" s="44">
        <v>570989</v>
      </c>
      <c r="G80" s="44" t="str">
        <f>VLOOKUP(F80,[1]装箱单!$A:$C,3,0)</f>
        <v>盲盒系列</v>
      </c>
      <c r="H80" s="44">
        <v>926</v>
      </c>
      <c r="I80" s="45">
        <f>+L80*27</f>
        <v>25002</v>
      </c>
      <c r="J80" s="45" t="s">
        <v>32</v>
      </c>
      <c r="K80" s="45" t="s">
        <v>33</v>
      </c>
      <c r="L80" s="46">
        <v>926</v>
      </c>
      <c r="M80" s="43">
        <f t="shared" si="21"/>
        <v>10.3326271169625</v>
      </c>
      <c r="N80" s="46" t="s">
        <v>34</v>
      </c>
      <c r="O80" s="44"/>
      <c r="P80" s="48"/>
      <c r="Q80" s="8">
        <f>VLOOKUP($F80,[1]装箱单!$A:$E,5,0)</f>
        <v>31.115</v>
      </c>
      <c r="R80" s="8">
        <f>VLOOKUP($F80,[1]装箱单!$A:$F,6,0)</f>
        <v>22.59</v>
      </c>
      <c r="S80" s="8">
        <f>VLOOKUP($F80,[1]装箱单!$A:$G,7,0)</f>
        <v>15.875</v>
      </c>
      <c r="T80" s="10">
        <f>VLOOKUP($F80,[1]装箱单!$A:$J,10,0)</f>
        <v>0.01115834461875</v>
      </c>
      <c r="U80" s="11">
        <f t="shared" si="22"/>
        <v>10.3326271169625</v>
      </c>
    </row>
    <row r="81" ht="29.1" customHeight="1" spans="1:21">
      <c r="A81" s="40">
        <v>46183</v>
      </c>
      <c r="B81" s="41" t="s">
        <v>1329</v>
      </c>
      <c r="C81" s="42">
        <v>46155</v>
      </c>
      <c r="D81" s="43" t="s">
        <v>1334</v>
      </c>
      <c r="E81" s="44"/>
      <c r="F81" s="44">
        <v>671509</v>
      </c>
      <c r="G81" s="44" t="str">
        <f>VLOOKUP(F81,[1]装箱单!$A:$C,3,0)</f>
        <v>绿色铁皮勾车</v>
      </c>
      <c r="H81" s="44">
        <v>750</v>
      </c>
      <c r="I81" s="45">
        <f t="shared" ref="I81:I83" si="23">+L81*2</f>
        <v>1248</v>
      </c>
      <c r="J81" s="45" t="s">
        <v>32</v>
      </c>
      <c r="K81" s="45" t="s">
        <v>33</v>
      </c>
      <c r="L81" s="46">
        <v>624</v>
      </c>
      <c r="M81" s="43">
        <f t="shared" si="21"/>
        <v>22.446477720576</v>
      </c>
      <c r="N81" s="46" t="s">
        <v>34</v>
      </c>
      <c r="O81" s="44"/>
      <c r="P81" s="48"/>
      <c r="Q81" s="8">
        <f>VLOOKUP($F81,[1]装箱单!$A:$E,5,0)</f>
        <v>40.32</v>
      </c>
      <c r="R81" s="8">
        <f>VLOOKUP($F81,[1]装箱单!$A:$F,6,0)</f>
        <v>37.47</v>
      </c>
      <c r="S81" s="8">
        <f>VLOOKUP($F81,[1]装箱单!$A:$G,7,0)</f>
        <v>23.81</v>
      </c>
      <c r="T81" s="10">
        <f>VLOOKUP($F81,[1]装箱单!$A:$J,10,0)</f>
        <v>0.035971919424</v>
      </c>
      <c r="U81" s="11">
        <f t="shared" si="22"/>
        <v>22.446477720576</v>
      </c>
    </row>
    <row r="82" ht="29.1" customHeight="1" spans="1:21">
      <c r="A82" s="40">
        <v>46182</v>
      </c>
      <c r="B82" s="41" t="s">
        <v>1329</v>
      </c>
      <c r="C82" s="42">
        <v>46132</v>
      </c>
      <c r="D82" s="43" t="s">
        <v>1335</v>
      </c>
      <c r="E82" s="44"/>
      <c r="F82" s="44">
        <v>320635</v>
      </c>
      <c r="G82" s="44" t="str">
        <f>VLOOKUP(F82,[1]装箱单!$A:$C,3,0)</f>
        <v>校车</v>
      </c>
      <c r="H82" s="44">
        <v>1500</v>
      </c>
      <c r="I82" s="45">
        <f t="shared" si="23"/>
        <v>3000</v>
      </c>
      <c r="J82" s="45" t="s">
        <v>32</v>
      </c>
      <c r="K82" s="45" t="s">
        <v>33</v>
      </c>
      <c r="L82" s="46">
        <v>1500</v>
      </c>
      <c r="M82" s="43">
        <f t="shared" si="21"/>
        <v>23.680104786</v>
      </c>
      <c r="N82" s="46" t="s">
        <v>34</v>
      </c>
      <c r="O82" s="44"/>
      <c r="P82" s="48"/>
      <c r="Q82" s="8">
        <f>VLOOKUP($F82,[1]装箱单!$A:$E,5,0)</f>
        <v>35.18</v>
      </c>
      <c r="R82" s="8">
        <f>VLOOKUP($F82,[1]装箱单!$A:$F,6,0)</f>
        <v>27.18</v>
      </c>
      <c r="S82" s="8">
        <f>VLOOKUP($F82,[1]装箱单!$A:$G,7,0)</f>
        <v>16.51</v>
      </c>
      <c r="T82" s="10">
        <f>VLOOKUP($F82,[1]装箱单!$A:$J,10,0)</f>
        <v>0.015786736524</v>
      </c>
      <c r="U82" s="11">
        <f t="shared" si="22"/>
        <v>23.680104786</v>
      </c>
    </row>
    <row r="83" ht="29.1" customHeight="1" spans="1:21">
      <c r="A83" s="40">
        <v>46182</v>
      </c>
      <c r="B83" s="41" t="s">
        <v>1329</v>
      </c>
      <c r="C83" s="42">
        <v>45873</v>
      </c>
      <c r="D83" s="43" t="s">
        <v>1336</v>
      </c>
      <c r="E83" s="44"/>
      <c r="F83" s="44">
        <v>320916</v>
      </c>
      <c r="G83" s="44" t="str">
        <f>VLOOKUP(F83,[1]装箱单!$A:$C,3,0)</f>
        <v>糕屋</v>
      </c>
      <c r="H83" s="44">
        <v>1500</v>
      </c>
      <c r="I83" s="45">
        <f t="shared" si="23"/>
        <v>3000</v>
      </c>
      <c r="J83" s="45" t="s">
        <v>32</v>
      </c>
      <c r="K83" s="45" t="s">
        <v>33</v>
      </c>
      <c r="L83" s="46">
        <v>1500</v>
      </c>
      <c r="M83" s="43">
        <f t="shared" si="21"/>
        <v>38.7144387</v>
      </c>
      <c r="N83" s="46" t="s">
        <v>34</v>
      </c>
      <c r="O83" s="44"/>
      <c r="P83" s="48"/>
      <c r="Q83" s="8">
        <f>VLOOKUP($F83,[1]装箱单!$A:$E,5,0)</f>
        <v>38.1</v>
      </c>
      <c r="R83" s="8">
        <f>VLOOKUP($F83,[1]装箱单!$A:$F,6,0)</f>
        <v>30.48</v>
      </c>
      <c r="S83" s="8">
        <f>VLOOKUP($F83,[1]装箱单!$A:$G,7,0)</f>
        <v>22.225</v>
      </c>
      <c r="T83" s="10">
        <f>VLOOKUP($F83,[1]装箱单!$A:$J,10,0)</f>
        <v>0.0258096258</v>
      </c>
      <c r="U83" s="11">
        <f t="shared" si="22"/>
        <v>38.7144387</v>
      </c>
    </row>
    <row r="84" ht="29.1" customHeight="1" spans="1:21">
      <c r="A84" s="40">
        <v>46182</v>
      </c>
      <c r="B84" s="41" t="s">
        <v>415</v>
      </c>
      <c r="C84" s="42" t="s">
        <v>1337</v>
      </c>
      <c r="D84" s="43" t="s">
        <v>1338</v>
      </c>
      <c r="E84" s="44"/>
      <c r="F84" s="44">
        <v>470764</v>
      </c>
      <c r="G84" s="44" t="str">
        <f>VLOOKUP(F84,[1]装箱单!$A:$C,3,0)</f>
        <v>大型自卸车</v>
      </c>
      <c r="H84" s="44">
        <v>3506</v>
      </c>
      <c r="I84" s="45">
        <f t="shared" ref="I84:I92" si="24">+L84</f>
        <v>720</v>
      </c>
      <c r="J84" s="45" t="s">
        <v>32</v>
      </c>
      <c r="K84" s="45" t="s">
        <v>33</v>
      </c>
      <c r="L84" s="46">
        <v>720</v>
      </c>
      <c r="M84" s="43">
        <f t="shared" si="21"/>
        <v>19.29312</v>
      </c>
      <c r="N84" s="46" t="s">
        <v>34</v>
      </c>
      <c r="O84" s="44"/>
      <c r="P84" s="48"/>
      <c r="Q84" s="8">
        <f>VLOOKUP($F84,[1]装箱单!$A:$E,5,0)</f>
        <v>42</v>
      </c>
      <c r="R84" s="8">
        <f>VLOOKUP($F84,[1]装箱单!$A:$F,6,0)</f>
        <v>22</v>
      </c>
      <c r="S84" s="8">
        <f>VLOOKUP($F84,[1]装箱单!$A:$G,7,0)</f>
        <v>29</v>
      </c>
      <c r="T84" s="10">
        <f>VLOOKUP($F84,[1]装箱单!$A:$J,10,0)</f>
        <v>0.026796</v>
      </c>
      <c r="U84" s="11">
        <f t="shared" si="22"/>
        <v>19.29312</v>
      </c>
    </row>
    <row r="85" ht="29.1" customHeight="1" spans="1:21">
      <c r="A85" s="40"/>
      <c r="B85" s="41"/>
      <c r="C85" s="42"/>
      <c r="D85" s="43"/>
      <c r="E85" s="44"/>
      <c r="F85" s="44"/>
      <c r="G85" s="44"/>
      <c r="H85" s="44"/>
      <c r="I85" s="45"/>
      <c r="J85" s="45"/>
      <c r="K85" s="45"/>
      <c r="L85" s="46"/>
      <c r="M85" s="43">
        <f>SUM(M77:M84)</f>
        <v>137.619268323539</v>
      </c>
      <c r="N85" s="46"/>
      <c r="O85" s="44"/>
      <c r="P85" s="51"/>
    </row>
    <row r="86" ht="29.1" customHeight="1" spans="1:21">
      <c r="A86" s="40">
        <v>46183</v>
      </c>
      <c r="B86" s="41" t="s">
        <v>1329</v>
      </c>
      <c r="C86" s="42">
        <v>46155</v>
      </c>
      <c r="D86" s="43" t="s">
        <v>1334</v>
      </c>
      <c r="E86" s="44"/>
      <c r="F86" s="44">
        <v>671509</v>
      </c>
      <c r="G86" s="44" t="str">
        <f>VLOOKUP(F86,[1]装箱单!$A:$C,3,0)</f>
        <v>绿色铁皮勾车</v>
      </c>
      <c r="H86" s="44">
        <v>750</v>
      </c>
      <c r="I86" s="45">
        <f>+L86*2</f>
        <v>252</v>
      </c>
      <c r="J86" s="45" t="s">
        <v>32</v>
      </c>
      <c r="K86" s="45" t="s">
        <v>33</v>
      </c>
      <c r="L86" s="46">
        <v>126</v>
      </c>
      <c r="M86" s="43">
        <f t="shared" ref="M86:M92" si="25">+U86</f>
        <v>4.532461847424</v>
      </c>
      <c r="N86" s="46" t="s">
        <v>34</v>
      </c>
      <c r="O86" s="44"/>
      <c r="P86" s="47" t="s">
        <v>1339</v>
      </c>
      <c r="Q86" s="8">
        <f>VLOOKUP($F86,[1]装箱单!$A:$E,5,0)</f>
        <v>40.32</v>
      </c>
      <c r="R86" s="8">
        <f>VLOOKUP($F86,[1]装箱单!$A:$F,6,0)</f>
        <v>37.47</v>
      </c>
      <c r="S86" s="8">
        <f>VLOOKUP($F86,[1]装箱单!$A:$G,7,0)</f>
        <v>23.81</v>
      </c>
      <c r="T86" s="10">
        <f>VLOOKUP($F86,[1]装箱单!$A:$J,10,0)</f>
        <v>0.035971919424</v>
      </c>
      <c r="U86" s="11">
        <f t="shared" ref="U86:U92" si="26">+T86*L86</f>
        <v>4.532461847424</v>
      </c>
    </row>
    <row r="87" ht="29.1" customHeight="1" spans="1:21">
      <c r="A87" s="40">
        <v>46183</v>
      </c>
      <c r="B87" s="41" t="s">
        <v>1329</v>
      </c>
      <c r="C87" s="42">
        <v>46346</v>
      </c>
      <c r="D87" s="43" t="s">
        <v>1331</v>
      </c>
      <c r="E87" s="44"/>
      <c r="F87" s="44">
        <v>470725</v>
      </c>
      <c r="G87" s="44" t="str">
        <f>VLOOKUP(F87,[1]装箱单!$A:$C,3,0)</f>
        <v>独角兽家族</v>
      </c>
      <c r="H87" s="44">
        <v>750</v>
      </c>
      <c r="I87" s="45">
        <f>+L87*4</f>
        <v>3000</v>
      </c>
      <c r="J87" s="45" t="s">
        <v>47</v>
      </c>
      <c r="K87" s="45" t="s">
        <v>33</v>
      </c>
      <c r="L87" s="46">
        <v>750</v>
      </c>
      <c r="M87" s="43">
        <f t="shared" si="25"/>
        <v>8.0325</v>
      </c>
      <c r="N87" s="46" t="s">
        <v>34</v>
      </c>
      <c r="O87" s="44"/>
      <c r="P87" s="48"/>
      <c r="Q87" s="8">
        <f>VLOOKUP($F87,[1]装箱单!$A:$E,5,0)</f>
        <v>25.5</v>
      </c>
      <c r="R87" s="8">
        <f>VLOOKUP($F87,[1]装箱单!$A:$F,6,0)</f>
        <v>21</v>
      </c>
      <c r="S87" s="8">
        <f>VLOOKUP($F87,[1]装箱单!$A:$G,7,0)</f>
        <v>20</v>
      </c>
      <c r="T87" s="10">
        <f>VLOOKUP($F87,[1]装箱单!$A:$J,10,0)</f>
        <v>0.01071</v>
      </c>
      <c r="U87" s="11">
        <f t="shared" si="26"/>
        <v>8.0325</v>
      </c>
    </row>
    <row r="88" ht="29.1" customHeight="1" spans="1:21">
      <c r="A88" s="40">
        <v>46183</v>
      </c>
      <c r="B88" s="41" t="s">
        <v>412</v>
      </c>
      <c r="C88" s="42" t="s">
        <v>1340</v>
      </c>
      <c r="D88" s="43" t="s">
        <v>1341</v>
      </c>
      <c r="E88" s="44"/>
      <c r="F88" s="44">
        <v>570975</v>
      </c>
      <c r="G88" s="44" t="str">
        <f>VLOOKUP(F88,[1]装箱单!$A:$C,3,0)</f>
        <v>棒球</v>
      </c>
      <c r="H88" s="44">
        <v>759</v>
      </c>
      <c r="I88" s="45">
        <f t="shared" si="24"/>
        <v>759</v>
      </c>
      <c r="J88" s="45" t="s">
        <v>32</v>
      </c>
      <c r="K88" s="45" t="s">
        <v>33</v>
      </c>
      <c r="L88" s="46">
        <v>759</v>
      </c>
      <c r="M88" s="43">
        <f t="shared" si="25"/>
        <v>14.554848696696</v>
      </c>
      <c r="N88" s="46" t="s">
        <v>34</v>
      </c>
      <c r="O88" s="44"/>
      <c r="P88" s="48"/>
      <c r="Q88" s="8">
        <f>VLOOKUP($F88,[1]装箱单!$A:$E,5,0)</f>
        <v>30.48</v>
      </c>
      <c r="R88" s="8">
        <f>VLOOKUP($F88,[1]装箱单!$A:$F,6,0)</f>
        <v>11.795</v>
      </c>
      <c r="S88" s="8">
        <f>VLOOKUP($F88,[1]装箱单!$A:$G,7,0)</f>
        <v>53.34</v>
      </c>
      <c r="T88" s="10">
        <f>VLOOKUP($F88,[1]装箱单!$A:$J,10,0)</f>
        <v>0.019176348744</v>
      </c>
      <c r="U88" s="11">
        <f t="shared" si="26"/>
        <v>14.554848696696</v>
      </c>
    </row>
    <row r="89" ht="29.1" customHeight="1" spans="1:21">
      <c r="A89" s="40">
        <v>46183</v>
      </c>
      <c r="B89" s="41" t="s">
        <v>412</v>
      </c>
      <c r="C89" s="42" t="s">
        <v>1342</v>
      </c>
      <c r="D89" s="43" t="s">
        <v>1341</v>
      </c>
      <c r="E89" s="44"/>
      <c r="F89" s="44">
        <v>570975</v>
      </c>
      <c r="G89" s="44" t="str">
        <f>VLOOKUP(F89,[1]装箱单!$A:$C,3,0)</f>
        <v>棒球</v>
      </c>
      <c r="H89" s="44">
        <v>1150</v>
      </c>
      <c r="I89" s="45">
        <f t="shared" si="24"/>
        <v>1150</v>
      </c>
      <c r="J89" s="45" t="s">
        <v>32</v>
      </c>
      <c r="K89" s="45" t="s">
        <v>33</v>
      </c>
      <c r="L89" s="46">
        <v>1150</v>
      </c>
      <c r="M89" s="43">
        <f t="shared" si="25"/>
        <v>22.0528010556</v>
      </c>
      <c r="N89" s="46" t="s">
        <v>34</v>
      </c>
      <c r="O89" s="44"/>
      <c r="P89" s="48"/>
      <c r="Q89" s="8">
        <f>VLOOKUP($F89,[1]装箱单!$A:$E,5,0)</f>
        <v>30.48</v>
      </c>
      <c r="R89" s="8">
        <f>VLOOKUP($F89,[1]装箱单!$A:$F,6,0)</f>
        <v>11.795</v>
      </c>
      <c r="S89" s="8">
        <f>VLOOKUP($F89,[1]装箱单!$A:$G,7,0)</f>
        <v>53.34</v>
      </c>
      <c r="T89" s="10">
        <f>VLOOKUP($F89,[1]装箱单!$A:$J,10,0)</f>
        <v>0.019176348744</v>
      </c>
      <c r="U89" s="11">
        <f t="shared" si="26"/>
        <v>22.0528010556</v>
      </c>
    </row>
    <row r="90" ht="29.1" customHeight="1" spans="1:21">
      <c r="A90" s="40">
        <v>46183</v>
      </c>
      <c r="B90" s="41" t="s">
        <v>412</v>
      </c>
      <c r="C90" s="42" t="s">
        <v>1343</v>
      </c>
      <c r="D90" s="43" t="s">
        <v>1341</v>
      </c>
      <c r="E90" s="44"/>
      <c r="F90" s="44">
        <v>570975</v>
      </c>
      <c r="G90" s="44" t="str">
        <f>VLOOKUP(F90,[1]装箱单!$A:$C,3,0)</f>
        <v>棒球</v>
      </c>
      <c r="H90" s="44">
        <v>160</v>
      </c>
      <c r="I90" s="45">
        <f t="shared" si="24"/>
        <v>160</v>
      </c>
      <c r="J90" s="45" t="s">
        <v>32</v>
      </c>
      <c r="K90" s="45" t="s">
        <v>33</v>
      </c>
      <c r="L90" s="46">
        <v>160</v>
      </c>
      <c r="M90" s="43">
        <f t="shared" si="25"/>
        <v>3.06821579904</v>
      </c>
      <c r="N90" s="46" t="s">
        <v>34</v>
      </c>
      <c r="O90" s="44"/>
      <c r="P90" s="48"/>
      <c r="Q90" s="8">
        <f>VLOOKUP($F90,[1]装箱单!$A:$E,5,0)</f>
        <v>30.48</v>
      </c>
      <c r="R90" s="8">
        <f>VLOOKUP($F90,[1]装箱单!$A:$F,6,0)</f>
        <v>11.795</v>
      </c>
      <c r="S90" s="8">
        <f>VLOOKUP($F90,[1]装箱单!$A:$G,7,0)</f>
        <v>53.34</v>
      </c>
      <c r="T90" s="10">
        <f>VLOOKUP($F90,[1]装箱单!$A:$J,10,0)</f>
        <v>0.019176348744</v>
      </c>
      <c r="U90" s="11">
        <f t="shared" si="26"/>
        <v>3.06821579904</v>
      </c>
    </row>
    <row r="91" ht="29.1" customHeight="1" spans="1:21">
      <c r="A91" s="40">
        <v>46183</v>
      </c>
      <c r="B91" s="41" t="s">
        <v>412</v>
      </c>
      <c r="C91" s="42" t="s">
        <v>1344</v>
      </c>
      <c r="D91" s="43" t="s">
        <v>1341</v>
      </c>
      <c r="E91" s="44"/>
      <c r="F91" s="44">
        <v>570975</v>
      </c>
      <c r="G91" s="44" t="str">
        <f>VLOOKUP(F91,[1]装箱单!$A:$C,3,0)</f>
        <v>棒球</v>
      </c>
      <c r="H91" s="44">
        <v>260</v>
      </c>
      <c r="I91" s="45">
        <f t="shared" si="24"/>
        <v>260</v>
      </c>
      <c r="J91" s="45" t="s">
        <v>32</v>
      </c>
      <c r="K91" s="45" t="s">
        <v>33</v>
      </c>
      <c r="L91" s="46">
        <v>260</v>
      </c>
      <c r="M91" s="43">
        <f t="shared" si="25"/>
        <v>4.98585067344</v>
      </c>
      <c r="N91" s="46" t="s">
        <v>34</v>
      </c>
      <c r="O91" s="44"/>
      <c r="P91" s="48"/>
      <c r="Q91" s="8">
        <f>VLOOKUP($F91,[1]装箱单!$A:$E,5,0)</f>
        <v>30.48</v>
      </c>
      <c r="R91" s="8">
        <f>VLOOKUP($F91,[1]装箱单!$A:$F,6,0)</f>
        <v>11.795</v>
      </c>
      <c r="S91" s="8">
        <f>VLOOKUP($F91,[1]装箱单!$A:$G,7,0)</f>
        <v>53.34</v>
      </c>
      <c r="T91" s="10">
        <f>VLOOKUP($F91,[1]装箱单!$A:$J,10,0)</f>
        <v>0.019176348744</v>
      </c>
      <c r="U91" s="11">
        <f t="shared" si="26"/>
        <v>4.98585067344</v>
      </c>
    </row>
    <row r="92" ht="29.1" customHeight="1" spans="1:21">
      <c r="A92" s="40">
        <v>46183</v>
      </c>
      <c r="B92" s="41" t="s">
        <v>1329</v>
      </c>
      <c r="C92" s="42">
        <v>46554</v>
      </c>
      <c r="D92" s="43" t="s">
        <v>1345</v>
      </c>
      <c r="E92" s="44"/>
      <c r="F92" s="44">
        <v>570975</v>
      </c>
      <c r="G92" s="44" t="str">
        <f>VLOOKUP(F92,[1]装箱单!$A:$C,3,0)</f>
        <v>棒球</v>
      </c>
      <c r="H92" s="44">
        <v>3345</v>
      </c>
      <c r="I92" s="45">
        <f t="shared" si="24"/>
        <v>3345</v>
      </c>
      <c r="J92" s="45" t="s">
        <v>32</v>
      </c>
      <c r="K92" s="45" t="s">
        <v>33</v>
      </c>
      <c r="L92" s="46">
        <v>3345</v>
      </c>
      <c r="M92" s="43">
        <f t="shared" si="25"/>
        <v>64.14488654868</v>
      </c>
      <c r="N92" s="46" t="s">
        <v>34</v>
      </c>
      <c r="O92" s="44"/>
      <c r="P92" s="48"/>
      <c r="Q92" s="8">
        <f>VLOOKUP($F92,[1]装箱单!$A:$E,5,0)</f>
        <v>30.48</v>
      </c>
      <c r="R92" s="8">
        <f>VLOOKUP($F92,[1]装箱单!$A:$F,6,0)</f>
        <v>11.795</v>
      </c>
      <c r="S92" s="8">
        <f>VLOOKUP($F92,[1]装箱单!$A:$G,7,0)</f>
        <v>53.34</v>
      </c>
      <c r="T92" s="10">
        <f>VLOOKUP($F92,[1]装箱单!$A:$J,10,0)</f>
        <v>0.019176348744</v>
      </c>
      <c r="U92" s="11">
        <f t="shared" si="26"/>
        <v>64.14488654868</v>
      </c>
    </row>
    <row r="93" ht="29.1" customHeight="1" spans="1:21">
      <c r="A93" s="40"/>
      <c r="B93" s="41"/>
      <c r="C93" s="42"/>
      <c r="D93" s="43"/>
      <c r="E93" s="44"/>
      <c r="F93" s="44"/>
      <c r="G93" s="44"/>
      <c r="H93" s="44"/>
      <c r="I93" s="45"/>
      <c r="J93" s="45"/>
      <c r="K93" s="45"/>
      <c r="L93" s="46"/>
      <c r="M93" s="43">
        <f>SUM(M86:M92)</f>
        <v>121.37156462088</v>
      </c>
      <c r="N93" s="46"/>
      <c r="O93" s="44"/>
      <c r="P93" s="51"/>
    </row>
    <row r="94" ht="29.1" customHeight="1" spans="1:21">
      <c r="A94" s="40">
        <v>46184</v>
      </c>
      <c r="B94" s="41" t="s">
        <v>1346</v>
      </c>
      <c r="C94" s="42" t="s">
        <v>1347</v>
      </c>
      <c r="D94" s="43" t="s">
        <v>1348</v>
      </c>
      <c r="E94" s="44"/>
      <c r="F94" s="44">
        <v>671509</v>
      </c>
      <c r="G94" s="44" t="str">
        <f>VLOOKUP(F94,[1]装箱单!$A:$C,3,0)</f>
        <v>绿色铁皮勾车</v>
      </c>
      <c r="H94" s="44">
        <v>750</v>
      </c>
      <c r="I94" s="45">
        <f>+L94*2</f>
        <v>1500</v>
      </c>
      <c r="J94" s="45" t="s">
        <v>32</v>
      </c>
      <c r="K94" s="45" t="s">
        <v>33</v>
      </c>
      <c r="L94" s="46">
        <v>750</v>
      </c>
      <c r="M94" s="43">
        <f t="shared" ref="M94:M111" si="27">+U94</f>
        <v>26.978939568</v>
      </c>
      <c r="N94" s="46" t="s">
        <v>34</v>
      </c>
      <c r="O94" s="44"/>
      <c r="P94" s="47" t="s">
        <v>1349</v>
      </c>
      <c r="Q94" s="8">
        <f>VLOOKUP($F94,[1]装箱单!$A:$E,5,0)</f>
        <v>40.32</v>
      </c>
      <c r="R94" s="8">
        <f>VLOOKUP($F94,[1]装箱单!$A:$F,6,0)</f>
        <v>37.47</v>
      </c>
      <c r="S94" s="8">
        <f>VLOOKUP($F94,[1]装箱单!$A:$G,7,0)</f>
        <v>23.81</v>
      </c>
      <c r="T94" s="10">
        <f>VLOOKUP($F94,[1]装箱单!$A:$J,10,0)</f>
        <v>0.035971919424</v>
      </c>
      <c r="U94" s="11">
        <f t="shared" ref="U94:U111" si="28">+T94*L94</f>
        <v>26.978939568</v>
      </c>
    </row>
    <row r="95" ht="29.1" customHeight="1" spans="1:21">
      <c r="A95" s="40">
        <v>46184</v>
      </c>
      <c r="B95" s="41" t="s">
        <v>173</v>
      </c>
      <c r="C95" s="42" t="s">
        <v>1350</v>
      </c>
      <c r="D95" s="43" t="s">
        <v>1351</v>
      </c>
      <c r="E95" s="44"/>
      <c r="F95" s="44">
        <v>571299</v>
      </c>
      <c r="G95" s="44" t="str">
        <f>VLOOKUP(F95,[1]装箱单!$A:$C,3,0)</f>
        <v>自卸车</v>
      </c>
      <c r="H95" s="44">
        <v>1727</v>
      </c>
      <c r="I95" s="45">
        <f>+L95</f>
        <v>1727</v>
      </c>
      <c r="J95" s="45" t="s">
        <v>32</v>
      </c>
      <c r="K95" s="45" t="s">
        <v>33</v>
      </c>
      <c r="L95" s="46">
        <v>1727</v>
      </c>
      <c r="M95" s="43">
        <f t="shared" si="27"/>
        <v>46.276692</v>
      </c>
      <c r="N95" s="46" t="s">
        <v>34</v>
      </c>
      <c r="O95" s="44"/>
      <c r="P95" s="48"/>
      <c r="Q95" s="8">
        <f>VLOOKUP($F95,[1]装箱单!$A:$E,5,0)</f>
        <v>42</v>
      </c>
      <c r="R95" s="8">
        <f>VLOOKUP($F95,[1]装箱单!$A:$F,6,0)</f>
        <v>22</v>
      </c>
      <c r="S95" s="8">
        <f>VLOOKUP($F95,[1]装箱单!$A:$G,7,0)</f>
        <v>29</v>
      </c>
      <c r="T95" s="10">
        <f>VLOOKUP($F95,[1]装箱单!$A:$J,10,0)</f>
        <v>0.026796</v>
      </c>
      <c r="U95" s="11">
        <f t="shared" si="28"/>
        <v>46.276692</v>
      </c>
    </row>
    <row r="96" ht="29.1" customHeight="1" spans="1:21">
      <c r="A96" s="40">
        <v>46184</v>
      </c>
      <c r="B96" s="41" t="s">
        <v>1352</v>
      </c>
      <c r="C96" s="42" t="s">
        <v>1353</v>
      </c>
      <c r="D96" s="43" t="s">
        <v>1354</v>
      </c>
      <c r="E96" s="44"/>
      <c r="F96" s="44">
        <v>571299</v>
      </c>
      <c r="G96" s="44" t="str">
        <f>VLOOKUP(F96,[1]装箱单!$A:$C,3,0)</f>
        <v>自卸车</v>
      </c>
      <c r="H96" s="44">
        <v>200</v>
      </c>
      <c r="I96" s="45">
        <f>+L96</f>
        <v>200</v>
      </c>
      <c r="J96" s="45" t="s">
        <v>32</v>
      </c>
      <c r="K96" s="45" t="s">
        <v>33</v>
      </c>
      <c r="L96" s="46">
        <v>200</v>
      </c>
      <c r="M96" s="43">
        <f t="shared" si="27"/>
        <v>5.3592</v>
      </c>
      <c r="N96" s="46" t="s">
        <v>34</v>
      </c>
      <c r="O96" s="44"/>
      <c r="P96" s="48"/>
      <c r="Q96" s="8">
        <f>VLOOKUP($F96,[1]装箱单!$A:$E,5,0)</f>
        <v>42</v>
      </c>
      <c r="R96" s="8">
        <f>VLOOKUP($F96,[1]装箱单!$A:$F,6,0)</f>
        <v>22</v>
      </c>
      <c r="S96" s="8">
        <f>VLOOKUP($F96,[1]装箱单!$A:$G,7,0)</f>
        <v>29</v>
      </c>
      <c r="T96" s="10">
        <f>VLOOKUP($F96,[1]装箱单!$A:$J,10,0)</f>
        <v>0.026796</v>
      </c>
      <c r="U96" s="11">
        <f t="shared" si="28"/>
        <v>5.3592</v>
      </c>
    </row>
    <row r="97" ht="29.1" customHeight="1" spans="1:21">
      <c r="A97" s="40">
        <v>46184</v>
      </c>
      <c r="B97" s="41" t="s">
        <v>54</v>
      </c>
      <c r="C97" s="42" t="s">
        <v>1355</v>
      </c>
      <c r="D97" s="43" t="s">
        <v>1356</v>
      </c>
      <c r="E97" s="44">
        <v>993056856</v>
      </c>
      <c r="F97" s="44">
        <v>570989</v>
      </c>
      <c r="G97" s="44" t="str">
        <f>VLOOKUP(F97,[1]装箱单!$A:$C,3,0)</f>
        <v>盲盒系列</v>
      </c>
      <c r="H97" s="44">
        <v>93</v>
      </c>
      <c r="I97" s="45">
        <f t="shared" ref="I97:I106" si="29">+L97*27</f>
        <v>2511</v>
      </c>
      <c r="J97" s="45" t="s">
        <v>32</v>
      </c>
      <c r="K97" s="45" t="s">
        <v>33</v>
      </c>
      <c r="L97" s="46">
        <v>93</v>
      </c>
      <c r="M97" s="43">
        <f t="shared" si="27"/>
        <v>1.03772604954375</v>
      </c>
      <c r="N97" s="46" t="s">
        <v>34</v>
      </c>
      <c r="O97" s="44"/>
      <c r="P97" s="48"/>
      <c r="Q97" s="8">
        <f>VLOOKUP($F97,[1]装箱单!$A:$E,5,0)</f>
        <v>31.115</v>
      </c>
      <c r="R97" s="8">
        <f>VLOOKUP($F97,[1]装箱单!$A:$F,6,0)</f>
        <v>22.59</v>
      </c>
      <c r="S97" s="8">
        <f>VLOOKUP($F97,[1]装箱单!$A:$G,7,0)</f>
        <v>15.875</v>
      </c>
      <c r="T97" s="10">
        <f>VLOOKUP($F97,[1]装箱单!$A:$J,10,0)</f>
        <v>0.01115834461875</v>
      </c>
      <c r="U97" s="11">
        <f t="shared" si="28"/>
        <v>1.03772604954375</v>
      </c>
    </row>
    <row r="98" ht="29.1" customHeight="1" spans="1:21">
      <c r="A98" s="40">
        <v>46184</v>
      </c>
      <c r="B98" s="41" t="s">
        <v>54</v>
      </c>
      <c r="C98" s="42" t="s">
        <v>1357</v>
      </c>
      <c r="D98" s="43" t="s">
        <v>1356</v>
      </c>
      <c r="E98" s="44">
        <v>993056857</v>
      </c>
      <c r="F98" s="44">
        <v>570989</v>
      </c>
      <c r="G98" s="44" t="str">
        <f>VLOOKUP(F98,[1]装箱单!$A:$C,3,0)</f>
        <v>盲盒系列</v>
      </c>
      <c r="H98" s="44">
        <v>20</v>
      </c>
      <c r="I98" s="45">
        <f t="shared" si="29"/>
        <v>540</v>
      </c>
      <c r="J98" s="45" t="s">
        <v>32</v>
      </c>
      <c r="K98" s="45" t="s">
        <v>33</v>
      </c>
      <c r="L98" s="46">
        <v>20</v>
      </c>
      <c r="M98" s="43">
        <f t="shared" si="27"/>
        <v>0.223166892375</v>
      </c>
      <c r="N98" s="46" t="s">
        <v>34</v>
      </c>
      <c r="O98" s="44"/>
      <c r="P98" s="48"/>
      <c r="Q98" s="8">
        <f>VLOOKUP($F98,[1]装箱单!$A:$E,5,0)</f>
        <v>31.115</v>
      </c>
      <c r="R98" s="8">
        <f>VLOOKUP($F98,[1]装箱单!$A:$F,6,0)</f>
        <v>22.59</v>
      </c>
      <c r="S98" s="8">
        <f>VLOOKUP($F98,[1]装箱单!$A:$G,7,0)</f>
        <v>15.875</v>
      </c>
      <c r="T98" s="10">
        <f>VLOOKUP($F98,[1]装箱单!$A:$J,10,0)</f>
        <v>0.01115834461875</v>
      </c>
      <c r="U98" s="11">
        <f t="shared" si="28"/>
        <v>0.223166892375</v>
      </c>
    </row>
    <row r="99" ht="29.1" customHeight="1" spans="1:21">
      <c r="A99" s="40">
        <v>46184</v>
      </c>
      <c r="B99" s="41" t="s">
        <v>54</v>
      </c>
      <c r="C99" s="42" t="s">
        <v>1358</v>
      </c>
      <c r="D99" s="43" t="s">
        <v>1356</v>
      </c>
      <c r="E99" s="44">
        <v>995044942</v>
      </c>
      <c r="F99" s="44">
        <v>570989</v>
      </c>
      <c r="G99" s="44" t="str">
        <f>VLOOKUP(F99,[1]装箱单!$A:$C,3,0)</f>
        <v>盲盒系列</v>
      </c>
      <c r="H99" s="44">
        <v>159</v>
      </c>
      <c r="I99" s="45">
        <f t="shared" si="29"/>
        <v>4293</v>
      </c>
      <c r="J99" s="45" t="s">
        <v>32</v>
      </c>
      <c r="K99" s="45" t="s">
        <v>33</v>
      </c>
      <c r="L99" s="46">
        <v>159</v>
      </c>
      <c r="M99" s="43">
        <f t="shared" si="27"/>
        <v>1.77417679438125</v>
      </c>
      <c r="N99" s="46" t="s">
        <v>34</v>
      </c>
      <c r="O99" s="44"/>
      <c r="P99" s="48"/>
      <c r="Q99" s="8">
        <f>VLOOKUP($F99,[1]装箱单!$A:$E,5,0)</f>
        <v>31.115</v>
      </c>
      <c r="R99" s="8">
        <f>VLOOKUP($F99,[1]装箱单!$A:$F,6,0)</f>
        <v>22.59</v>
      </c>
      <c r="S99" s="8">
        <f>VLOOKUP($F99,[1]装箱单!$A:$G,7,0)</f>
        <v>15.875</v>
      </c>
      <c r="T99" s="10">
        <f>VLOOKUP($F99,[1]装箱单!$A:$J,10,0)</f>
        <v>0.01115834461875</v>
      </c>
      <c r="U99" s="11">
        <f t="shared" si="28"/>
        <v>1.77417679438125</v>
      </c>
    </row>
    <row r="100" ht="29.1" customHeight="1" spans="1:21">
      <c r="A100" s="40">
        <v>46184</v>
      </c>
      <c r="B100" s="41" t="s">
        <v>54</v>
      </c>
      <c r="C100" s="42" t="s">
        <v>1359</v>
      </c>
      <c r="D100" s="43" t="s">
        <v>1356</v>
      </c>
      <c r="E100" s="44">
        <v>995044943</v>
      </c>
      <c r="F100" s="44">
        <v>570989</v>
      </c>
      <c r="G100" s="44" t="str">
        <f>VLOOKUP(F100,[1]装箱单!$A:$C,3,0)</f>
        <v>盲盒系列</v>
      </c>
      <c r="H100" s="44">
        <v>229</v>
      </c>
      <c r="I100" s="45">
        <f t="shared" si="29"/>
        <v>6183</v>
      </c>
      <c r="J100" s="45" t="s">
        <v>32</v>
      </c>
      <c r="K100" s="45" t="s">
        <v>33</v>
      </c>
      <c r="L100" s="46">
        <v>229</v>
      </c>
      <c r="M100" s="43">
        <f t="shared" si="27"/>
        <v>2.55526091769375</v>
      </c>
      <c r="N100" s="46" t="s">
        <v>34</v>
      </c>
      <c r="O100" s="44"/>
      <c r="P100" s="48"/>
      <c r="Q100" s="8">
        <f>VLOOKUP($F100,[1]装箱单!$A:$E,5,0)</f>
        <v>31.115</v>
      </c>
      <c r="R100" s="8">
        <f>VLOOKUP($F100,[1]装箱单!$A:$F,6,0)</f>
        <v>22.59</v>
      </c>
      <c r="S100" s="8">
        <f>VLOOKUP($F100,[1]装箱单!$A:$G,7,0)</f>
        <v>15.875</v>
      </c>
      <c r="T100" s="10">
        <f>VLOOKUP($F100,[1]装箱单!$A:$J,10,0)</f>
        <v>0.01115834461875</v>
      </c>
      <c r="U100" s="11">
        <f t="shared" si="28"/>
        <v>2.55526091769375</v>
      </c>
    </row>
    <row r="101" ht="29.1" customHeight="1" spans="1:21">
      <c r="A101" s="40">
        <v>46184</v>
      </c>
      <c r="B101" s="41" t="s">
        <v>54</v>
      </c>
      <c r="C101" s="42" t="s">
        <v>1360</v>
      </c>
      <c r="D101" s="43" t="s">
        <v>1356</v>
      </c>
      <c r="E101" s="44">
        <v>995044945</v>
      </c>
      <c r="F101" s="44">
        <v>570989</v>
      </c>
      <c r="G101" s="44" t="str">
        <f>VLOOKUP(F101,[1]装箱单!$A:$C,3,0)</f>
        <v>盲盒系列</v>
      </c>
      <c r="H101" s="44">
        <v>204</v>
      </c>
      <c r="I101" s="45">
        <f t="shared" si="29"/>
        <v>5508</v>
      </c>
      <c r="J101" s="45" t="s">
        <v>32</v>
      </c>
      <c r="K101" s="45" t="s">
        <v>33</v>
      </c>
      <c r="L101" s="46">
        <v>204</v>
      </c>
      <c r="M101" s="43">
        <f t="shared" si="27"/>
        <v>2.276302302225</v>
      </c>
      <c r="N101" s="46" t="s">
        <v>34</v>
      </c>
      <c r="O101" s="44"/>
      <c r="P101" s="48"/>
      <c r="Q101" s="8">
        <f>VLOOKUP($F101,[1]装箱单!$A:$E,5,0)</f>
        <v>31.115</v>
      </c>
      <c r="R101" s="8">
        <f>VLOOKUP($F101,[1]装箱单!$A:$F,6,0)</f>
        <v>22.59</v>
      </c>
      <c r="S101" s="8">
        <f>VLOOKUP($F101,[1]装箱单!$A:$G,7,0)</f>
        <v>15.875</v>
      </c>
      <c r="T101" s="10">
        <f>VLOOKUP($F101,[1]装箱单!$A:$J,10,0)</f>
        <v>0.01115834461875</v>
      </c>
      <c r="U101" s="11">
        <f t="shared" si="28"/>
        <v>2.276302302225</v>
      </c>
    </row>
    <row r="102" ht="29.1" customHeight="1" spans="1:21">
      <c r="A102" s="40">
        <v>46184</v>
      </c>
      <c r="B102" s="41" t="s">
        <v>54</v>
      </c>
      <c r="C102" s="42" t="s">
        <v>1361</v>
      </c>
      <c r="D102" s="43" t="s">
        <v>1356</v>
      </c>
      <c r="E102" s="44">
        <v>995044950</v>
      </c>
      <c r="F102" s="44">
        <v>570989</v>
      </c>
      <c r="G102" s="44" t="str">
        <f>VLOOKUP(F102,[1]装箱单!$A:$C,3,0)</f>
        <v>盲盒系列</v>
      </c>
      <c r="H102" s="44">
        <v>418</v>
      </c>
      <c r="I102" s="45">
        <f t="shared" si="29"/>
        <v>11286</v>
      </c>
      <c r="J102" s="45" t="s">
        <v>32</v>
      </c>
      <c r="K102" s="45" t="s">
        <v>33</v>
      </c>
      <c r="L102" s="46">
        <v>418</v>
      </c>
      <c r="M102" s="43">
        <f t="shared" si="27"/>
        <v>4.6641880506375</v>
      </c>
      <c r="N102" s="46" t="s">
        <v>34</v>
      </c>
      <c r="O102" s="44"/>
      <c r="P102" s="48"/>
      <c r="Q102" s="8">
        <f>VLOOKUP($F102,[1]装箱单!$A:$E,5,0)</f>
        <v>31.115</v>
      </c>
      <c r="R102" s="8">
        <f>VLOOKUP($F102,[1]装箱单!$A:$F,6,0)</f>
        <v>22.59</v>
      </c>
      <c r="S102" s="8">
        <f>VLOOKUP($F102,[1]装箱单!$A:$G,7,0)</f>
        <v>15.875</v>
      </c>
      <c r="T102" s="10">
        <f>VLOOKUP($F102,[1]装箱单!$A:$J,10,0)</f>
        <v>0.01115834461875</v>
      </c>
      <c r="U102" s="11">
        <f t="shared" si="28"/>
        <v>4.6641880506375</v>
      </c>
    </row>
    <row r="103" ht="29.1" customHeight="1" spans="1:21">
      <c r="A103" s="40">
        <v>46184</v>
      </c>
      <c r="B103" s="41" t="s">
        <v>54</v>
      </c>
      <c r="C103" s="42" t="s">
        <v>1362</v>
      </c>
      <c r="D103" s="43" t="s">
        <v>1356</v>
      </c>
      <c r="E103" s="44">
        <v>995044956</v>
      </c>
      <c r="F103" s="44">
        <v>570989</v>
      </c>
      <c r="G103" s="44" t="str">
        <f>VLOOKUP(F103,[1]装箱单!$A:$C,3,0)</f>
        <v>盲盒系列</v>
      </c>
      <c r="H103" s="44">
        <v>45</v>
      </c>
      <c r="I103" s="45">
        <f t="shared" si="29"/>
        <v>1215</v>
      </c>
      <c r="J103" s="45" t="s">
        <v>32</v>
      </c>
      <c r="K103" s="45" t="s">
        <v>33</v>
      </c>
      <c r="L103" s="46">
        <v>45</v>
      </c>
      <c r="M103" s="43">
        <f t="shared" si="27"/>
        <v>0.50212550784375</v>
      </c>
      <c r="N103" s="46" t="s">
        <v>34</v>
      </c>
      <c r="O103" s="44"/>
      <c r="P103" s="48"/>
      <c r="Q103" s="8">
        <f>VLOOKUP($F103,[1]装箱单!$A:$E,5,0)</f>
        <v>31.115</v>
      </c>
      <c r="R103" s="8">
        <f>VLOOKUP($F103,[1]装箱单!$A:$F,6,0)</f>
        <v>22.59</v>
      </c>
      <c r="S103" s="8">
        <f>VLOOKUP($F103,[1]装箱单!$A:$G,7,0)</f>
        <v>15.875</v>
      </c>
      <c r="T103" s="10">
        <f>VLOOKUP($F103,[1]装箱单!$A:$J,10,0)</f>
        <v>0.01115834461875</v>
      </c>
      <c r="U103" s="11">
        <f t="shared" si="28"/>
        <v>0.50212550784375</v>
      </c>
    </row>
    <row r="104" ht="29.1" customHeight="1" spans="1:21">
      <c r="A104" s="40">
        <v>46184</v>
      </c>
      <c r="B104" s="41" t="s">
        <v>54</v>
      </c>
      <c r="C104" s="42" t="s">
        <v>1363</v>
      </c>
      <c r="D104" s="43" t="s">
        <v>1356</v>
      </c>
      <c r="E104" s="44">
        <v>995044958</v>
      </c>
      <c r="F104" s="44">
        <v>570989</v>
      </c>
      <c r="G104" s="44" t="str">
        <f>VLOOKUP(F104,[1]装箱单!$A:$C,3,0)</f>
        <v>盲盒系列</v>
      </c>
      <c r="H104" s="44">
        <v>352</v>
      </c>
      <c r="I104" s="45">
        <f t="shared" si="29"/>
        <v>9504</v>
      </c>
      <c r="J104" s="45" t="s">
        <v>32</v>
      </c>
      <c r="K104" s="45" t="s">
        <v>33</v>
      </c>
      <c r="L104" s="46">
        <v>352</v>
      </c>
      <c r="M104" s="43">
        <f t="shared" si="27"/>
        <v>3.9277373058</v>
      </c>
      <c r="N104" s="46" t="s">
        <v>34</v>
      </c>
      <c r="O104" s="44"/>
      <c r="P104" s="48"/>
      <c r="Q104" s="8">
        <f>VLOOKUP($F104,[1]装箱单!$A:$E,5,0)</f>
        <v>31.115</v>
      </c>
      <c r="R104" s="8">
        <f>VLOOKUP($F104,[1]装箱单!$A:$F,6,0)</f>
        <v>22.59</v>
      </c>
      <c r="S104" s="8">
        <f>VLOOKUP($F104,[1]装箱单!$A:$G,7,0)</f>
        <v>15.875</v>
      </c>
      <c r="T104" s="10">
        <f>VLOOKUP($F104,[1]装箱单!$A:$J,10,0)</f>
        <v>0.01115834461875</v>
      </c>
      <c r="U104" s="11">
        <f t="shared" si="28"/>
        <v>3.9277373058</v>
      </c>
    </row>
    <row r="105" ht="29.1" customHeight="1" spans="1:21">
      <c r="A105" s="40">
        <v>46184</v>
      </c>
      <c r="B105" s="41" t="s">
        <v>54</v>
      </c>
      <c r="C105" s="42" t="s">
        <v>1364</v>
      </c>
      <c r="D105" s="43" t="s">
        <v>1356</v>
      </c>
      <c r="E105" s="44">
        <v>995044965</v>
      </c>
      <c r="F105" s="44">
        <v>570989</v>
      </c>
      <c r="G105" s="44" t="str">
        <f>VLOOKUP(F105,[1]装箱单!$A:$C,3,0)</f>
        <v>盲盒系列</v>
      </c>
      <c r="H105" s="44">
        <v>240</v>
      </c>
      <c r="I105" s="45">
        <f t="shared" si="29"/>
        <v>6480</v>
      </c>
      <c r="J105" s="45" t="s">
        <v>32</v>
      </c>
      <c r="K105" s="45" t="s">
        <v>33</v>
      </c>
      <c r="L105" s="46">
        <v>240</v>
      </c>
      <c r="M105" s="43">
        <f t="shared" si="27"/>
        <v>2.6780027085</v>
      </c>
      <c r="N105" s="46" t="s">
        <v>34</v>
      </c>
      <c r="O105" s="44"/>
      <c r="P105" s="48"/>
      <c r="Q105" s="8">
        <f>VLOOKUP($F105,[1]装箱单!$A:$E,5,0)</f>
        <v>31.115</v>
      </c>
      <c r="R105" s="8">
        <f>VLOOKUP($F105,[1]装箱单!$A:$F,6,0)</f>
        <v>22.59</v>
      </c>
      <c r="S105" s="8">
        <f>VLOOKUP($F105,[1]装箱单!$A:$G,7,0)</f>
        <v>15.875</v>
      </c>
      <c r="T105" s="10">
        <f>VLOOKUP($F105,[1]装箱单!$A:$J,10,0)</f>
        <v>0.01115834461875</v>
      </c>
      <c r="U105" s="11">
        <f t="shared" si="28"/>
        <v>2.6780027085</v>
      </c>
    </row>
    <row r="106" ht="29.1" customHeight="1" spans="1:21">
      <c r="A106" s="40">
        <v>46184</v>
      </c>
      <c r="B106" s="41" t="s">
        <v>54</v>
      </c>
      <c r="C106" s="42" t="s">
        <v>1365</v>
      </c>
      <c r="D106" s="43" t="s">
        <v>1366</v>
      </c>
      <c r="E106" s="44">
        <v>996501376</v>
      </c>
      <c r="F106" s="44">
        <v>570989</v>
      </c>
      <c r="G106" s="44" t="str">
        <f>VLOOKUP(F106,[1]装箱单!$A:$C,3,0)</f>
        <v>盲盒系列</v>
      </c>
      <c r="H106" s="44">
        <v>240</v>
      </c>
      <c r="I106" s="45">
        <f t="shared" si="29"/>
        <v>6480</v>
      </c>
      <c r="J106" s="45" t="s">
        <v>32</v>
      </c>
      <c r="K106" s="45" t="s">
        <v>33</v>
      </c>
      <c r="L106" s="46">
        <v>240</v>
      </c>
      <c r="M106" s="43">
        <f t="shared" si="27"/>
        <v>2.6780027085</v>
      </c>
      <c r="N106" s="46" t="s">
        <v>34</v>
      </c>
      <c r="O106" s="44"/>
      <c r="P106" s="48"/>
      <c r="Q106" s="8">
        <f>VLOOKUP($F106,[1]装箱单!$A:$E,5,0)</f>
        <v>31.115</v>
      </c>
      <c r="R106" s="8">
        <f>VLOOKUP($F106,[1]装箱单!$A:$F,6,0)</f>
        <v>22.59</v>
      </c>
      <c r="S106" s="8">
        <f>VLOOKUP($F106,[1]装箱单!$A:$G,7,0)</f>
        <v>15.875</v>
      </c>
      <c r="T106" s="10">
        <f>VLOOKUP($F106,[1]装箱单!$A:$J,10,0)</f>
        <v>0.01115834461875</v>
      </c>
      <c r="U106" s="11">
        <f t="shared" si="28"/>
        <v>2.6780027085</v>
      </c>
    </row>
    <row r="107" ht="29.1" customHeight="1" spans="1:21">
      <c r="A107" s="40">
        <v>46184</v>
      </c>
      <c r="B107" s="41" t="s">
        <v>412</v>
      </c>
      <c r="C107" s="42" t="s">
        <v>1367</v>
      </c>
      <c r="D107" s="43" t="s">
        <v>1341</v>
      </c>
      <c r="E107" s="44"/>
      <c r="F107" s="44">
        <v>570975</v>
      </c>
      <c r="G107" s="44" t="str">
        <f>VLOOKUP(F107,[1]装箱单!$A:$C,3,0)</f>
        <v>棒球</v>
      </c>
      <c r="H107" s="44">
        <v>225</v>
      </c>
      <c r="I107" s="45">
        <f t="shared" ref="I107:I111" si="30">+L107</f>
        <v>225</v>
      </c>
      <c r="J107" s="45" t="s">
        <v>32</v>
      </c>
      <c r="K107" s="45" t="s">
        <v>33</v>
      </c>
      <c r="L107" s="46">
        <v>225</v>
      </c>
      <c r="M107" s="43">
        <f t="shared" si="27"/>
        <v>4.3146784674</v>
      </c>
      <c r="N107" s="46" t="s">
        <v>34</v>
      </c>
      <c r="O107" s="44"/>
      <c r="P107" s="48"/>
      <c r="Q107" s="8">
        <f>VLOOKUP($F107,[1]装箱单!$A:$E,5,0)</f>
        <v>30.48</v>
      </c>
      <c r="R107" s="8">
        <f>VLOOKUP($F107,[1]装箱单!$A:$F,6,0)</f>
        <v>11.795</v>
      </c>
      <c r="S107" s="8">
        <f>VLOOKUP($F107,[1]装箱单!$A:$G,7,0)</f>
        <v>53.34</v>
      </c>
      <c r="T107" s="10">
        <f>VLOOKUP($F107,[1]装箱单!$A:$J,10,0)</f>
        <v>0.019176348744</v>
      </c>
      <c r="U107" s="11">
        <f t="shared" si="28"/>
        <v>4.3146784674</v>
      </c>
    </row>
    <row r="108" ht="29.1" customHeight="1" spans="1:21">
      <c r="A108" s="40">
        <v>46184</v>
      </c>
      <c r="B108" s="41" t="s">
        <v>412</v>
      </c>
      <c r="C108" s="42" t="s">
        <v>1368</v>
      </c>
      <c r="D108" s="43" t="s">
        <v>1341</v>
      </c>
      <c r="E108" s="44"/>
      <c r="F108" s="44">
        <v>570975</v>
      </c>
      <c r="G108" s="44" t="str">
        <f>VLOOKUP(F108,[1]装箱单!$A:$C,3,0)</f>
        <v>棒球</v>
      </c>
      <c r="H108" s="44">
        <v>705</v>
      </c>
      <c r="I108" s="45">
        <f t="shared" si="30"/>
        <v>705</v>
      </c>
      <c r="J108" s="45" t="s">
        <v>32</v>
      </c>
      <c r="K108" s="45" t="s">
        <v>33</v>
      </c>
      <c r="L108" s="46">
        <v>705</v>
      </c>
      <c r="M108" s="43">
        <f t="shared" si="27"/>
        <v>13.51932586452</v>
      </c>
      <c r="N108" s="46" t="s">
        <v>34</v>
      </c>
      <c r="O108" s="44"/>
      <c r="P108" s="48"/>
      <c r="Q108" s="8">
        <f>VLOOKUP($F108,[1]装箱单!$A:$E,5,0)</f>
        <v>30.48</v>
      </c>
      <c r="R108" s="8">
        <f>VLOOKUP($F108,[1]装箱单!$A:$F,6,0)</f>
        <v>11.795</v>
      </c>
      <c r="S108" s="8">
        <f>VLOOKUP($F108,[1]装箱单!$A:$G,7,0)</f>
        <v>53.34</v>
      </c>
      <c r="T108" s="10">
        <f>VLOOKUP($F108,[1]装箱单!$A:$J,10,0)</f>
        <v>0.019176348744</v>
      </c>
      <c r="U108" s="11">
        <f t="shared" si="28"/>
        <v>13.51932586452</v>
      </c>
    </row>
    <row r="109" ht="29.1" customHeight="1" spans="1:21">
      <c r="A109" s="40">
        <v>46184</v>
      </c>
      <c r="B109" s="41" t="s">
        <v>412</v>
      </c>
      <c r="C109" s="42" t="s">
        <v>1369</v>
      </c>
      <c r="D109" s="43" t="s">
        <v>1341</v>
      </c>
      <c r="E109" s="44"/>
      <c r="F109" s="44">
        <v>570975</v>
      </c>
      <c r="G109" s="44" t="str">
        <f>VLOOKUP(F109,[1]装箱单!$A:$C,3,0)</f>
        <v>棒球</v>
      </c>
      <c r="H109" s="44">
        <v>850</v>
      </c>
      <c r="I109" s="45">
        <f t="shared" si="30"/>
        <v>850</v>
      </c>
      <c r="J109" s="45" t="s">
        <v>32</v>
      </c>
      <c r="K109" s="45" t="s">
        <v>33</v>
      </c>
      <c r="L109" s="46">
        <v>850</v>
      </c>
      <c r="M109" s="43">
        <f t="shared" si="27"/>
        <v>16.2998964324</v>
      </c>
      <c r="N109" s="46" t="s">
        <v>34</v>
      </c>
      <c r="O109" s="44"/>
      <c r="P109" s="48"/>
      <c r="Q109" s="8">
        <f>VLOOKUP($F109,[1]装箱单!$A:$E,5,0)</f>
        <v>30.48</v>
      </c>
      <c r="R109" s="8">
        <f>VLOOKUP($F109,[1]装箱单!$A:$F,6,0)</f>
        <v>11.795</v>
      </c>
      <c r="S109" s="8">
        <f>VLOOKUP($F109,[1]装箱单!$A:$G,7,0)</f>
        <v>53.34</v>
      </c>
      <c r="T109" s="10">
        <f>VLOOKUP($F109,[1]装箱单!$A:$J,10,0)</f>
        <v>0.019176348744</v>
      </c>
      <c r="U109" s="11">
        <f t="shared" si="28"/>
        <v>16.2998964324</v>
      </c>
    </row>
    <row r="110" ht="29.1" customHeight="1" spans="1:21">
      <c r="A110" s="40">
        <v>46184</v>
      </c>
      <c r="B110" s="41" t="s">
        <v>412</v>
      </c>
      <c r="C110" s="42" t="s">
        <v>1370</v>
      </c>
      <c r="D110" s="43" t="s">
        <v>1341</v>
      </c>
      <c r="E110" s="44"/>
      <c r="F110" s="44">
        <v>570975</v>
      </c>
      <c r="G110" s="44" t="str">
        <f>VLOOKUP(F110,[1]装箱单!$A:$C,3,0)</f>
        <v>棒球</v>
      </c>
      <c r="H110" s="44">
        <v>609</v>
      </c>
      <c r="I110" s="45">
        <f t="shared" si="30"/>
        <v>609</v>
      </c>
      <c r="J110" s="45" t="s">
        <v>32</v>
      </c>
      <c r="K110" s="45" t="s">
        <v>33</v>
      </c>
      <c r="L110" s="46">
        <v>609</v>
      </c>
      <c r="M110" s="43">
        <f t="shared" si="27"/>
        <v>11.678396385096</v>
      </c>
      <c r="N110" s="46" t="s">
        <v>34</v>
      </c>
      <c r="O110" s="44"/>
      <c r="P110" s="48"/>
      <c r="Q110" s="8">
        <f>VLOOKUP($F110,[1]装箱单!$A:$E,5,0)</f>
        <v>30.48</v>
      </c>
      <c r="R110" s="8">
        <f>VLOOKUP($F110,[1]装箱单!$A:$F,6,0)</f>
        <v>11.795</v>
      </c>
      <c r="S110" s="8">
        <f>VLOOKUP($F110,[1]装箱单!$A:$G,7,0)</f>
        <v>53.34</v>
      </c>
      <c r="T110" s="10">
        <f>VLOOKUP($F110,[1]装箱单!$A:$J,10,0)</f>
        <v>0.019176348744</v>
      </c>
      <c r="U110" s="11">
        <f t="shared" si="28"/>
        <v>11.678396385096</v>
      </c>
    </row>
    <row r="111" ht="29.1" customHeight="1" spans="1:21">
      <c r="A111" s="40">
        <v>46184</v>
      </c>
      <c r="B111" s="41" t="s">
        <v>415</v>
      </c>
      <c r="C111" s="42" t="s">
        <v>1337</v>
      </c>
      <c r="D111" s="43" t="s">
        <v>1338</v>
      </c>
      <c r="E111" s="44"/>
      <c r="F111" s="44">
        <v>470764</v>
      </c>
      <c r="G111" s="44" t="str">
        <f>VLOOKUP(F111,[1]装箱单!$A:$C,3,0)</f>
        <v>大型自卸车</v>
      </c>
      <c r="H111" s="44">
        <v>3506</v>
      </c>
      <c r="I111" s="45">
        <f t="shared" si="30"/>
        <v>92</v>
      </c>
      <c r="J111" s="45" t="s">
        <v>32</v>
      </c>
      <c r="K111" s="45" t="s">
        <v>33</v>
      </c>
      <c r="L111" s="46">
        <v>92</v>
      </c>
      <c r="M111" s="43">
        <f t="shared" si="27"/>
        <v>2.465232</v>
      </c>
      <c r="N111" s="46" t="s">
        <v>34</v>
      </c>
      <c r="O111" s="44"/>
      <c r="P111" s="48"/>
      <c r="Q111" s="8">
        <f>VLOOKUP($F111,[1]装箱单!$A:$E,5,0)</f>
        <v>42</v>
      </c>
      <c r="R111" s="8">
        <f>VLOOKUP($F111,[1]装箱单!$A:$F,6,0)</f>
        <v>22</v>
      </c>
      <c r="S111" s="8">
        <f>VLOOKUP($F111,[1]装箱单!$A:$G,7,0)</f>
        <v>29</v>
      </c>
      <c r="T111" s="10">
        <f>VLOOKUP($F111,[1]装箱单!$A:$J,10,0)</f>
        <v>0.026796</v>
      </c>
      <c r="U111" s="11">
        <f t="shared" si="28"/>
        <v>2.465232</v>
      </c>
    </row>
    <row r="112" ht="29.1" customHeight="1" spans="1:21">
      <c r="A112" s="40"/>
      <c r="B112" s="41"/>
      <c r="C112" s="42"/>
      <c r="D112" s="43"/>
      <c r="E112" s="44"/>
      <c r="F112" s="44"/>
      <c r="G112" s="44"/>
      <c r="H112" s="49"/>
      <c r="I112" s="45"/>
      <c r="J112" s="45"/>
      <c r="K112" s="45"/>
      <c r="L112" s="46"/>
      <c r="M112" s="43">
        <f>SUM(M94:M111)</f>
        <v>149.209049954916</v>
      </c>
      <c r="N112" s="46"/>
      <c r="O112" s="49"/>
      <c r="P112" s="51"/>
    </row>
    <row r="113" ht="29.1" customHeight="1" spans="1:21">
      <c r="A113" s="40">
        <v>46186</v>
      </c>
      <c r="B113" s="41" t="s">
        <v>99</v>
      </c>
      <c r="C113" s="42" t="s">
        <v>1371</v>
      </c>
      <c r="D113" s="43" t="s">
        <v>1372</v>
      </c>
      <c r="E113" s="44" t="s">
        <v>945</v>
      </c>
      <c r="F113" s="44">
        <v>33807</v>
      </c>
      <c r="G113" s="44" t="str">
        <f>VLOOKUP(F113,[2]装箱单!$A:$C,3,0)</f>
        <v>搪胶小鸭</v>
      </c>
      <c r="H113" s="44">
        <v>43</v>
      </c>
      <c r="I113" s="45">
        <v>4128</v>
      </c>
      <c r="J113" s="45" t="s">
        <v>32</v>
      </c>
      <c r="K113" s="45" t="s">
        <v>33</v>
      </c>
      <c r="L113" s="46">
        <v>43</v>
      </c>
      <c r="M113" s="43">
        <f t="shared" ref="M113:M128" si="31">+U113</f>
        <v>0.95463225</v>
      </c>
      <c r="N113" s="46" t="s">
        <v>34</v>
      </c>
      <c r="O113" s="44"/>
      <c r="P113" s="47" t="s">
        <v>766</v>
      </c>
      <c r="Q113" s="8">
        <f>VLOOKUP($F113,[2]装箱单!$A:$E,5,0)</f>
        <v>32.5</v>
      </c>
      <c r="R113" s="8">
        <f>VLOOKUP($F113,[2]装箱单!$A:$F,6,0)</f>
        <v>20.7</v>
      </c>
      <c r="S113" s="8">
        <f>VLOOKUP($F113,[2]装箱单!$A:$G,7,0)</f>
        <v>33</v>
      </c>
      <c r="T113" s="10">
        <f>VLOOKUP($F113,[2]装箱单!$A:$J,10,0)</f>
        <v>0.02220075</v>
      </c>
      <c r="U113" s="11">
        <f t="shared" ref="U113:U128" si="32">+T113*L113</f>
        <v>0.95463225</v>
      </c>
    </row>
    <row r="114" ht="29.1" customHeight="1" spans="1:21">
      <c r="A114" s="40">
        <v>46186</v>
      </c>
      <c r="B114" s="41" t="s">
        <v>99</v>
      </c>
      <c r="C114" s="42" t="s">
        <v>1371</v>
      </c>
      <c r="D114" s="43" t="s">
        <v>1372</v>
      </c>
      <c r="E114" s="44" t="s">
        <v>945</v>
      </c>
      <c r="F114" s="44">
        <v>33808</v>
      </c>
      <c r="G114" s="44" t="str">
        <f>VLOOKUP(F114,[2]装箱单!$A:$C,3,0)</f>
        <v>搪胶小鸭</v>
      </c>
      <c r="H114" s="44">
        <v>157</v>
      </c>
      <c r="I114" s="45">
        <v>15072</v>
      </c>
      <c r="J114" s="45" t="s">
        <v>32</v>
      </c>
      <c r="K114" s="45" t="s">
        <v>33</v>
      </c>
      <c r="L114" s="46">
        <v>157</v>
      </c>
      <c r="M114" s="43">
        <f t="shared" si="31"/>
        <v>3.48551775</v>
      </c>
      <c r="N114" s="46" t="s">
        <v>34</v>
      </c>
      <c r="O114" s="44"/>
      <c r="P114" s="48"/>
      <c r="Q114" s="8">
        <f>VLOOKUP($F114,[2]装箱单!$A:$E,5,0)</f>
        <v>32.5</v>
      </c>
      <c r="R114" s="8">
        <f>VLOOKUP($F114,[2]装箱单!$A:$F,6,0)</f>
        <v>20.7</v>
      </c>
      <c r="S114" s="8">
        <f>VLOOKUP($F114,[2]装箱单!$A:$G,7,0)</f>
        <v>33</v>
      </c>
      <c r="T114" s="10">
        <f>VLOOKUP($F114,[2]装箱单!$A:$J,10,0)</f>
        <v>0.02220075</v>
      </c>
      <c r="U114" s="11">
        <f t="shared" si="32"/>
        <v>3.48551775</v>
      </c>
    </row>
    <row r="115" ht="29.1" customHeight="1" spans="1:21">
      <c r="A115" s="40">
        <v>46186</v>
      </c>
      <c r="B115" s="41" t="s">
        <v>99</v>
      </c>
      <c r="C115" s="42" t="s">
        <v>1371</v>
      </c>
      <c r="D115" s="43" t="s">
        <v>1372</v>
      </c>
      <c r="E115" s="44" t="s">
        <v>945</v>
      </c>
      <c r="F115" s="44">
        <v>33812</v>
      </c>
      <c r="G115" s="44" t="str">
        <f>VLOOKUP(F115,[2]装箱单!$A:$C,3,0)</f>
        <v>搪胶小鸭</v>
      </c>
      <c r="H115" s="44">
        <v>233</v>
      </c>
      <c r="I115" s="45">
        <v>13980</v>
      </c>
      <c r="J115" s="45" t="s">
        <v>32</v>
      </c>
      <c r="K115" s="45" t="s">
        <v>33</v>
      </c>
      <c r="L115" s="46">
        <v>233</v>
      </c>
      <c r="M115" s="43">
        <f t="shared" si="31"/>
        <v>3.545428656</v>
      </c>
      <c r="N115" s="46" t="s">
        <v>34</v>
      </c>
      <c r="O115" s="44"/>
      <c r="P115" s="48"/>
      <c r="Q115" s="8">
        <f>VLOOKUP($F115,[2]装箱单!$A:$E,5,0)</f>
        <v>32.2</v>
      </c>
      <c r="R115" s="8">
        <f>VLOOKUP($F115,[2]装箱单!$A:$F,6,0)</f>
        <v>26.4</v>
      </c>
      <c r="S115" s="8">
        <f>VLOOKUP($F115,[2]装箱单!$A:$G,7,0)</f>
        <v>17.9</v>
      </c>
      <c r="T115" s="10">
        <f>VLOOKUP($F115,[2]装箱单!$A:$J,10,0)</f>
        <v>0.015216432</v>
      </c>
      <c r="U115" s="11">
        <f t="shared" si="32"/>
        <v>3.545428656</v>
      </c>
    </row>
    <row r="116" ht="29.1" customHeight="1" spans="1:21">
      <c r="A116" s="40">
        <v>46186</v>
      </c>
      <c r="B116" s="41" t="s">
        <v>99</v>
      </c>
      <c r="C116" s="42" t="s">
        <v>1371</v>
      </c>
      <c r="D116" s="43" t="s">
        <v>1372</v>
      </c>
      <c r="E116" s="44" t="s">
        <v>945</v>
      </c>
      <c r="F116" s="44">
        <v>33813</v>
      </c>
      <c r="G116" s="44" t="str">
        <f>VLOOKUP(F116,[2]装箱单!$A:$C,3,0)</f>
        <v>搪胶小鸭</v>
      </c>
      <c r="H116" s="44">
        <v>43</v>
      </c>
      <c r="I116" s="45">
        <v>3612</v>
      </c>
      <c r="J116" s="45" t="s">
        <v>32</v>
      </c>
      <c r="K116" s="45" t="s">
        <v>33</v>
      </c>
      <c r="L116" s="46">
        <v>43</v>
      </c>
      <c r="M116" s="43">
        <f t="shared" si="31"/>
        <v>0.816424832</v>
      </c>
      <c r="N116" s="46" t="s">
        <v>34</v>
      </c>
      <c r="O116" s="44"/>
      <c r="P116" s="48"/>
      <c r="Q116" s="8">
        <f>VLOOKUP($F116,[2]装箱单!$A:$E,5,0)</f>
        <v>29.6</v>
      </c>
      <c r="R116" s="8">
        <f>VLOOKUP($F116,[2]装箱单!$A:$F,6,0)</f>
        <v>21.1</v>
      </c>
      <c r="S116" s="8">
        <f>VLOOKUP($F116,[2]装箱单!$A:$G,7,0)</f>
        <v>30.4</v>
      </c>
      <c r="T116" s="10">
        <f>VLOOKUP($F116,[2]装箱单!$A:$J,10,0)</f>
        <v>0.018986624</v>
      </c>
      <c r="U116" s="11">
        <f t="shared" si="32"/>
        <v>0.816424832</v>
      </c>
    </row>
    <row r="117" ht="29.1" customHeight="1" spans="1:21">
      <c r="A117" s="40">
        <v>46186</v>
      </c>
      <c r="B117" s="41" t="s">
        <v>1373</v>
      </c>
      <c r="C117" s="42" t="s">
        <v>1374</v>
      </c>
      <c r="D117" s="43" t="s">
        <v>1375</v>
      </c>
      <c r="E117" s="44">
        <v>2592516</v>
      </c>
      <c r="F117" s="44">
        <v>46092</v>
      </c>
      <c r="G117" s="44" t="str">
        <f>VLOOKUP(F117,[2]装箱单!$A:$C,3,0)</f>
        <v>玩具总动员系列</v>
      </c>
      <c r="H117" s="44">
        <v>2450</v>
      </c>
      <c r="I117" s="45">
        <v>4900</v>
      </c>
      <c r="J117" s="45" t="s">
        <v>47</v>
      </c>
      <c r="K117" s="45" t="s">
        <v>33</v>
      </c>
      <c r="L117" s="46">
        <v>2450</v>
      </c>
      <c r="M117" s="43">
        <f t="shared" si="31"/>
        <v>54.7960091784</v>
      </c>
      <c r="N117" s="46" t="s">
        <v>34</v>
      </c>
      <c r="O117" s="44"/>
      <c r="P117" s="48"/>
      <c r="Q117" s="8">
        <f>VLOOKUP($F117,[2]装箱单!$A:$E,5,0)</f>
        <v>40.01</v>
      </c>
      <c r="R117" s="8">
        <f>VLOOKUP($F117,[2]装箱单!$A:$F,6,0)</f>
        <v>26.67</v>
      </c>
      <c r="S117" s="8">
        <f>VLOOKUP($F117,[2]装箱单!$A:$G,7,0)</f>
        <v>20.96</v>
      </c>
      <c r="T117" s="10">
        <f>VLOOKUP($F117,[2]装箱单!$A:$J,10,0)</f>
        <v>0.022365718032</v>
      </c>
      <c r="U117" s="11">
        <f t="shared" si="32"/>
        <v>54.7960091784</v>
      </c>
    </row>
    <row r="118" ht="29.1" customHeight="1" spans="1:21">
      <c r="A118" s="40">
        <v>46186</v>
      </c>
      <c r="B118" s="41" t="s">
        <v>40</v>
      </c>
      <c r="C118" s="42" t="s">
        <v>1376</v>
      </c>
      <c r="D118" s="43" t="s">
        <v>1377</v>
      </c>
      <c r="E118" s="44">
        <v>993550644</v>
      </c>
      <c r="F118" s="44">
        <v>28481</v>
      </c>
      <c r="G118" s="44" t="str">
        <f>VLOOKUP(F118,[2]装箱单!$A:$C,3,0)</f>
        <v>骰子</v>
      </c>
      <c r="H118" s="44">
        <v>240</v>
      </c>
      <c r="I118" s="45">
        <v>960</v>
      </c>
      <c r="J118" s="45" t="s">
        <v>47</v>
      </c>
      <c r="K118" s="45" t="s">
        <v>33</v>
      </c>
      <c r="L118" s="46">
        <v>240</v>
      </c>
      <c r="M118" s="43">
        <f t="shared" si="31"/>
        <v>2.41914438192</v>
      </c>
      <c r="N118" s="46" t="s">
        <v>34</v>
      </c>
      <c r="O118" s="44"/>
      <c r="P118" s="48"/>
      <c r="Q118" s="8">
        <f>VLOOKUP($F118,[2]装箱单!$A:$E,5,0)</f>
        <v>23.81</v>
      </c>
      <c r="R118" s="8">
        <f>VLOOKUP($F118,[2]装箱单!$A:$F,6,0)</f>
        <v>17.78</v>
      </c>
      <c r="S118" s="8">
        <f>VLOOKUP($F118,[2]装箱单!$A:$G,7,0)</f>
        <v>23.81</v>
      </c>
      <c r="T118" s="10">
        <f>VLOOKUP($F118,[2]装箱单!$A:$J,10,0)</f>
        <v>0.010079768258</v>
      </c>
      <c r="U118" s="11">
        <f t="shared" si="32"/>
        <v>2.41914438192</v>
      </c>
    </row>
    <row r="119" ht="29.1" customHeight="1" spans="1:21">
      <c r="A119" s="40">
        <v>46186</v>
      </c>
      <c r="B119" s="41" t="s">
        <v>40</v>
      </c>
      <c r="C119" s="42" t="s">
        <v>1378</v>
      </c>
      <c r="D119" s="43" t="s">
        <v>1379</v>
      </c>
      <c r="E119" s="44">
        <v>993550643</v>
      </c>
      <c r="F119" s="44">
        <v>28481</v>
      </c>
      <c r="G119" s="44" t="str">
        <f>VLOOKUP(F119,[2]装箱单!$A:$C,3,0)</f>
        <v>骰子</v>
      </c>
      <c r="H119" s="44">
        <v>360</v>
      </c>
      <c r="I119" s="45">
        <v>1440</v>
      </c>
      <c r="J119" s="45" t="s">
        <v>47</v>
      </c>
      <c r="K119" s="45" t="s">
        <v>33</v>
      </c>
      <c r="L119" s="46">
        <v>360</v>
      </c>
      <c r="M119" s="43">
        <f t="shared" si="31"/>
        <v>3.62871657288</v>
      </c>
      <c r="N119" s="46" t="s">
        <v>34</v>
      </c>
      <c r="O119" s="44"/>
      <c r="P119" s="48"/>
      <c r="Q119" s="8">
        <f>VLOOKUP($F119,[2]装箱单!$A:$E,5,0)</f>
        <v>23.81</v>
      </c>
      <c r="R119" s="8">
        <f>VLOOKUP($F119,[2]装箱单!$A:$F,6,0)</f>
        <v>17.78</v>
      </c>
      <c r="S119" s="8">
        <f>VLOOKUP($F119,[2]装箱单!$A:$G,7,0)</f>
        <v>23.81</v>
      </c>
      <c r="T119" s="10">
        <f>VLOOKUP($F119,[2]装箱单!$A:$J,10,0)</f>
        <v>0.010079768258</v>
      </c>
      <c r="U119" s="11">
        <f t="shared" si="32"/>
        <v>3.62871657288</v>
      </c>
    </row>
    <row r="120" ht="29.1" customHeight="1" spans="1:21">
      <c r="A120" s="40">
        <v>46186</v>
      </c>
      <c r="B120" s="41" t="s">
        <v>40</v>
      </c>
      <c r="C120" s="42" t="s">
        <v>1380</v>
      </c>
      <c r="D120" s="43" t="s">
        <v>1381</v>
      </c>
      <c r="E120" s="44">
        <v>993550647</v>
      </c>
      <c r="F120" s="44">
        <v>28481</v>
      </c>
      <c r="G120" s="44" t="str">
        <f>VLOOKUP(F120,[2]装箱单!$A:$C,3,0)</f>
        <v>骰子</v>
      </c>
      <c r="H120" s="44">
        <v>480</v>
      </c>
      <c r="I120" s="45">
        <v>1920</v>
      </c>
      <c r="J120" s="45" t="s">
        <v>47</v>
      </c>
      <c r="K120" s="45" t="s">
        <v>33</v>
      </c>
      <c r="L120" s="46">
        <v>480</v>
      </c>
      <c r="M120" s="43">
        <f t="shared" si="31"/>
        <v>4.83828876384</v>
      </c>
      <c r="N120" s="46" t="s">
        <v>34</v>
      </c>
      <c r="O120" s="44"/>
      <c r="P120" s="48"/>
      <c r="Q120" s="8">
        <f>VLOOKUP($F120,[2]装箱单!$A:$E,5,0)</f>
        <v>23.81</v>
      </c>
      <c r="R120" s="8">
        <f>VLOOKUP($F120,[2]装箱单!$A:$F,6,0)</f>
        <v>17.78</v>
      </c>
      <c r="S120" s="8">
        <f>VLOOKUP($F120,[2]装箱单!$A:$G,7,0)</f>
        <v>23.81</v>
      </c>
      <c r="T120" s="10">
        <f>VLOOKUP($F120,[2]装箱单!$A:$J,10,0)</f>
        <v>0.010079768258</v>
      </c>
      <c r="U120" s="11">
        <f t="shared" si="32"/>
        <v>4.83828876384</v>
      </c>
    </row>
    <row r="121" ht="29.1" customHeight="1" spans="1:21">
      <c r="A121" s="40">
        <v>46186</v>
      </c>
      <c r="B121" s="41" t="s">
        <v>1382</v>
      </c>
      <c r="C121" s="42" t="s">
        <v>1383</v>
      </c>
      <c r="D121" s="43" t="s">
        <v>1384</v>
      </c>
      <c r="E121" s="44" t="s">
        <v>1385</v>
      </c>
      <c r="F121" s="44" t="s">
        <v>120</v>
      </c>
      <c r="G121" s="44" t="str">
        <f>VLOOKUP(F121,[2]装箱单!$A:$C,3,0)</f>
        <v>搪胶小鸭</v>
      </c>
      <c r="H121" s="44">
        <v>305</v>
      </c>
      <c r="I121" s="45">
        <v>10980</v>
      </c>
      <c r="J121" s="45" t="s">
        <v>32</v>
      </c>
      <c r="K121" s="45" t="s">
        <v>33</v>
      </c>
      <c r="L121" s="46">
        <v>305</v>
      </c>
      <c r="M121" s="43">
        <f t="shared" si="31"/>
        <v>3.7638017053</v>
      </c>
      <c r="N121" s="46" t="s">
        <v>34</v>
      </c>
      <c r="O121" s="44">
        <v>33517</v>
      </c>
      <c r="P121" s="48"/>
      <c r="Q121" s="8">
        <f>VLOOKUP($F121,[2]装箱单!$A:$E,5,0)</f>
        <v>33.02</v>
      </c>
      <c r="R121" s="8">
        <f>VLOOKUP($F121,[2]装箱单!$A:$F,6,0)</f>
        <v>18.41</v>
      </c>
      <c r="S121" s="8">
        <f>VLOOKUP($F121,[2]装箱单!$A:$G,7,0)</f>
        <v>20.3</v>
      </c>
      <c r="T121" s="10">
        <f>VLOOKUP($F121,[2]装箱单!$A:$J,10,0)</f>
        <v>0.01234033346</v>
      </c>
      <c r="U121" s="11">
        <f t="shared" si="32"/>
        <v>3.7638017053</v>
      </c>
    </row>
    <row r="122" ht="29.1" customHeight="1" spans="1:21">
      <c r="A122" s="40">
        <v>46186</v>
      </c>
      <c r="B122" s="41" t="s">
        <v>1382</v>
      </c>
      <c r="C122" s="42" t="s">
        <v>1383</v>
      </c>
      <c r="D122" s="43" t="s">
        <v>1384</v>
      </c>
      <c r="E122" s="44" t="s">
        <v>1385</v>
      </c>
      <c r="F122" s="44" t="s">
        <v>120</v>
      </c>
      <c r="G122" s="44" t="str">
        <f>VLOOKUP(F122,[2]装箱单!$A:$C,3,0)</f>
        <v>搪胶小鸭</v>
      </c>
      <c r="H122" s="44">
        <v>305</v>
      </c>
      <c r="I122" s="45">
        <v>10980</v>
      </c>
      <c r="J122" s="45" t="s">
        <v>32</v>
      </c>
      <c r="K122" s="45" t="s">
        <v>33</v>
      </c>
      <c r="L122" s="46">
        <v>305</v>
      </c>
      <c r="M122" s="43">
        <f t="shared" si="31"/>
        <v>3.7638017053</v>
      </c>
      <c r="N122" s="46" t="s">
        <v>34</v>
      </c>
      <c r="O122" s="44">
        <v>33518</v>
      </c>
      <c r="P122" s="48"/>
      <c r="Q122" s="8">
        <f>VLOOKUP($F122,[2]装箱单!$A:$E,5,0)</f>
        <v>33.02</v>
      </c>
      <c r="R122" s="8">
        <f>VLOOKUP($F122,[2]装箱单!$A:$F,6,0)</f>
        <v>18.41</v>
      </c>
      <c r="S122" s="8">
        <f>VLOOKUP($F122,[2]装箱单!$A:$G,7,0)</f>
        <v>20.3</v>
      </c>
      <c r="T122" s="10">
        <f>VLOOKUP($F122,[2]装箱单!$A:$J,10,0)</f>
        <v>0.01234033346</v>
      </c>
      <c r="U122" s="11">
        <f t="shared" si="32"/>
        <v>3.7638017053</v>
      </c>
    </row>
    <row r="123" ht="29.1" customHeight="1" spans="1:21">
      <c r="A123" s="40">
        <v>46186</v>
      </c>
      <c r="B123" s="41" t="s">
        <v>1382</v>
      </c>
      <c r="C123" s="42" t="s">
        <v>1386</v>
      </c>
      <c r="D123" s="43" t="s">
        <v>1387</v>
      </c>
      <c r="E123" s="44" t="s">
        <v>1388</v>
      </c>
      <c r="F123" s="44" t="s">
        <v>122</v>
      </c>
      <c r="G123" s="44" t="str">
        <f>VLOOKUP(F123,[2]装箱单!$A:$C,3,0)</f>
        <v>搪胶小鸭</v>
      </c>
      <c r="H123" s="44">
        <v>211</v>
      </c>
      <c r="I123" s="45">
        <v>7596</v>
      </c>
      <c r="J123" s="45" t="s">
        <v>32</v>
      </c>
      <c r="K123" s="45" t="s">
        <v>33</v>
      </c>
      <c r="L123" s="46">
        <v>211</v>
      </c>
      <c r="M123" s="43">
        <f t="shared" si="31"/>
        <v>2.5061304716</v>
      </c>
      <c r="N123" s="46" t="s">
        <v>34</v>
      </c>
      <c r="O123" s="44">
        <v>33423</v>
      </c>
      <c r="P123" s="48"/>
      <c r="Q123" s="8">
        <f>VLOOKUP($F123,[2]装箱单!$A:$E,5,0)</f>
        <v>31.75</v>
      </c>
      <c r="R123" s="8">
        <f>VLOOKUP($F123,[2]装箱单!$A:$F,6,0)</f>
        <v>18.41</v>
      </c>
      <c r="S123" s="8">
        <f>VLOOKUP($F123,[2]装箱单!$A:$G,7,0)</f>
        <v>20.32</v>
      </c>
      <c r="T123" s="10">
        <f>VLOOKUP($F123,[2]装箱单!$A:$J,10,0)</f>
        <v>0.0118773956</v>
      </c>
      <c r="U123" s="11">
        <f t="shared" si="32"/>
        <v>2.5061304716</v>
      </c>
    </row>
    <row r="124" ht="29.1" customHeight="1" spans="1:21">
      <c r="A124" s="40">
        <v>46186</v>
      </c>
      <c r="B124" s="41" t="s">
        <v>1382</v>
      </c>
      <c r="C124" s="42" t="s">
        <v>1386</v>
      </c>
      <c r="D124" s="43" t="s">
        <v>1387</v>
      </c>
      <c r="E124" s="44" t="s">
        <v>1388</v>
      </c>
      <c r="F124" s="44" t="s">
        <v>122</v>
      </c>
      <c r="G124" s="44" t="str">
        <f>VLOOKUP(F124,[2]装箱单!$A:$C,3,0)</f>
        <v>搪胶小鸭</v>
      </c>
      <c r="H124" s="44">
        <v>211</v>
      </c>
      <c r="I124" s="45">
        <v>7596</v>
      </c>
      <c r="J124" s="45" t="s">
        <v>32</v>
      </c>
      <c r="K124" s="45" t="s">
        <v>33</v>
      </c>
      <c r="L124" s="46">
        <v>211</v>
      </c>
      <c r="M124" s="43">
        <f t="shared" si="31"/>
        <v>2.5061304716</v>
      </c>
      <c r="N124" s="46" t="s">
        <v>34</v>
      </c>
      <c r="O124" s="44">
        <v>33622</v>
      </c>
      <c r="P124" s="48"/>
      <c r="Q124" s="8">
        <f>VLOOKUP($F124,[2]装箱单!$A:$E,5,0)</f>
        <v>31.75</v>
      </c>
      <c r="R124" s="8">
        <f>VLOOKUP($F124,[2]装箱单!$A:$F,6,0)</f>
        <v>18.41</v>
      </c>
      <c r="S124" s="8">
        <f>VLOOKUP($F124,[2]装箱单!$A:$G,7,0)</f>
        <v>20.32</v>
      </c>
      <c r="T124" s="10">
        <f>VLOOKUP($F124,[2]装箱单!$A:$J,10,0)</f>
        <v>0.0118773956</v>
      </c>
      <c r="U124" s="11">
        <f t="shared" si="32"/>
        <v>2.5061304716</v>
      </c>
    </row>
    <row r="125" ht="29.1" customHeight="1" spans="1:21">
      <c r="A125" s="40">
        <v>46186</v>
      </c>
      <c r="B125" s="41" t="s">
        <v>1382</v>
      </c>
      <c r="C125" s="42" t="s">
        <v>1386</v>
      </c>
      <c r="D125" s="43" t="s">
        <v>1387</v>
      </c>
      <c r="E125" s="44" t="s">
        <v>1388</v>
      </c>
      <c r="F125" s="44" t="s">
        <v>120</v>
      </c>
      <c r="G125" s="44" t="str">
        <f>VLOOKUP(F125,[2]装箱单!$A:$C,3,0)</f>
        <v>搪胶小鸭</v>
      </c>
      <c r="H125" s="44">
        <v>204</v>
      </c>
      <c r="I125" s="45">
        <v>7344</v>
      </c>
      <c r="J125" s="45" t="s">
        <v>32</v>
      </c>
      <c r="K125" s="45" t="s">
        <v>33</v>
      </c>
      <c r="L125" s="46">
        <v>204</v>
      </c>
      <c r="M125" s="43">
        <f t="shared" si="31"/>
        <v>2.51742802584</v>
      </c>
      <c r="N125" s="46" t="s">
        <v>34</v>
      </c>
      <c r="O125" s="44">
        <v>33631</v>
      </c>
      <c r="P125" s="48"/>
      <c r="Q125" s="8">
        <f>VLOOKUP($F125,[2]装箱单!$A:$E,5,0)</f>
        <v>33.02</v>
      </c>
      <c r="R125" s="8">
        <f>VLOOKUP($F125,[2]装箱单!$A:$F,6,0)</f>
        <v>18.41</v>
      </c>
      <c r="S125" s="8">
        <f>VLOOKUP($F125,[2]装箱单!$A:$G,7,0)</f>
        <v>20.3</v>
      </c>
      <c r="T125" s="10">
        <f>VLOOKUP($F125,[2]装箱单!$A:$J,10,0)</f>
        <v>0.01234033346</v>
      </c>
      <c r="U125" s="11">
        <f t="shared" si="32"/>
        <v>2.51742802584</v>
      </c>
    </row>
    <row r="126" ht="29.1" customHeight="1" spans="1:21">
      <c r="A126" s="40">
        <v>46186</v>
      </c>
      <c r="B126" s="41" t="s">
        <v>1382</v>
      </c>
      <c r="C126" s="42" t="s">
        <v>1386</v>
      </c>
      <c r="D126" s="43" t="s">
        <v>1387</v>
      </c>
      <c r="E126" s="44" t="s">
        <v>1388</v>
      </c>
      <c r="F126" s="44" t="s">
        <v>120</v>
      </c>
      <c r="G126" s="44" t="str">
        <f>VLOOKUP(F126,[2]装箱单!$A:$C,3,0)</f>
        <v>搪胶小鸭</v>
      </c>
      <c r="H126" s="44">
        <v>223</v>
      </c>
      <c r="I126" s="45">
        <v>8028</v>
      </c>
      <c r="J126" s="45" t="s">
        <v>32</v>
      </c>
      <c r="K126" s="45" t="s">
        <v>33</v>
      </c>
      <c r="L126" s="46">
        <v>223</v>
      </c>
      <c r="M126" s="43">
        <f t="shared" si="31"/>
        <v>2.75189436158</v>
      </c>
      <c r="N126" s="46" t="s">
        <v>34</v>
      </c>
      <c r="O126" s="44">
        <v>33632</v>
      </c>
      <c r="P126" s="48"/>
      <c r="Q126" s="8">
        <f>VLOOKUP($F126,[2]装箱单!$A:$E,5,0)</f>
        <v>33.02</v>
      </c>
      <c r="R126" s="8">
        <f>VLOOKUP($F126,[2]装箱单!$A:$F,6,0)</f>
        <v>18.41</v>
      </c>
      <c r="S126" s="8">
        <f>VLOOKUP($F126,[2]装箱单!$A:$G,7,0)</f>
        <v>20.3</v>
      </c>
      <c r="T126" s="10">
        <f>VLOOKUP($F126,[2]装箱单!$A:$J,10,0)</f>
        <v>0.01234033346</v>
      </c>
      <c r="U126" s="11">
        <f t="shared" si="32"/>
        <v>2.75189436158</v>
      </c>
    </row>
    <row r="127" ht="29.1" customHeight="1" spans="1:21">
      <c r="A127" s="40">
        <v>46186</v>
      </c>
      <c r="B127" s="41" t="s">
        <v>1382</v>
      </c>
      <c r="C127" s="42" t="s">
        <v>1386</v>
      </c>
      <c r="D127" s="43" t="s">
        <v>1387</v>
      </c>
      <c r="E127" s="44" t="s">
        <v>1388</v>
      </c>
      <c r="F127" s="44" t="s">
        <v>120</v>
      </c>
      <c r="G127" s="44" t="str">
        <f>VLOOKUP(F127,[2]装箱单!$A:$C,3,0)</f>
        <v>搪胶小鸭</v>
      </c>
      <c r="H127" s="44">
        <v>195</v>
      </c>
      <c r="I127" s="45">
        <v>7020</v>
      </c>
      <c r="J127" s="45" t="s">
        <v>32</v>
      </c>
      <c r="K127" s="45" t="s">
        <v>33</v>
      </c>
      <c r="L127" s="46">
        <v>195</v>
      </c>
      <c r="M127" s="43">
        <f t="shared" si="31"/>
        <v>2.4063650247</v>
      </c>
      <c r="N127" s="46" t="s">
        <v>34</v>
      </c>
      <c r="O127" s="44">
        <v>33642</v>
      </c>
      <c r="P127" s="48"/>
      <c r="Q127" s="8">
        <f>VLOOKUP($F127,[2]装箱单!$A:$E,5,0)</f>
        <v>33.02</v>
      </c>
      <c r="R127" s="8">
        <f>VLOOKUP($F127,[2]装箱单!$A:$F,6,0)</f>
        <v>18.41</v>
      </c>
      <c r="S127" s="8">
        <f>VLOOKUP($F127,[2]装箱单!$A:$G,7,0)</f>
        <v>20.3</v>
      </c>
      <c r="T127" s="10">
        <f>VLOOKUP($F127,[2]装箱单!$A:$J,10,0)</f>
        <v>0.01234033346</v>
      </c>
      <c r="U127" s="11">
        <f t="shared" si="32"/>
        <v>2.4063650247</v>
      </c>
    </row>
    <row r="128" ht="29.1" customHeight="1" spans="1:21">
      <c r="A128" s="40">
        <v>46186</v>
      </c>
      <c r="B128" s="41" t="s">
        <v>1373</v>
      </c>
      <c r="C128" s="42" t="s">
        <v>1389</v>
      </c>
      <c r="D128" s="43" t="s">
        <v>1389</v>
      </c>
      <c r="E128" s="44">
        <v>2592515</v>
      </c>
      <c r="F128" s="44">
        <v>46132</v>
      </c>
      <c r="G128" s="44" t="str">
        <f>VLOOKUP(F128,[2]装箱单!$A:$C,3,0)</f>
        <v>赛车总动员系列</v>
      </c>
      <c r="H128" s="44">
        <v>1826</v>
      </c>
      <c r="I128" s="45">
        <v>3652</v>
      </c>
      <c r="J128" s="45" t="s">
        <v>47</v>
      </c>
      <c r="K128" s="45" t="s">
        <v>33</v>
      </c>
      <c r="L128" s="46">
        <v>1507</v>
      </c>
      <c r="M128" s="43">
        <f t="shared" si="31"/>
        <v>33.705137074224</v>
      </c>
      <c r="N128" s="46" t="s">
        <v>34</v>
      </c>
      <c r="O128" s="44"/>
      <c r="P128" s="48"/>
      <c r="Q128" s="8">
        <f>VLOOKUP($F128,[2]装箱单!$A:$E,5,0)</f>
        <v>40.01</v>
      </c>
      <c r="R128" s="8">
        <f>VLOOKUP($F128,[2]装箱单!$A:$F,6,0)</f>
        <v>26.67</v>
      </c>
      <c r="S128" s="8">
        <f>VLOOKUP($F128,[2]装箱单!$A:$G,7,0)</f>
        <v>20.96</v>
      </c>
      <c r="T128" s="10">
        <f>VLOOKUP($F128,[2]装箱单!$A:$J,10,0)</f>
        <v>0.022365718032</v>
      </c>
      <c r="U128" s="11">
        <f t="shared" si="32"/>
        <v>33.705137074224</v>
      </c>
    </row>
    <row r="129" ht="29.1" customHeight="1" spans="1:16">
      <c r="A129" s="40"/>
      <c r="B129" s="41"/>
      <c r="C129" s="42"/>
      <c r="D129" s="43"/>
      <c r="E129" s="44"/>
      <c r="F129" s="44"/>
      <c r="G129" s="44"/>
      <c r="H129" s="44"/>
      <c r="I129" s="45"/>
      <c r="J129" s="45"/>
      <c r="K129" s="45"/>
      <c r="L129" s="46"/>
      <c r="M129" s="43">
        <f>SUM(M113:M128)</f>
        <v>128.404851225184</v>
      </c>
      <c r="N129" s="46"/>
      <c r="O129" s="44"/>
      <c r="P129" s="51"/>
    </row>
    <row r="130" ht="29.1" customHeight="1" spans="1:16">
      <c r="A130" s="40">
        <v>46186</v>
      </c>
      <c r="B130" s="52" t="s">
        <v>922</v>
      </c>
      <c r="C130" s="42" t="s">
        <v>1390</v>
      </c>
      <c r="D130" s="43" t="s">
        <v>1391</v>
      </c>
      <c r="E130" s="139" t="s">
        <v>1392</v>
      </c>
      <c r="F130" s="44">
        <v>33476</v>
      </c>
      <c r="G130" s="44" t="str">
        <f>VLOOKUP(F130,[2]装箱单!$A:$C,3,0)</f>
        <v>搪小鸭天使</v>
      </c>
      <c r="H130" s="44">
        <v>34</v>
      </c>
      <c r="I130" s="45">
        <v>300</v>
      </c>
      <c r="J130" s="45" t="s">
        <v>32</v>
      </c>
      <c r="K130" s="45" t="s">
        <v>33</v>
      </c>
      <c r="L130" s="46"/>
      <c r="M130" s="43"/>
      <c r="N130" s="46"/>
      <c r="O130" s="44"/>
      <c r="P130" s="48" t="s">
        <v>1105</v>
      </c>
    </row>
    <row r="131" ht="29.1" customHeight="1" spans="1:16">
      <c r="A131" s="40">
        <v>46186</v>
      </c>
      <c r="B131" s="52" t="s">
        <v>922</v>
      </c>
      <c r="C131" s="42" t="s">
        <v>1393</v>
      </c>
      <c r="D131" s="43" t="s">
        <v>1394</v>
      </c>
      <c r="E131" s="139" t="s">
        <v>1395</v>
      </c>
      <c r="F131" s="44">
        <v>33476</v>
      </c>
      <c r="G131" s="44" t="str">
        <f>VLOOKUP(F131,[2]装箱单!$A:$C,3,0)</f>
        <v>搪小鸭天使</v>
      </c>
      <c r="H131" s="44"/>
      <c r="I131" s="45">
        <v>200</v>
      </c>
      <c r="J131" s="45" t="s">
        <v>32</v>
      </c>
      <c r="K131" s="45" t="s">
        <v>33</v>
      </c>
      <c r="L131" s="46"/>
      <c r="M131" s="43"/>
      <c r="N131" s="46"/>
      <c r="O131" s="44"/>
      <c r="P131" s="48"/>
    </row>
    <row r="132" ht="29.1" customHeight="1" spans="1:16">
      <c r="A132" s="40">
        <v>46186</v>
      </c>
      <c r="B132" s="52" t="s">
        <v>922</v>
      </c>
      <c r="C132" s="42" t="s">
        <v>1396</v>
      </c>
      <c r="D132" s="43" t="s">
        <v>1397</v>
      </c>
      <c r="E132" s="139" t="s">
        <v>1398</v>
      </c>
      <c r="F132" s="44">
        <v>33476</v>
      </c>
      <c r="G132" s="44" t="str">
        <f>VLOOKUP(F132,[2]装箱单!$A:$C,3,0)</f>
        <v>搪小鸭天使</v>
      </c>
      <c r="H132" s="44"/>
      <c r="I132" s="45">
        <v>200</v>
      </c>
      <c r="J132" s="45" t="s">
        <v>32</v>
      </c>
      <c r="K132" s="45" t="s">
        <v>33</v>
      </c>
      <c r="L132" s="46"/>
      <c r="M132" s="43"/>
      <c r="N132" s="46"/>
      <c r="O132" s="44"/>
      <c r="P132" s="48"/>
    </row>
    <row r="133" ht="29.1" customHeight="1" spans="1:16">
      <c r="A133" s="40">
        <v>46186</v>
      </c>
      <c r="B133" s="52" t="s">
        <v>922</v>
      </c>
      <c r="C133" s="42" t="s">
        <v>1399</v>
      </c>
      <c r="D133" s="43" t="s">
        <v>1400</v>
      </c>
      <c r="E133" s="139" t="s">
        <v>1401</v>
      </c>
      <c r="F133" s="44">
        <v>33476</v>
      </c>
      <c r="G133" s="44" t="str">
        <f>VLOOKUP(F133,[2]装箱单!$A:$C,3,0)</f>
        <v>搪小鸭天使</v>
      </c>
      <c r="H133" s="44"/>
      <c r="I133" s="45">
        <v>200</v>
      </c>
      <c r="J133" s="45" t="s">
        <v>32</v>
      </c>
      <c r="K133" s="45" t="s">
        <v>33</v>
      </c>
      <c r="L133" s="46"/>
      <c r="M133" s="43"/>
      <c r="N133" s="46"/>
      <c r="O133" s="44"/>
      <c r="P133" s="48"/>
    </row>
    <row r="134" ht="29.1" customHeight="1" spans="1:16">
      <c r="A134" s="40">
        <v>46186</v>
      </c>
      <c r="B134" s="52" t="s">
        <v>922</v>
      </c>
      <c r="C134" s="42" t="s">
        <v>1402</v>
      </c>
      <c r="D134" s="43" t="s">
        <v>1403</v>
      </c>
      <c r="E134" s="139" t="s">
        <v>1404</v>
      </c>
      <c r="F134" s="44">
        <v>33476</v>
      </c>
      <c r="G134" s="44" t="str">
        <f>VLOOKUP(F134,[2]装箱单!$A:$C,3,0)</f>
        <v>搪小鸭天使</v>
      </c>
      <c r="H134" s="44"/>
      <c r="I134" s="45">
        <v>500</v>
      </c>
      <c r="J134" s="45" t="s">
        <v>32</v>
      </c>
      <c r="K134" s="45" t="s">
        <v>33</v>
      </c>
      <c r="L134" s="46"/>
      <c r="M134" s="43"/>
      <c r="N134" s="46"/>
      <c r="O134" s="44"/>
      <c r="P134" s="48"/>
    </row>
    <row r="135" ht="29.1" customHeight="1" spans="1:16">
      <c r="A135" s="40">
        <v>46186</v>
      </c>
      <c r="B135" s="52" t="s">
        <v>922</v>
      </c>
      <c r="C135" s="42" t="s">
        <v>1405</v>
      </c>
      <c r="D135" s="43" t="s">
        <v>1406</v>
      </c>
      <c r="E135" s="139" t="s">
        <v>1407</v>
      </c>
      <c r="F135" s="44">
        <v>33476</v>
      </c>
      <c r="G135" s="44" t="str">
        <f>VLOOKUP(F135,[2]装箱单!$A:$C,3,0)</f>
        <v>搪小鸭天使</v>
      </c>
      <c r="H135" s="44"/>
      <c r="I135" s="45">
        <v>300</v>
      </c>
      <c r="J135" s="45" t="s">
        <v>32</v>
      </c>
      <c r="K135" s="45" t="s">
        <v>33</v>
      </c>
      <c r="L135" s="46"/>
      <c r="M135" s="43"/>
      <c r="N135" s="46"/>
      <c r="O135" s="44"/>
      <c r="P135" s="48"/>
    </row>
    <row r="136" ht="29.1" customHeight="1" spans="1:16">
      <c r="A136" s="40">
        <v>46186</v>
      </c>
      <c r="B136" s="52" t="s">
        <v>922</v>
      </c>
      <c r="C136" s="42" t="s">
        <v>1408</v>
      </c>
      <c r="D136" s="43" t="s">
        <v>1409</v>
      </c>
      <c r="E136" s="139" t="s">
        <v>1410</v>
      </c>
      <c r="F136" s="44">
        <v>33476</v>
      </c>
      <c r="G136" s="44" t="str">
        <f>VLOOKUP(F136,[2]装箱单!$A:$C,3,0)</f>
        <v>搪小鸭天使</v>
      </c>
      <c r="H136" s="44"/>
      <c r="I136" s="45">
        <v>400</v>
      </c>
      <c r="J136" s="45" t="s">
        <v>32</v>
      </c>
      <c r="K136" s="45" t="s">
        <v>33</v>
      </c>
      <c r="L136" s="46"/>
      <c r="M136" s="43"/>
      <c r="N136" s="46"/>
      <c r="O136" s="44"/>
      <c r="P136" s="48"/>
    </row>
    <row r="137" ht="29.1" customHeight="1" spans="1:16">
      <c r="A137" s="40">
        <v>46186</v>
      </c>
      <c r="B137" s="52" t="s">
        <v>922</v>
      </c>
      <c r="C137" s="42" t="s">
        <v>1194</v>
      </c>
      <c r="D137" s="43" t="s">
        <v>1195</v>
      </c>
      <c r="E137" s="44">
        <v>0</v>
      </c>
      <c r="F137" s="44">
        <v>33476</v>
      </c>
      <c r="G137" s="44" t="str">
        <f>VLOOKUP(F137,[2]装箱单!$A:$C,3,0)</f>
        <v>搪小鸭天使</v>
      </c>
      <c r="H137" s="44"/>
      <c r="I137" s="45">
        <v>680</v>
      </c>
      <c r="J137" s="45" t="s">
        <v>32</v>
      </c>
      <c r="K137" s="45" t="s">
        <v>33</v>
      </c>
      <c r="L137" s="46"/>
      <c r="M137" s="43"/>
      <c r="N137" s="46"/>
      <c r="O137" s="44"/>
      <c r="P137" s="48"/>
    </row>
    <row r="138" ht="29.1" customHeight="1" spans="1:16">
      <c r="A138" s="40">
        <v>46186</v>
      </c>
      <c r="B138" s="52" t="s">
        <v>922</v>
      </c>
      <c r="C138" s="42" t="s">
        <v>1390</v>
      </c>
      <c r="D138" s="43" t="s">
        <v>1391</v>
      </c>
      <c r="E138" s="139" t="s">
        <v>1392</v>
      </c>
      <c r="F138" s="44">
        <v>33477</v>
      </c>
      <c r="G138" s="44" t="str">
        <f>VLOOKUP(F138,[2]装箱单!$A:$C,3,0)</f>
        <v>搪小鸭外星史迪仔</v>
      </c>
      <c r="H138" s="44">
        <v>101</v>
      </c>
      <c r="I138" s="45">
        <v>660</v>
      </c>
      <c r="J138" s="45" t="s">
        <v>32</v>
      </c>
      <c r="K138" s="45" t="s">
        <v>33</v>
      </c>
      <c r="L138" s="46"/>
      <c r="M138" s="43"/>
      <c r="N138" s="46"/>
      <c r="O138" s="44"/>
      <c r="P138" s="48"/>
    </row>
    <row r="139" ht="29.1" customHeight="1" spans="1:16">
      <c r="A139" s="40">
        <v>46186</v>
      </c>
      <c r="B139" s="52" t="s">
        <v>922</v>
      </c>
      <c r="C139" s="42" t="s">
        <v>1393</v>
      </c>
      <c r="D139" s="43" t="s">
        <v>1394</v>
      </c>
      <c r="E139" s="139" t="s">
        <v>1395</v>
      </c>
      <c r="F139" s="44">
        <v>33477</v>
      </c>
      <c r="G139" s="44" t="str">
        <f>VLOOKUP(F139,[2]装箱单!$A:$C,3,0)</f>
        <v>搪小鸭外星史迪仔</v>
      </c>
      <c r="H139" s="44"/>
      <c r="I139" s="45">
        <v>550</v>
      </c>
      <c r="J139" s="45" t="s">
        <v>32</v>
      </c>
      <c r="K139" s="45" t="s">
        <v>33</v>
      </c>
      <c r="L139" s="46"/>
      <c r="M139" s="43"/>
      <c r="N139" s="46"/>
      <c r="O139" s="44"/>
      <c r="P139" s="48"/>
    </row>
    <row r="140" ht="29.1" customHeight="1" spans="1:16">
      <c r="A140" s="40">
        <v>46186</v>
      </c>
      <c r="B140" s="52" t="s">
        <v>922</v>
      </c>
      <c r="C140" s="42" t="s">
        <v>1396</v>
      </c>
      <c r="D140" s="43" t="s">
        <v>1397</v>
      </c>
      <c r="E140" s="139" t="s">
        <v>1398</v>
      </c>
      <c r="F140" s="44">
        <v>33477</v>
      </c>
      <c r="G140" s="44" t="str">
        <f>VLOOKUP(F140,[2]装箱单!$A:$C,3,0)</f>
        <v>搪小鸭外星史迪仔</v>
      </c>
      <c r="H140" s="44"/>
      <c r="I140" s="45">
        <v>440</v>
      </c>
      <c r="J140" s="45" t="s">
        <v>32</v>
      </c>
      <c r="K140" s="45" t="s">
        <v>33</v>
      </c>
      <c r="L140" s="46"/>
      <c r="M140" s="43"/>
      <c r="N140" s="46"/>
      <c r="O140" s="44"/>
      <c r="P140" s="48"/>
    </row>
    <row r="141" ht="29.1" customHeight="1" spans="1:16">
      <c r="A141" s="40">
        <v>46186</v>
      </c>
      <c r="B141" s="52" t="s">
        <v>922</v>
      </c>
      <c r="C141" s="42" t="s">
        <v>1399</v>
      </c>
      <c r="D141" s="43" t="s">
        <v>1400</v>
      </c>
      <c r="E141" s="139" t="s">
        <v>1401</v>
      </c>
      <c r="F141" s="44">
        <v>33477</v>
      </c>
      <c r="G141" s="44" t="str">
        <f>VLOOKUP(F141,[2]装箱单!$A:$C,3,0)</f>
        <v>搪小鸭外星史迪仔</v>
      </c>
      <c r="H141" s="44"/>
      <c r="I141" s="45">
        <v>330</v>
      </c>
      <c r="J141" s="45" t="s">
        <v>32</v>
      </c>
      <c r="K141" s="45" t="s">
        <v>33</v>
      </c>
      <c r="L141" s="46"/>
      <c r="M141" s="43"/>
      <c r="N141" s="46"/>
      <c r="O141" s="44"/>
      <c r="P141" s="48"/>
    </row>
    <row r="142" ht="29.1" customHeight="1" spans="1:16">
      <c r="A142" s="40">
        <v>46186</v>
      </c>
      <c r="B142" s="52" t="s">
        <v>922</v>
      </c>
      <c r="C142" s="42" t="s">
        <v>1402</v>
      </c>
      <c r="D142" s="43" t="s">
        <v>1403</v>
      </c>
      <c r="E142" s="139" t="s">
        <v>1404</v>
      </c>
      <c r="F142" s="44">
        <v>33477</v>
      </c>
      <c r="G142" s="44" t="str">
        <f>VLOOKUP(F142,[2]装箱单!$A:$C,3,0)</f>
        <v>搪小鸭外星史迪仔</v>
      </c>
      <c r="H142" s="44"/>
      <c r="I142" s="45">
        <v>770</v>
      </c>
      <c r="J142" s="45" t="s">
        <v>32</v>
      </c>
      <c r="K142" s="45" t="s">
        <v>33</v>
      </c>
      <c r="L142" s="46"/>
      <c r="M142" s="43"/>
      <c r="N142" s="46"/>
      <c r="O142" s="44"/>
      <c r="P142" s="48"/>
    </row>
    <row r="143" ht="29.1" customHeight="1" spans="1:16">
      <c r="A143" s="40">
        <v>46186</v>
      </c>
      <c r="B143" s="52" t="s">
        <v>922</v>
      </c>
      <c r="C143" s="42" t="s">
        <v>1405</v>
      </c>
      <c r="D143" s="43" t="s">
        <v>1406</v>
      </c>
      <c r="E143" s="139" t="s">
        <v>1407</v>
      </c>
      <c r="F143" s="44">
        <v>33477</v>
      </c>
      <c r="G143" s="44" t="str">
        <f>VLOOKUP(F143,[2]装箱单!$A:$C,3,0)</f>
        <v>搪小鸭外星史迪仔</v>
      </c>
      <c r="H143" s="44"/>
      <c r="I143" s="45">
        <v>440</v>
      </c>
      <c r="J143" s="45" t="s">
        <v>32</v>
      </c>
      <c r="K143" s="45" t="s">
        <v>33</v>
      </c>
      <c r="L143" s="46"/>
      <c r="M143" s="43"/>
      <c r="N143" s="46"/>
      <c r="O143" s="44"/>
      <c r="P143" s="48"/>
    </row>
    <row r="144" ht="29.1" customHeight="1" spans="1:16">
      <c r="A144" s="40">
        <v>46186</v>
      </c>
      <c r="B144" s="52" t="s">
        <v>922</v>
      </c>
      <c r="C144" s="42" t="s">
        <v>1408</v>
      </c>
      <c r="D144" s="43" t="s">
        <v>1409</v>
      </c>
      <c r="E144" s="139" t="s">
        <v>1410</v>
      </c>
      <c r="F144" s="44">
        <v>33477</v>
      </c>
      <c r="G144" s="44" t="str">
        <f>VLOOKUP(F144,[2]装箱单!$A:$C,3,0)</f>
        <v>搪小鸭外星史迪仔</v>
      </c>
      <c r="H144" s="44"/>
      <c r="I144" s="45">
        <v>770</v>
      </c>
      <c r="J144" s="45" t="s">
        <v>32</v>
      </c>
      <c r="K144" s="45" t="s">
        <v>33</v>
      </c>
      <c r="L144" s="46"/>
      <c r="M144" s="43"/>
      <c r="N144" s="46"/>
      <c r="O144" s="44"/>
      <c r="P144" s="48"/>
    </row>
    <row r="145" ht="29.1" customHeight="1" spans="1:22">
      <c r="A145" s="40">
        <v>46186</v>
      </c>
      <c r="B145" s="52" t="s">
        <v>922</v>
      </c>
      <c r="C145" s="42" t="s">
        <v>1411</v>
      </c>
      <c r="D145" s="43" t="s">
        <v>1412</v>
      </c>
      <c r="E145" s="44" t="s">
        <v>1413</v>
      </c>
      <c r="F145" s="44">
        <v>33477</v>
      </c>
      <c r="G145" s="44" t="str">
        <f>VLOOKUP(F145,[2]装箱单!$A:$C,3,0)</f>
        <v>搪小鸭外星史迪仔</v>
      </c>
      <c r="H145" s="44"/>
      <c r="I145" s="45">
        <v>1875</v>
      </c>
      <c r="J145" s="45" t="s">
        <v>32</v>
      </c>
      <c r="K145" s="45" t="s">
        <v>33</v>
      </c>
      <c r="L145" s="46"/>
      <c r="M145" s="43"/>
      <c r="N145" s="46"/>
      <c r="O145" s="44"/>
      <c r="P145" s="48"/>
    </row>
    <row r="146" ht="29.1" customHeight="1" spans="1:22">
      <c r="A146" s="40">
        <v>46186</v>
      </c>
      <c r="B146" s="52" t="s">
        <v>922</v>
      </c>
      <c r="C146" s="42" t="s">
        <v>1414</v>
      </c>
      <c r="D146" s="43" t="s">
        <v>1415</v>
      </c>
      <c r="E146" s="44">
        <v>0</v>
      </c>
      <c r="F146" s="44">
        <v>33477</v>
      </c>
      <c r="G146" s="44" t="str">
        <f>VLOOKUP(F146,[2]装箱单!$A:$C,3,0)</f>
        <v>搪小鸭外星史迪仔</v>
      </c>
      <c r="H146" s="44"/>
      <c r="I146" s="45">
        <v>500</v>
      </c>
      <c r="J146" s="45" t="s">
        <v>32</v>
      </c>
      <c r="K146" s="45" t="s">
        <v>33</v>
      </c>
      <c r="L146" s="46"/>
      <c r="M146" s="43"/>
      <c r="N146" s="46"/>
      <c r="O146" s="44"/>
      <c r="P146" s="48"/>
    </row>
    <row r="147" ht="29.1" customHeight="1" spans="1:22">
      <c r="A147" s="40">
        <v>46186</v>
      </c>
      <c r="B147" s="52" t="s">
        <v>922</v>
      </c>
      <c r="C147" s="42" t="s">
        <v>1416</v>
      </c>
      <c r="D147" s="43" t="s">
        <v>1417</v>
      </c>
      <c r="E147" s="44" t="s">
        <v>1418</v>
      </c>
      <c r="F147" s="44">
        <v>33477</v>
      </c>
      <c r="G147" s="44" t="str">
        <f>VLOOKUP(F147,[2]装箱单!$A:$C,3,0)</f>
        <v>搪小鸭外星史迪仔</v>
      </c>
      <c r="H147" s="44"/>
      <c r="I147" s="45">
        <v>668</v>
      </c>
      <c r="J147" s="45" t="s">
        <v>32</v>
      </c>
      <c r="K147" s="45" t="s">
        <v>33</v>
      </c>
      <c r="L147" s="46"/>
      <c r="M147" s="43"/>
      <c r="N147" s="46"/>
      <c r="O147" s="44"/>
      <c r="P147" s="48"/>
    </row>
    <row r="148" ht="29.1" customHeight="1" spans="1:22">
      <c r="A148" s="40">
        <v>46186</v>
      </c>
      <c r="B148" s="52" t="s">
        <v>922</v>
      </c>
      <c r="C148" s="42" t="s">
        <v>1194</v>
      </c>
      <c r="D148" s="43" t="s">
        <v>1195</v>
      </c>
      <c r="E148" s="44">
        <v>0</v>
      </c>
      <c r="F148" s="44">
        <v>33416</v>
      </c>
      <c r="G148" s="44" t="str">
        <f>VLOOKUP(F148,[2]装箱单!$A:$C,3,0)</f>
        <v>史迪仔</v>
      </c>
      <c r="H148" s="44">
        <v>9</v>
      </c>
      <c r="I148" s="45">
        <v>680</v>
      </c>
      <c r="J148" s="45" t="s">
        <v>32</v>
      </c>
      <c r="K148" s="45" t="s">
        <v>33</v>
      </c>
      <c r="L148" s="46"/>
      <c r="M148" s="43"/>
      <c r="N148" s="46"/>
      <c r="O148" s="44"/>
      <c r="P148" s="48"/>
    </row>
    <row r="149" ht="29.1" customHeight="1" spans="1:22">
      <c r="A149" s="40">
        <v>46188</v>
      </c>
      <c r="B149" s="41" t="s">
        <v>40</v>
      </c>
      <c r="C149" s="42" t="s">
        <v>1376</v>
      </c>
      <c r="D149" s="43" t="s">
        <v>1377</v>
      </c>
      <c r="E149" s="44">
        <v>993550644</v>
      </c>
      <c r="F149" s="44">
        <v>28483</v>
      </c>
      <c r="G149" s="44" t="str">
        <f>VLOOKUP(F149,[3]装箱单!$A:$C,3,0)</f>
        <v>振动球</v>
      </c>
      <c r="H149" s="44">
        <v>7560</v>
      </c>
      <c r="I149" s="45">
        <v>7560</v>
      </c>
      <c r="J149" s="45" t="s">
        <v>32</v>
      </c>
      <c r="K149" s="45" t="s">
        <v>33</v>
      </c>
      <c r="L149" s="46">
        <v>7560</v>
      </c>
      <c r="M149" s="43">
        <f t="shared" ref="M149:M152" si="33">+U149</f>
        <v>43.6415364</v>
      </c>
      <c r="N149" s="46" t="s">
        <v>34</v>
      </c>
      <c r="O149" s="44"/>
      <c r="P149" s="47" t="s">
        <v>1419</v>
      </c>
      <c r="Q149" s="8">
        <f>VLOOKUP($F149,[3]装箱单!$A:$E,5,0)</f>
        <v>16.83</v>
      </c>
      <c r="R149" s="8">
        <f>VLOOKUP($F149,[3]装箱单!$A:$F,6,0)</f>
        <v>17.15</v>
      </c>
      <c r="S149" s="8">
        <f>VLOOKUP($F149,[3]装箱单!$A:$G,7,0)</f>
        <v>20</v>
      </c>
      <c r="T149" s="10">
        <f>VLOOKUP($F149,[3]装箱单!$A:$J,10,0)</f>
        <v>0.00577269</v>
      </c>
      <c r="U149" s="11">
        <f t="shared" ref="U149:U152" si="34">+T149*L149</f>
        <v>43.6415364</v>
      </c>
    </row>
    <row r="150" ht="29.1" customHeight="1" spans="1:22">
      <c r="A150" s="40">
        <v>46188</v>
      </c>
      <c r="B150" s="41" t="s">
        <v>40</v>
      </c>
      <c r="C150" s="42" t="s">
        <v>1378</v>
      </c>
      <c r="D150" s="43" t="s">
        <v>1379</v>
      </c>
      <c r="E150" s="44">
        <v>993550643</v>
      </c>
      <c r="F150" s="44">
        <v>28483</v>
      </c>
      <c r="G150" s="44" t="str">
        <f>VLOOKUP(F150,[3]装箱单!$A:$C,3,0)</f>
        <v>振动球</v>
      </c>
      <c r="H150" s="44">
        <v>3780</v>
      </c>
      <c r="I150" s="45">
        <v>3780</v>
      </c>
      <c r="J150" s="45" t="s">
        <v>32</v>
      </c>
      <c r="K150" s="45" t="s">
        <v>33</v>
      </c>
      <c r="L150" s="46">
        <v>3780</v>
      </c>
      <c r="M150" s="43">
        <f t="shared" si="33"/>
        <v>21.8207682</v>
      </c>
      <c r="N150" s="46" t="s">
        <v>34</v>
      </c>
      <c r="O150" s="44"/>
      <c r="P150" s="48"/>
      <c r="Q150" s="8">
        <f>VLOOKUP($F150,[3]装箱单!$A:$E,5,0)</f>
        <v>16.83</v>
      </c>
      <c r="R150" s="8">
        <f>VLOOKUP($F150,[3]装箱单!$A:$F,6,0)</f>
        <v>17.15</v>
      </c>
      <c r="S150" s="8">
        <f>VLOOKUP($F150,[3]装箱单!$A:$G,7,0)</f>
        <v>20</v>
      </c>
      <c r="T150" s="10">
        <f>VLOOKUP($F150,[3]装箱单!$A:$J,10,0)</f>
        <v>0.00577269</v>
      </c>
      <c r="U150" s="11">
        <f t="shared" si="34"/>
        <v>21.8207682</v>
      </c>
    </row>
    <row r="151" ht="29.1" customHeight="1" spans="1:22">
      <c r="A151" s="40">
        <v>46188</v>
      </c>
      <c r="B151" s="41" t="s">
        <v>40</v>
      </c>
      <c r="C151" s="42" t="s">
        <v>1380</v>
      </c>
      <c r="D151" s="43" t="s">
        <v>1381</v>
      </c>
      <c r="E151" s="44">
        <v>993550647</v>
      </c>
      <c r="F151" s="44">
        <v>28483</v>
      </c>
      <c r="G151" s="44" t="str">
        <f>VLOOKUP(F151,[3]装箱单!$A:$C,3,0)</f>
        <v>振动球</v>
      </c>
      <c r="H151" s="44">
        <v>5580</v>
      </c>
      <c r="I151" s="45">
        <v>5580</v>
      </c>
      <c r="J151" s="45" t="s">
        <v>32</v>
      </c>
      <c r="K151" s="45" t="s">
        <v>33</v>
      </c>
      <c r="L151" s="46">
        <v>3420</v>
      </c>
      <c r="M151" s="43">
        <f t="shared" si="33"/>
        <v>19.7425998</v>
      </c>
      <c r="N151" s="46" t="s">
        <v>34</v>
      </c>
      <c r="O151" s="44"/>
      <c r="P151" s="48"/>
      <c r="Q151" s="8">
        <f>VLOOKUP($F151,[3]装箱单!$A:$E,5,0)</f>
        <v>16.83</v>
      </c>
      <c r="R151" s="8">
        <f>VLOOKUP($F151,[3]装箱单!$A:$F,6,0)</f>
        <v>17.15</v>
      </c>
      <c r="S151" s="8">
        <f>VLOOKUP($F151,[3]装箱单!$A:$G,7,0)</f>
        <v>20</v>
      </c>
      <c r="T151" s="10">
        <f>VLOOKUP($F151,[3]装箱单!$A:$J,10,0)</f>
        <v>0.00577269</v>
      </c>
      <c r="U151" s="11">
        <f t="shared" si="34"/>
        <v>19.7425998</v>
      </c>
    </row>
    <row r="152" ht="29.1" customHeight="1" spans="1:22">
      <c r="A152" s="40">
        <v>46188</v>
      </c>
      <c r="B152" s="41" t="s">
        <v>415</v>
      </c>
      <c r="C152" s="42" t="s">
        <v>1420</v>
      </c>
      <c r="D152" s="43" t="s">
        <v>1338</v>
      </c>
      <c r="E152" s="44"/>
      <c r="F152" s="44">
        <v>470764</v>
      </c>
      <c r="G152" s="44" t="str">
        <f>VLOOKUP(F152,[3]装箱单!$A:$C,3,0)</f>
        <v>大型自卸车</v>
      </c>
      <c r="H152" s="44">
        <v>2494</v>
      </c>
      <c r="I152" s="45">
        <f>+L152</f>
        <v>1522</v>
      </c>
      <c r="J152" s="45" t="s">
        <v>32</v>
      </c>
      <c r="K152" s="45" t="s">
        <v>33</v>
      </c>
      <c r="L152" s="46">
        <v>1522</v>
      </c>
      <c r="M152" s="43">
        <f t="shared" si="33"/>
        <v>40.783512</v>
      </c>
      <c r="N152" s="46" t="s">
        <v>34</v>
      </c>
      <c r="O152" s="44"/>
      <c r="P152" s="48"/>
      <c r="Q152" s="8">
        <f>VLOOKUP($F152,[3]装箱单!$A:$E,5,0)</f>
        <v>42</v>
      </c>
      <c r="R152" s="8">
        <f>VLOOKUP($F152,[3]装箱单!$A:$F,6,0)</f>
        <v>22</v>
      </c>
      <c r="S152" s="8">
        <f>VLOOKUP($F152,[3]装箱单!$A:$G,7,0)</f>
        <v>29</v>
      </c>
      <c r="T152" s="10">
        <f>VLOOKUP($F152,[3]装箱单!$A:$J,10,0)</f>
        <v>0.026796</v>
      </c>
      <c r="U152" s="11">
        <f t="shared" si="34"/>
        <v>40.783512</v>
      </c>
    </row>
    <row r="153" ht="29.1" customHeight="1" spans="1:22">
      <c r="A153" s="40"/>
      <c r="B153" s="41"/>
      <c r="C153" s="42"/>
      <c r="D153" s="43"/>
      <c r="E153" s="44"/>
      <c r="F153" s="44"/>
      <c r="G153" s="44"/>
      <c r="H153" s="44"/>
      <c r="I153" s="45"/>
      <c r="J153" s="45"/>
      <c r="K153" s="45"/>
      <c r="L153" s="46"/>
      <c r="M153" s="43">
        <f>SUM(M149:M152)</f>
        <v>125.9884164</v>
      </c>
      <c r="N153" s="46"/>
      <c r="O153" s="44"/>
      <c r="P153" s="51"/>
    </row>
    <row r="154" ht="29.1" customHeight="1" spans="1:22">
      <c r="A154" s="40">
        <v>46189</v>
      </c>
      <c r="B154" s="41" t="s">
        <v>52</v>
      </c>
      <c r="C154" s="57">
        <v>46346</v>
      </c>
      <c r="D154" s="58" t="s">
        <v>1331</v>
      </c>
      <c r="E154" s="59"/>
      <c r="F154" s="44">
        <v>320398</v>
      </c>
      <c r="G154" s="44" t="str">
        <f>VLOOKUP(F154,[3]装箱单!$A:$C,3,0)</f>
        <v>兔子家族</v>
      </c>
      <c r="H154" s="44">
        <v>750</v>
      </c>
      <c r="I154" s="45">
        <f t="shared" ref="I154:I156" si="35">+L154*4</f>
        <v>3000</v>
      </c>
      <c r="J154" s="45" t="s">
        <v>47</v>
      </c>
      <c r="K154" s="45" t="s">
        <v>33</v>
      </c>
      <c r="L154" s="46">
        <v>750</v>
      </c>
      <c r="M154" s="43">
        <f t="shared" ref="M154:M158" si="36">+U154</f>
        <v>7.7175</v>
      </c>
      <c r="N154" s="46" t="s">
        <v>34</v>
      </c>
      <c r="O154" s="44"/>
      <c r="P154" s="47" t="s">
        <v>1421</v>
      </c>
      <c r="Q154" s="8">
        <f>VLOOKUP($F154,[3]装箱单!$A:$E,5,0)</f>
        <v>24.5</v>
      </c>
      <c r="R154" s="8">
        <f>VLOOKUP($F154,[3]装箱单!$A:$F,6,0)</f>
        <v>21</v>
      </c>
      <c r="S154" s="8">
        <f>VLOOKUP($F154,[3]装箱单!$A:$G,7,0)</f>
        <v>20</v>
      </c>
      <c r="T154" s="10">
        <f>VLOOKUP($F154,[3]装箱单!$A:$J,10,0)</f>
        <v>0.01029</v>
      </c>
      <c r="U154" s="11">
        <f t="shared" ref="U154:U158" si="37">+T154*L154</f>
        <v>7.7175</v>
      </c>
    </row>
    <row r="155" ht="29.1" customHeight="1" spans="1:22">
      <c r="A155" s="40">
        <v>46189</v>
      </c>
      <c r="B155" s="41" t="s">
        <v>52</v>
      </c>
      <c r="C155" s="57">
        <v>46554</v>
      </c>
      <c r="D155" s="58" t="s">
        <v>1422</v>
      </c>
      <c r="E155" s="59"/>
      <c r="F155" s="60">
        <v>320398</v>
      </c>
      <c r="G155" s="44" t="str">
        <f>VLOOKUP(F155,[3]装箱单!$A:$C,3,0)</f>
        <v>兔子家族</v>
      </c>
      <c r="H155" s="44">
        <v>750</v>
      </c>
      <c r="I155" s="45">
        <f t="shared" si="35"/>
        <v>3000</v>
      </c>
      <c r="J155" s="45" t="s">
        <v>47</v>
      </c>
      <c r="K155" s="45" t="s">
        <v>33</v>
      </c>
      <c r="L155" s="46">
        <v>750</v>
      </c>
      <c r="M155" s="43">
        <f t="shared" si="36"/>
        <v>7.7175</v>
      </c>
      <c r="N155" s="46" t="s">
        <v>34</v>
      </c>
      <c r="O155" s="44"/>
      <c r="P155" s="48"/>
      <c r="Q155" s="8">
        <f>VLOOKUP($F155,[3]装箱单!$A:$E,5,0)</f>
        <v>24.5</v>
      </c>
      <c r="R155" s="8">
        <f>VLOOKUP($F155,[3]装箱单!$A:$F,6,0)</f>
        <v>21</v>
      </c>
      <c r="S155" s="8">
        <f>VLOOKUP($F155,[3]装箱单!$A:$G,7,0)</f>
        <v>20</v>
      </c>
      <c r="T155" s="10">
        <f>VLOOKUP($F155,[3]装箱单!$A:$J,10,0)</f>
        <v>0.01029</v>
      </c>
      <c r="U155" s="11">
        <f t="shared" si="37"/>
        <v>7.7175</v>
      </c>
    </row>
    <row r="156" ht="29.1" customHeight="1" spans="1:22">
      <c r="A156" s="40">
        <v>46189</v>
      </c>
      <c r="B156" s="41" t="s">
        <v>52</v>
      </c>
      <c r="C156" s="42">
        <v>46346</v>
      </c>
      <c r="D156" s="43" t="s">
        <v>1331</v>
      </c>
      <c r="E156" s="44"/>
      <c r="F156" s="45">
        <v>320401</v>
      </c>
      <c r="G156" s="44" t="str">
        <f>VLOOKUP(F156,[3]装箱单!$A:$C,3,0)</f>
        <v>狗家族</v>
      </c>
      <c r="H156" s="44">
        <v>750</v>
      </c>
      <c r="I156" s="45">
        <f t="shared" si="35"/>
        <v>3000</v>
      </c>
      <c r="J156" s="45" t="s">
        <v>47</v>
      </c>
      <c r="K156" s="45" t="s">
        <v>33</v>
      </c>
      <c r="L156" s="46">
        <v>750</v>
      </c>
      <c r="M156" s="43">
        <f t="shared" si="36"/>
        <v>7.7175</v>
      </c>
      <c r="N156" s="46" t="s">
        <v>34</v>
      </c>
      <c r="O156" s="44"/>
      <c r="P156" s="48"/>
      <c r="Q156" s="8">
        <f>VLOOKUP($F156,[3]装箱单!$A:$E,5,0)</f>
        <v>24.5</v>
      </c>
      <c r="R156" s="8">
        <f>VLOOKUP($F156,[3]装箱单!$A:$F,6,0)</f>
        <v>21</v>
      </c>
      <c r="S156" s="8">
        <f>VLOOKUP($F156,[3]装箱单!$A:$G,7,0)</f>
        <v>20</v>
      </c>
      <c r="T156" s="10">
        <f>VLOOKUP($F156,[3]装箱单!$A:$J,10,0)</f>
        <v>0.01029</v>
      </c>
      <c r="U156" s="11">
        <f t="shared" si="37"/>
        <v>7.7175</v>
      </c>
    </row>
    <row r="157" ht="29.1" customHeight="1" spans="1:22">
      <c r="A157" s="40">
        <v>46189</v>
      </c>
      <c r="B157" s="41" t="s">
        <v>52</v>
      </c>
      <c r="C157" s="42">
        <v>46554</v>
      </c>
      <c r="D157" s="43" t="s">
        <v>1423</v>
      </c>
      <c r="E157" s="44"/>
      <c r="F157" s="45">
        <v>570974</v>
      </c>
      <c r="G157" s="44" t="str">
        <f>VLOOKUP(F157,[3]装箱单!$A:$C,3,0)</f>
        <v>蓝球</v>
      </c>
      <c r="H157" s="44">
        <v>3800</v>
      </c>
      <c r="I157" s="45">
        <f>+L157</f>
        <v>1116</v>
      </c>
      <c r="J157" s="45" t="s">
        <v>32</v>
      </c>
      <c r="K157" s="45" t="s">
        <v>33</v>
      </c>
      <c r="L157" s="46">
        <v>1116</v>
      </c>
      <c r="M157" s="43">
        <f t="shared" si="36"/>
        <v>95.89180065696</v>
      </c>
      <c r="N157" s="46" t="s">
        <v>34</v>
      </c>
      <c r="O157" s="44"/>
      <c r="P157" s="48"/>
      <c r="Q157" s="8">
        <f>VLOOKUP($F157,[3]装箱单!$A:$E,5,0)</f>
        <v>59.05</v>
      </c>
      <c r="R157" s="8">
        <f>VLOOKUP($F157,[3]装箱单!$A:$F,6,0)</f>
        <v>26.04</v>
      </c>
      <c r="S157" s="8">
        <f>VLOOKUP($F157,[3]装箱单!$A:$G,7,0)</f>
        <v>55.88</v>
      </c>
      <c r="T157" s="10">
        <f>VLOOKUP($F157,[3]装箱单!$A:$J,10,0)</f>
        <v>0.08592455256</v>
      </c>
      <c r="U157" s="11">
        <f t="shared" si="37"/>
        <v>95.89180065696</v>
      </c>
    </row>
    <row r="158" ht="29.1" customHeight="1" spans="1:22">
      <c r="A158" s="40">
        <v>46189</v>
      </c>
      <c r="B158" s="41" t="s">
        <v>1346</v>
      </c>
      <c r="C158" s="42" t="s">
        <v>1347</v>
      </c>
      <c r="D158" s="43" t="s">
        <v>1424</v>
      </c>
      <c r="E158" s="44">
        <v>20219090</v>
      </c>
      <c r="F158" s="45">
        <v>571299</v>
      </c>
      <c r="G158" s="44" t="str">
        <f>VLOOKUP(F158,[3]装箱单!$A:$C,3,0)</f>
        <v>自卸车</v>
      </c>
      <c r="H158" s="44">
        <v>1430</v>
      </c>
      <c r="I158" s="45">
        <f>+L158</f>
        <v>761</v>
      </c>
      <c r="J158" s="45" t="s">
        <v>32</v>
      </c>
      <c r="K158" s="45" t="s">
        <v>33</v>
      </c>
      <c r="L158" s="46">
        <v>761</v>
      </c>
      <c r="M158" s="43">
        <f t="shared" si="36"/>
        <v>20.391756</v>
      </c>
      <c r="N158" s="46" t="s">
        <v>34</v>
      </c>
      <c r="O158" s="61"/>
      <c r="P158" s="48"/>
      <c r="Q158" s="8">
        <f>VLOOKUP($F158,[3]装箱单!$A:$E,5,0)</f>
        <v>42</v>
      </c>
      <c r="R158" s="8">
        <f>VLOOKUP($F158,[3]装箱单!$A:$F,6,0)</f>
        <v>22</v>
      </c>
      <c r="S158" s="8">
        <f>VLOOKUP($F158,[3]装箱单!$A:$G,7,0)</f>
        <v>29</v>
      </c>
      <c r="T158" s="10">
        <f>VLOOKUP($F158,[3]装箱单!$A:$J,10,0)</f>
        <v>0.026796</v>
      </c>
      <c r="U158" s="11">
        <f t="shared" si="37"/>
        <v>20.391756</v>
      </c>
    </row>
    <row r="159" ht="29.1" customHeight="1" spans="1:22">
      <c r="A159" s="40"/>
      <c r="B159" s="41"/>
      <c r="C159" s="42"/>
      <c r="D159" s="43"/>
      <c r="E159" s="44"/>
      <c r="F159" s="45"/>
      <c r="G159" s="44"/>
      <c r="H159" s="44"/>
      <c r="I159" s="45"/>
      <c r="J159" s="45"/>
      <c r="K159" s="45"/>
      <c r="L159" s="46"/>
      <c r="M159" s="43">
        <f>SUM(M154:M158)</f>
        <v>139.43605665696</v>
      </c>
      <c r="N159" s="46"/>
      <c r="O159" s="61"/>
      <c r="P159" s="51"/>
    </row>
    <row r="160" s="1" customFormat="1" ht="29.1" customHeight="1" spans="1:22">
      <c r="A160" s="62">
        <v>46190</v>
      </c>
      <c r="B160" s="63" t="s">
        <v>1373</v>
      </c>
      <c r="C160" s="64" t="s">
        <v>1389</v>
      </c>
      <c r="D160" s="65" t="s">
        <v>1389</v>
      </c>
      <c r="E160" s="66">
        <v>2592515</v>
      </c>
      <c r="F160" s="66">
        <v>46132</v>
      </c>
      <c r="G160" s="67" t="str">
        <f>VLOOKUP(F160,[4]装箱单!$A:$C,3,0)</f>
        <v>赛车总动员系列</v>
      </c>
      <c r="H160" s="67">
        <v>1826</v>
      </c>
      <c r="I160" s="68">
        <v>3652</v>
      </c>
      <c r="J160" s="45" t="s">
        <v>47</v>
      </c>
      <c r="K160" s="68" t="s">
        <v>33</v>
      </c>
      <c r="L160" s="69">
        <f>1826-1507</f>
        <v>319</v>
      </c>
      <c r="M160" s="65">
        <f t="shared" ref="M160:M163" si="38">+U160</f>
        <v>7.134664052208</v>
      </c>
      <c r="N160" s="69" t="s">
        <v>34</v>
      </c>
      <c r="O160" s="67"/>
      <c r="P160" s="70" t="s">
        <v>1425</v>
      </c>
      <c r="Q160" s="71">
        <f>VLOOKUP($F160,[4]装箱单!$A:$E,5,0)</f>
        <v>40.01</v>
      </c>
      <c r="R160" s="71">
        <f>VLOOKUP($F160,[4]装箱单!$A:$F,6,0)</f>
        <v>26.67</v>
      </c>
      <c r="S160" s="71">
        <f>VLOOKUP($F160,[4]装箱单!$A:$G,7,0)</f>
        <v>20.96</v>
      </c>
      <c r="T160" s="72">
        <f>VLOOKUP($F160,[4]装箱单!$A:$J,10,0)</f>
        <v>0.022365718032</v>
      </c>
      <c r="U160" s="73">
        <f t="shared" ref="U160:U163" si="39">+T160*L160</f>
        <v>7.134664052208</v>
      </c>
      <c r="V160" s="12"/>
    </row>
    <row r="161" s="1" customFormat="1" ht="29.1" customHeight="1" spans="1:22">
      <c r="A161" s="62">
        <v>46190</v>
      </c>
      <c r="B161" s="63" t="s">
        <v>1373</v>
      </c>
      <c r="C161" s="64" t="s">
        <v>1426</v>
      </c>
      <c r="D161" s="65" t="s">
        <v>1427</v>
      </c>
      <c r="E161" s="66">
        <v>2592518</v>
      </c>
      <c r="F161" s="66">
        <v>46462</v>
      </c>
      <c r="G161" s="67" t="str">
        <f>VLOOKUP(F161,[4]装箱单!$A:$C,3,0)</f>
        <v>史迪仔系列</v>
      </c>
      <c r="H161" s="67">
        <v>1784</v>
      </c>
      <c r="I161" s="68">
        <v>3568</v>
      </c>
      <c r="J161" s="45" t="s">
        <v>47</v>
      </c>
      <c r="K161" s="68" t="s">
        <v>33</v>
      </c>
      <c r="L161" s="69">
        <v>1784</v>
      </c>
      <c r="M161" s="65">
        <f t="shared" si="38"/>
        <v>39.900440969088</v>
      </c>
      <c r="N161" s="69" t="s">
        <v>34</v>
      </c>
      <c r="O161" s="67"/>
      <c r="P161" s="74"/>
      <c r="Q161" s="71">
        <f>VLOOKUP($F161,[4]装箱单!$A:$E,5,0)</f>
        <v>40.01</v>
      </c>
      <c r="R161" s="71">
        <f>VLOOKUP($F161,[4]装箱单!$A:$F,6,0)</f>
        <v>26.67</v>
      </c>
      <c r="S161" s="71">
        <f>VLOOKUP($F161,[4]装箱单!$A:$G,7,0)</f>
        <v>20.96</v>
      </c>
      <c r="T161" s="72">
        <f>VLOOKUP($F161,[4]装箱单!$A:$J,10,0)</f>
        <v>0.022365718032</v>
      </c>
      <c r="U161" s="73">
        <f t="shared" si="39"/>
        <v>39.900440969088</v>
      </c>
      <c r="V161" s="12"/>
    </row>
    <row r="162" s="1" customFormat="1" ht="29.1" customHeight="1" spans="1:22">
      <c r="A162" s="62">
        <v>46190</v>
      </c>
      <c r="B162" s="63" t="s">
        <v>1373</v>
      </c>
      <c r="C162" s="64" t="s">
        <v>1428</v>
      </c>
      <c r="D162" s="65" t="s">
        <v>1429</v>
      </c>
      <c r="E162" s="66">
        <v>2586042</v>
      </c>
      <c r="F162" s="66">
        <v>46094</v>
      </c>
      <c r="G162" s="67" t="str">
        <f>VLOOKUP(F162,[4]装箱单!$A:$C,3,0)</f>
        <v>漫威系列</v>
      </c>
      <c r="H162" s="67">
        <v>3000</v>
      </c>
      <c r="I162" s="68">
        <v>6000</v>
      </c>
      <c r="J162" s="45" t="s">
        <v>47</v>
      </c>
      <c r="K162" s="68" t="s">
        <v>33</v>
      </c>
      <c r="L162" s="69">
        <v>3000</v>
      </c>
      <c r="M162" s="65">
        <f t="shared" si="38"/>
        <v>67.097154096</v>
      </c>
      <c r="N162" s="69" t="s">
        <v>34</v>
      </c>
      <c r="O162" s="67"/>
      <c r="P162" s="74"/>
      <c r="Q162" s="71">
        <f>VLOOKUP($F162,[4]装箱单!$A:$E,5,0)</f>
        <v>40.01</v>
      </c>
      <c r="R162" s="71">
        <f>VLOOKUP($F162,[4]装箱单!$A:$F,6,0)</f>
        <v>26.67</v>
      </c>
      <c r="S162" s="71">
        <f>VLOOKUP($F162,[4]装箱单!$A:$G,7,0)</f>
        <v>20.96</v>
      </c>
      <c r="T162" s="72">
        <f>VLOOKUP($F162,[4]装箱单!$A:$J,10,0)</f>
        <v>0.022365718032</v>
      </c>
      <c r="U162" s="73">
        <f t="shared" si="39"/>
        <v>67.097154096</v>
      </c>
      <c r="V162" s="12"/>
    </row>
    <row r="163" s="1" customFormat="1" ht="29.1" customHeight="1" spans="1:22">
      <c r="A163" s="62">
        <v>46190</v>
      </c>
      <c r="B163" s="63" t="s">
        <v>1373</v>
      </c>
      <c r="C163" s="64" t="s">
        <v>1430</v>
      </c>
      <c r="D163" s="65" t="s">
        <v>1431</v>
      </c>
      <c r="E163" s="66">
        <v>2592514</v>
      </c>
      <c r="F163" s="66">
        <v>46496</v>
      </c>
      <c r="G163" s="67" t="str">
        <f>VLOOKUP(F163,[4]装箱单!$A:$C,3,0)</f>
        <v>米妮系列</v>
      </c>
      <c r="H163" s="67">
        <v>1418</v>
      </c>
      <c r="I163" s="68">
        <v>2836</v>
      </c>
      <c r="J163" s="45" t="s">
        <v>47</v>
      </c>
      <c r="K163" s="68" t="s">
        <v>33</v>
      </c>
      <c r="L163" s="69">
        <v>945</v>
      </c>
      <c r="M163" s="65">
        <f t="shared" si="38"/>
        <v>21.13560354024</v>
      </c>
      <c r="N163" s="69" t="s">
        <v>34</v>
      </c>
      <c r="O163" s="67"/>
      <c r="P163" s="74"/>
      <c r="Q163" s="71">
        <f>VLOOKUP($F163,[4]装箱单!$A:$E,5,0)</f>
        <v>40.01</v>
      </c>
      <c r="R163" s="71">
        <f>VLOOKUP($F163,[4]装箱单!$A:$F,6,0)</f>
        <v>26.67</v>
      </c>
      <c r="S163" s="71">
        <f>VLOOKUP($F163,[4]装箱单!$A:$G,7,0)</f>
        <v>20.96</v>
      </c>
      <c r="T163" s="72">
        <f>VLOOKUP($F163,[4]装箱单!$A:$J,10,0)</f>
        <v>0.022365718032</v>
      </c>
      <c r="U163" s="73">
        <f t="shared" si="39"/>
        <v>21.13560354024</v>
      </c>
      <c r="V163" s="12"/>
    </row>
    <row r="164" s="1" customFormat="1" ht="29.1" customHeight="1" spans="1:22">
      <c r="A164" s="62"/>
      <c r="B164" s="63"/>
      <c r="C164" s="64"/>
      <c r="D164" s="65"/>
      <c r="E164" s="66"/>
      <c r="F164" s="66"/>
      <c r="G164" s="67"/>
      <c r="H164" s="67"/>
      <c r="I164" s="68"/>
      <c r="J164" s="68"/>
      <c r="K164" s="68"/>
      <c r="L164" s="69"/>
      <c r="M164" s="65">
        <f>SUM(M160:M163)</f>
        <v>135.267862657536</v>
      </c>
      <c r="N164" s="69"/>
      <c r="O164" s="67"/>
      <c r="P164" s="75"/>
      <c r="Q164" s="71"/>
      <c r="R164" s="71"/>
      <c r="S164" s="71"/>
      <c r="T164" s="72"/>
      <c r="U164" s="73"/>
      <c r="V164" s="12"/>
    </row>
    <row r="165" s="1" customFormat="1" ht="29.1" customHeight="1" spans="1:22">
      <c r="A165" s="62">
        <v>46193</v>
      </c>
      <c r="B165" s="63" t="s">
        <v>1373</v>
      </c>
      <c r="C165" s="64" t="s">
        <v>1430</v>
      </c>
      <c r="D165" s="65" t="s">
        <v>1431</v>
      </c>
      <c r="E165" s="66">
        <v>2592514</v>
      </c>
      <c r="F165" s="66">
        <v>46496</v>
      </c>
      <c r="G165" s="67" t="str">
        <f>VLOOKUP(F165,[4]装箱单!$A:$C,3,0)</f>
        <v>米妮系列</v>
      </c>
      <c r="H165" s="67">
        <v>1418</v>
      </c>
      <c r="I165" s="68">
        <f>+L165*2</f>
        <v>952</v>
      </c>
      <c r="J165" s="45" t="s">
        <v>47</v>
      </c>
      <c r="K165" s="68" t="s">
        <v>33</v>
      </c>
      <c r="L165" s="76">
        <v>476</v>
      </c>
      <c r="M165" s="65">
        <f t="shared" ref="M165:M190" si="40">+U165</f>
        <v>10.646081783232</v>
      </c>
      <c r="N165" s="69" t="s">
        <v>34</v>
      </c>
      <c r="O165" s="67"/>
      <c r="P165" s="70" t="s">
        <v>1432</v>
      </c>
      <c r="Q165" s="71">
        <f>VLOOKUP($F165,[4]装箱单!$A:$E,5,0)</f>
        <v>40.01</v>
      </c>
      <c r="R165" s="71">
        <f>VLOOKUP($F165,[4]装箱单!$A:$F,6,0)</f>
        <v>26.67</v>
      </c>
      <c r="S165" s="71">
        <f>VLOOKUP($F165,[4]装箱单!$A:$G,7,0)</f>
        <v>20.96</v>
      </c>
      <c r="T165" s="72">
        <f>VLOOKUP($F165,[4]装箱单!$A:$J,10,0)</f>
        <v>0.022365718032</v>
      </c>
      <c r="U165" s="73">
        <f t="shared" ref="U165:U190" si="41">+T165*L165</f>
        <v>10.646081783232</v>
      </c>
      <c r="V165" s="12"/>
    </row>
    <row r="166" s="1" customFormat="1" ht="29.1" customHeight="1" spans="1:22">
      <c r="A166" s="62">
        <v>46193</v>
      </c>
      <c r="B166" s="63" t="s">
        <v>54</v>
      </c>
      <c r="C166" s="64" t="s">
        <v>1433</v>
      </c>
      <c r="D166" s="65" t="s">
        <v>1366</v>
      </c>
      <c r="E166" s="66">
        <v>996501390</v>
      </c>
      <c r="F166" s="68">
        <v>570989</v>
      </c>
      <c r="G166" s="67" t="str">
        <f>VLOOKUP(F166,[4]装箱单!$A:$C,3,0)</f>
        <v>盲盒系列</v>
      </c>
      <c r="H166" s="67">
        <v>600</v>
      </c>
      <c r="I166" s="68">
        <f t="shared" ref="I166:I171" si="42">+L166*27</f>
        <v>16200</v>
      </c>
      <c r="J166" s="68" t="s">
        <v>32</v>
      </c>
      <c r="K166" s="68" t="s">
        <v>33</v>
      </c>
      <c r="L166" s="69">
        <v>600</v>
      </c>
      <c r="M166" s="65">
        <f t="shared" si="40"/>
        <v>6.69500677125</v>
      </c>
      <c r="N166" s="69" t="s">
        <v>34</v>
      </c>
      <c r="O166" s="67"/>
      <c r="P166" s="74"/>
      <c r="Q166" s="71">
        <f>VLOOKUP($F166,[4]装箱单!$A:$E,5,0)</f>
        <v>31.115</v>
      </c>
      <c r="R166" s="71">
        <f>VLOOKUP($F166,[4]装箱单!$A:$F,6,0)</f>
        <v>22.59</v>
      </c>
      <c r="S166" s="71">
        <f>VLOOKUP($F166,[4]装箱单!$A:$G,7,0)</f>
        <v>15.875</v>
      </c>
      <c r="T166" s="72">
        <f>VLOOKUP($F166,[4]装箱单!$A:$J,10,0)</f>
        <v>0.01115834461875</v>
      </c>
      <c r="U166" s="73">
        <f t="shared" si="41"/>
        <v>6.69500677125</v>
      </c>
      <c r="V166" s="12"/>
    </row>
    <row r="167" s="1" customFormat="1" ht="29.1" customHeight="1" spans="1:22">
      <c r="A167" s="62">
        <v>46193</v>
      </c>
      <c r="B167" s="63" t="s">
        <v>54</v>
      </c>
      <c r="C167" s="64" t="s">
        <v>1434</v>
      </c>
      <c r="D167" s="65" t="s">
        <v>1366</v>
      </c>
      <c r="E167" s="66">
        <v>996501388</v>
      </c>
      <c r="F167" s="68">
        <v>570989</v>
      </c>
      <c r="G167" s="67" t="str">
        <f>VLOOKUP(F167,[4]装箱单!$A:$C,3,0)</f>
        <v>盲盒系列</v>
      </c>
      <c r="H167" s="67">
        <v>480</v>
      </c>
      <c r="I167" s="68">
        <f t="shared" si="42"/>
        <v>12960</v>
      </c>
      <c r="J167" s="68" t="s">
        <v>32</v>
      </c>
      <c r="K167" s="68" t="s">
        <v>33</v>
      </c>
      <c r="L167" s="69">
        <v>480</v>
      </c>
      <c r="M167" s="65">
        <f t="shared" si="40"/>
        <v>5.356005417</v>
      </c>
      <c r="N167" s="69" t="s">
        <v>34</v>
      </c>
      <c r="O167" s="77"/>
      <c r="P167" s="74"/>
      <c r="Q167" s="71">
        <f>VLOOKUP($F167,[4]装箱单!$A:$E,5,0)</f>
        <v>31.115</v>
      </c>
      <c r="R167" s="71">
        <f>VLOOKUP($F167,[4]装箱单!$A:$F,6,0)</f>
        <v>22.59</v>
      </c>
      <c r="S167" s="71">
        <f>VLOOKUP($F167,[4]装箱单!$A:$G,7,0)</f>
        <v>15.875</v>
      </c>
      <c r="T167" s="72">
        <f>VLOOKUP($F167,[4]装箱单!$A:$J,10,0)</f>
        <v>0.01115834461875</v>
      </c>
      <c r="U167" s="73">
        <f t="shared" si="41"/>
        <v>5.356005417</v>
      </c>
      <c r="V167" s="12"/>
    </row>
    <row r="168" s="1" customFormat="1" ht="29.1" customHeight="1" spans="1:22">
      <c r="A168" s="62">
        <v>46193</v>
      </c>
      <c r="B168" s="63" t="s">
        <v>54</v>
      </c>
      <c r="C168" s="64" t="s">
        <v>1435</v>
      </c>
      <c r="D168" s="65" t="s">
        <v>1366</v>
      </c>
      <c r="E168" s="66">
        <v>996501399</v>
      </c>
      <c r="F168" s="68">
        <v>570989</v>
      </c>
      <c r="G168" s="67" t="str">
        <f>VLOOKUP(F168,[4]装箱单!$A:$C,3,0)</f>
        <v>盲盒系列</v>
      </c>
      <c r="H168" s="67">
        <v>360</v>
      </c>
      <c r="I168" s="68">
        <f t="shared" si="42"/>
        <v>9720</v>
      </c>
      <c r="J168" s="68" t="s">
        <v>32</v>
      </c>
      <c r="K168" s="68" t="s">
        <v>33</v>
      </c>
      <c r="L168" s="69">
        <v>360</v>
      </c>
      <c r="M168" s="65">
        <f t="shared" si="40"/>
        <v>4.01700406275</v>
      </c>
      <c r="N168" s="69" t="s">
        <v>34</v>
      </c>
      <c r="O168" s="77"/>
      <c r="P168" s="74"/>
      <c r="Q168" s="71">
        <f>VLOOKUP($F168,[4]装箱单!$A:$E,5,0)</f>
        <v>31.115</v>
      </c>
      <c r="R168" s="71">
        <f>VLOOKUP($F168,[4]装箱单!$A:$F,6,0)</f>
        <v>22.59</v>
      </c>
      <c r="S168" s="71">
        <f>VLOOKUP($F168,[4]装箱单!$A:$G,7,0)</f>
        <v>15.875</v>
      </c>
      <c r="T168" s="72">
        <f>VLOOKUP($F168,[4]装箱单!$A:$J,10,0)</f>
        <v>0.01115834461875</v>
      </c>
      <c r="U168" s="73">
        <f t="shared" si="41"/>
        <v>4.01700406275</v>
      </c>
      <c r="V168" s="12"/>
    </row>
    <row r="169" s="1" customFormat="1" ht="29.1" customHeight="1" spans="1:22">
      <c r="A169" s="62">
        <v>46193</v>
      </c>
      <c r="B169" s="63" t="s">
        <v>54</v>
      </c>
      <c r="C169" s="64" t="s">
        <v>1436</v>
      </c>
      <c r="D169" s="65" t="s">
        <v>1366</v>
      </c>
      <c r="E169" s="66">
        <v>996501400</v>
      </c>
      <c r="F169" s="68">
        <v>570989</v>
      </c>
      <c r="G169" s="67" t="str">
        <f>VLOOKUP(F169,[4]装箱单!$A:$C,3,0)</f>
        <v>盲盒系列</v>
      </c>
      <c r="H169" s="67">
        <v>480</v>
      </c>
      <c r="I169" s="68">
        <f t="shared" si="42"/>
        <v>12960</v>
      </c>
      <c r="J169" s="68" t="s">
        <v>32</v>
      </c>
      <c r="K169" s="68" t="s">
        <v>33</v>
      </c>
      <c r="L169" s="69">
        <v>480</v>
      </c>
      <c r="M169" s="65">
        <f t="shared" si="40"/>
        <v>5.356005417</v>
      </c>
      <c r="N169" s="69" t="s">
        <v>34</v>
      </c>
      <c r="O169" s="77"/>
      <c r="P169" s="74"/>
      <c r="Q169" s="71">
        <f>VLOOKUP($F169,[4]装箱单!$A:$E,5,0)</f>
        <v>31.115</v>
      </c>
      <c r="R169" s="71">
        <f>VLOOKUP($F169,[4]装箱单!$A:$F,6,0)</f>
        <v>22.59</v>
      </c>
      <c r="S169" s="71">
        <f>VLOOKUP($F169,[4]装箱单!$A:$G,7,0)</f>
        <v>15.875</v>
      </c>
      <c r="T169" s="72">
        <f>VLOOKUP($F169,[4]装箱单!$A:$J,10,0)</f>
        <v>0.01115834461875</v>
      </c>
      <c r="U169" s="73">
        <f t="shared" si="41"/>
        <v>5.356005417</v>
      </c>
      <c r="V169" s="12"/>
    </row>
    <row r="170" s="1" customFormat="1" ht="29.1" customHeight="1" spans="1:22">
      <c r="A170" s="62">
        <v>46193</v>
      </c>
      <c r="B170" s="63" t="s">
        <v>54</v>
      </c>
      <c r="C170" s="64" t="s">
        <v>1437</v>
      </c>
      <c r="D170" s="65" t="s">
        <v>1366</v>
      </c>
      <c r="E170" s="66">
        <v>996501427</v>
      </c>
      <c r="F170" s="68">
        <v>570989</v>
      </c>
      <c r="G170" s="67" t="str">
        <f>VLOOKUP(F170,[4]装箱单!$A:$C,3,0)</f>
        <v>盲盒系列</v>
      </c>
      <c r="H170" s="67">
        <v>480</v>
      </c>
      <c r="I170" s="68">
        <f t="shared" si="42"/>
        <v>12960</v>
      </c>
      <c r="J170" s="68" t="s">
        <v>32</v>
      </c>
      <c r="K170" s="68" t="s">
        <v>33</v>
      </c>
      <c r="L170" s="69">
        <v>480</v>
      </c>
      <c r="M170" s="65">
        <f t="shared" si="40"/>
        <v>5.356005417</v>
      </c>
      <c r="N170" s="69" t="s">
        <v>34</v>
      </c>
      <c r="O170" s="77"/>
      <c r="P170" s="74"/>
      <c r="Q170" s="71">
        <f>VLOOKUP($F170,[4]装箱单!$A:$E,5,0)</f>
        <v>31.115</v>
      </c>
      <c r="R170" s="71">
        <f>VLOOKUP($F170,[4]装箱单!$A:$F,6,0)</f>
        <v>22.59</v>
      </c>
      <c r="S170" s="71">
        <f>VLOOKUP($F170,[4]装箱单!$A:$G,7,0)</f>
        <v>15.875</v>
      </c>
      <c r="T170" s="72">
        <f>VLOOKUP($F170,[4]装箱单!$A:$J,10,0)</f>
        <v>0.01115834461875</v>
      </c>
      <c r="U170" s="73">
        <f t="shared" si="41"/>
        <v>5.356005417</v>
      </c>
      <c r="V170" s="12"/>
    </row>
    <row r="171" s="1" customFormat="1" ht="29.1" customHeight="1" spans="1:22">
      <c r="A171" s="62">
        <v>46193</v>
      </c>
      <c r="B171" s="63" t="s">
        <v>54</v>
      </c>
      <c r="C171" s="64" t="s">
        <v>1438</v>
      </c>
      <c r="D171" s="65" t="s">
        <v>1366</v>
      </c>
      <c r="E171" s="66">
        <v>996501483</v>
      </c>
      <c r="F171" s="68">
        <v>570989</v>
      </c>
      <c r="G171" s="67" t="str">
        <f>VLOOKUP(F171,[4]装箱单!$A:$C,3,0)</f>
        <v>盲盒系列</v>
      </c>
      <c r="H171" s="67">
        <v>360</v>
      </c>
      <c r="I171" s="68">
        <f t="shared" si="42"/>
        <v>9720</v>
      </c>
      <c r="J171" s="68" t="s">
        <v>32</v>
      </c>
      <c r="K171" s="68" t="s">
        <v>33</v>
      </c>
      <c r="L171" s="69">
        <v>360</v>
      </c>
      <c r="M171" s="65">
        <f t="shared" si="40"/>
        <v>4.01700406275</v>
      </c>
      <c r="N171" s="69" t="s">
        <v>34</v>
      </c>
      <c r="O171" s="77"/>
      <c r="P171" s="74"/>
      <c r="Q171" s="71">
        <f>VLOOKUP($F171,[4]装箱单!$A:$E,5,0)</f>
        <v>31.115</v>
      </c>
      <c r="R171" s="71">
        <f>VLOOKUP($F171,[4]装箱单!$A:$F,6,0)</f>
        <v>22.59</v>
      </c>
      <c r="S171" s="71">
        <f>VLOOKUP($F171,[4]装箱单!$A:$G,7,0)</f>
        <v>15.875</v>
      </c>
      <c r="T171" s="72">
        <f>VLOOKUP($F171,[4]装箱单!$A:$J,10,0)</f>
        <v>0.01115834461875</v>
      </c>
      <c r="U171" s="73">
        <f t="shared" si="41"/>
        <v>4.01700406275</v>
      </c>
      <c r="V171" s="12"/>
    </row>
    <row r="172" s="1" customFormat="1" ht="29.1" customHeight="1" spans="1:22">
      <c r="A172" s="62">
        <v>46193</v>
      </c>
      <c r="B172" s="63" t="s">
        <v>1439</v>
      </c>
      <c r="C172" s="64" t="s">
        <v>1440</v>
      </c>
      <c r="D172" s="65" t="s">
        <v>1441</v>
      </c>
      <c r="E172" s="67" t="s">
        <v>1442</v>
      </c>
      <c r="F172" s="67" t="s">
        <v>45</v>
      </c>
      <c r="G172" s="67" t="str">
        <f>VLOOKUP(F172,[4]装箱单!$A:$C,3,0)</f>
        <v>鸭子</v>
      </c>
      <c r="H172" s="67">
        <v>381</v>
      </c>
      <c r="I172" s="68">
        <f t="shared" ref="I172:I185" si="43">+L172*18</f>
        <v>6858</v>
      </c>
      <c r="J172" s="68" t="s">
        <v>32</v>
      </c>
      <c r="K172" s="68" t="s">
        <v>33</v>
      </c>
      <c r="L172" s="69">
        <v>381</v>
      </c>
      <c r="M172" s="65">
        <f t="shared" si="40"/>
        <v>2.2071378034575</v>
      </c>
      <c r="N172" s="69" t="s">
        <v>34</v>
      </c>
      <c r="O172" s="67"/>
      <c r="P172" s="74"/>
      <c r="Q172" s="71">
        <f>VLOOKUP($F172,[4]装箱单!$A:$E,5,0)</f>
        <v>32.385</v>
      </c>
      <c r="R172" s="71">
        <f>VLOOKUP($F172,[4]装箱单!$A:$F,6,0)</f>
        <v>18.78</v>
      </c>
      <c r="S172" s="71">
        <f>VLOOKUP($F172,[4]装箱单!$A:$G,7,0)</f>
        <v>9.525</v>
      </c>
      <c r="T172" s="72">
        <f>VLOOKUP($F172,[4]装箱单!$A:$J,10,0)</f>
        <v>0.0057930126075</v>
      </c>
      <c r="U172" s="73">
        <f t="shared" si="41"/>
        <v>2.2071378034575</v>
      </c>
      <c r="V172" s="12"/>
    </row>
    <row r="173" s="1" customFormat="1" ht="29.1" customHeight="1" spans="1:22">
      <c r="A173" s="62">
        <v>46193</v>
      </c>
      <c r="B173" s="63" t="s">
        <v>1439</v>
      </c>
      <c r="C173" s="64" t="s">
        <v>1440</v>
      </c>
      <c r="D173" s="65" t="s">
        <v>1441</v>
      </c>
      <c r="E173" s="67" t="s">
        <v>1442</v>
      </c>
      <c r="F173" s="67" t="s">
        <v>45</v>
      </c>
      <c r="G173" s="67" t="str">
        <f>VLOOKUP(F173,[4]装箱单!$A:$C,3,0)</f>
        <v>鸭子</v>
      </c>
      <c r="H173" s="67">
        <v>381</v>
      </c>
      <c r="I173" s="68">
        <f t="shared" si="43"/>
        <v>6858</v>
      </c>
      <c r="J173" s="68" t="s">
        <v>32</v>
      </c>
      <c r="K173" s="68" t="s">
        <v>33</v>
      </c>
      <c r="L173" s="69">
        <v>381</v>
      </c>
      <c r="M173" s="65">
        <f t="shared" si="40"/>
        <v>2.2071378034575</v>
      </c>
      <c r="N173" s="69" t="s">
        <v>34</v>
      </c>
      <c r="O173" s="67"/>
      <c r="P173" s="74"/>
      <c r="Q173" s="71">
        <f>VLOOKUP($F173,[4]装箱单!$A:$E,5,0)</f>
        <v>32.385</v>
      </c>
      <c r="R173" s="71">
        <f>VLOOKUP($F173,[4]装箱单!$A:$F,6,0)</f>
        <v>18.78</v>
      </c>
      <c r="S173" s="71">
        <f>VLOOKUP($F173,[4]装箱单!$A:$G,7,0)</f>
        <v>9.525</v>
      </c>
      <c r="T173" s="72">
        <f>VLOOKUP($F173,[4]装箱单!$A:$J,10,0)</f>
        <v>0.0057930126075</v>
      </c>
      <c r="U173" s="73">
        <f t="shared" si="41"/>
        <v>2.2071378034575</v>
      </c>
      <c r="V173" s="12"/>
    </row>
    <row r="174" s="1" customFormat="1" ht="29.1" customHeight="1" spans="1:22">
      <c r="A174" s="62">
        <v>46193</v>
      </c>
      <c r="B174" s="63" t="s">
        <v>1439</v>
      </c>
      <c r="C174" s="64" t="s">
        <v>1440</v>
      </c>
      <c r="D174" s="65" t="s">
        <v>1441</v>
      </c>
      <c r="E174" s="67" t="s">
        <v>1442</v>
      </c>
      <c r="F174" s="67" t="s">
        <v>45</v>
      </c>
      <c r="G174" s="67" t="str">
        <f>VLOOKUP(F174,[4]装箱单!$A:$C,3,0)</f>
        <v>鸭子</v>
      </c>
      <c r="H174" s="67">
        <v>381</v>
      </c>
      <c r="I174" s="68">
        <f t="shared" si="43"/>
        <v>6858</v>
      </c>
      <c r="J174" s="68" t="s">
        <v>32</v>
      </c>
      <c r="K174" s="68" t="s">
        <v>33</v>
      </c>
      <c r="L174" s="69">
        <v>381</v>
      </c>
      <c r="M174" s="65">
        <f t="shared" si="40"/>
        <v>2.2071378034575</v>
      </c>
      <c r="N174" s="69" t="s">
        <v>34</v>
      </c>
      <c r="O174" s="67"/>
      <c r="P174" s="74"/>
      <c r="Q174" s="71">
        <f>VLOOKUP($F174,[4]装箱单!$A:$E,5,0)</f>
        <v>32.385</v>
      </c>
      <c r="R174" s="71">
        <f>VLOOKUP($F174,[4]装箱单!$A:$F,6,0)</f>
        <v>18.78</v>
      </c>
      <c r="S174" s="71">
        <f>VLOOKUP($F174,[4]装箱单!$A:$G,7,0)</f>
        <v>9.525</v>
      </c>
      <c r="T174" s="72">
        <f>VLOOKUP($F174,[4]装箱单!$A:$J,10,0)</f>
        <v>0.0057930126075</v>
      </c>
      <c r="U174" s="73">
        <f t="shared" si="41"/>
        <v>2.2071378034575</v>
      </c>
      <c r="V174" s="12"/>
    </row>
    <row r="175" s="1" customFormat="1" ht="29.1" customHeight="1" spans="1:22">
      <c r="A175" s="62">
        <v>46193</v>
      </c>
      <c r="B175" s="63" t="s">
        <v>1439</v>
      </c>
      <c r="C175" s="64" t="s">
        <v>1443</v>
      </c>
      <c r="D175" s="65" t="s">
        <v>1444</v>
      </c>
      <c r="E175" s="67" t="s">
        <v>1445</v>
      </c>
      <c r="F175" s="67" t="s">
        <v>45</v>
      </c>
      <c r="G175" s="67" t="str">
        <f>VLOOKUP(F175,[4]装箱单!$A:$C,3,0)</f>
        <v>鸭子</v>
      </c>
      <c r="H175" s="67">
        <v>326</v>
      </c>
      <c r="I175" s="68">
        <f t="shared" si="43"/>
        <v>5868</v>
      </c>
      <c r="J175" s="68" t="s">
        <v>32</v>
      </c>
      <c r="K175" s="68" t="s">
        <v>33</v>
      </c>
      <c r="L175" s="69">
        <v>326</v>
      </c>
      <c r="M175" s="65">
        <f t="shared" si="40"/>
        <v>1.888522110045</v>
      </c>
      <c r="N175" s="69" t="s">
        <v>34</v>
      </c>
      <c r="O175" s="67"/>
      <c r="P175" s="74"/>
      <c r="Q175" s="71">
        <f>VLOOKUP($F175,[4]装箱单!$A:$E,5,0)</f>
        <v>32.385</v>
      </c>
      <c r="R175" s="71">
        <f>VLOOKUP($F175,[4]装箱单!$A:$F,6,0)</f>
        <v>18.78</v>
      </c>
      <c r="S175" s="71">
        <f>VLOOKUP($F175,[4]装箱单!$A:$G,7,0)</f>
        <v>9.525</v>
      </c>
      <c r="T175" s="72">
        <f>VLOOKUP($F175,[4]装箱单!$A:$J,10,0)</f>
        <v>0.0057930126075</v>
      </c>
      <c r="U175" s="73">
        <f t="shared" si="41"/>
        <v>1.888522110045</v>
      </c>
      <c r="V175" s="12"/>
    </row>
    <row r="176" s="1" customFormat="1" ht="29.1" customHeight="1" spans="1:22">
      <c r="A176" s="62">
        <v>46193</v>
      </c>
      <c r="B176" s="63" t="s">
        <v>1439</v>
      </c>
      <c r="C176" s="64" t="s">
        <v>1443</v>
      </c>
      <c r="D176" s="65" t="s">
        <v>1444</v>
      </c>
      <c r="E176" s="67" t="s">
        <v>1445</v>
      </c>
      <c r="F176" s="67" t="s">
        <v>45</v>
      </c>
      <c r="G176" s="67" t="str">
        <f>VLOOKUP(F176,[4]装箱单!$A:$C,3,0)</f>
        <v>鸭子</v>
      </c>
      <c r="H176" s="67">
        <v>326</v>
      </c>
      <c r="I176" s="68">
        <f t="shared" si="43"/>
        <v>5868</v>
      </c>
      <c r="J176" s="68" t="s">
        <v>32</v>
      </c>
      <c r="K176" s="68" t="s">
        <v>33</v>
      </c>
      <c r="L176" s="69">
        <v>326</v>
      </c>
      <c r="M176" s="65">
        <f t="shared" si="40"/>
        <v>1.888522110045</v>
      </c>
      <c r="N176" s="69" t="s">
        <v>34</v>
      </c>
      <c r="O176" s="67"/>
      <c r="P176" s="74"/>
      <c r="Q176" s="71">
        <f>VLOOKUP($F176,[4]装箱单!$A:$E,5,0)</f>
        <v>32.385</v>
      </c>
      <c r="R176" s="71">
        <f>VLOOKUP($F176,[4]装箱单!$A:$F,6,0)</f>
        <v>18.78</v>
      </c>
      <c r="S176" s="71">
        <f>VLOOKUP($F176,[4]装箱单!$A:$G,7,0)</f>
        <v>9.525</v>
      </c>
      <c r="T176" s="72">
        <f>VLOOKUP($F176,[4]装箱单!$A:$J,10,0)</f>
        <v>0.0057930126075</v>
      </c>
      <c r="U176" s="73">
        <f t="shared" si="41"/>
        <v>1.888522110045</v>
      </c>
      <c r="V176" s="12"/>
    </row>
    <row r="177" s="1" customFormat="1" ht="29.1" customHeight="1" spans="1:22">
      <c r="A177" s="62">
        <v>46193</v>
      </c>
      <c r="B177" s="63" t="s">
        <v>1439</v>
      </c>
      <c r="C177" s="64" t="s">
        <v>1443</v>
      </c>
      <c r="D177" s="65" t="s">
        <v>1444</v>
      </c>
      <c r="E177" s="67" t="s">
        <v>1445</v>
      </c>
      <c r="F177" s="67" t="s">
        <v>45</v>
      </c>
      <c r="G177" s="67" t="str">
        <f>VLOOKUP(F177,[4]装箱单!$A:$C,3,0)</f>
        <v>鸭子</v>
      </c>
      <c r="H177" s="67">
        <v>326</v>
      </c>
      <c r="I177" s="68">
        <f t="shared" si="43"/>
        <v>5868</v>
      </c>
      <c r="J177" s="68" t="s">
        <v>32</v>
      </c>
      <c r="K177" s="68" t="s">
        <v>33</v>
      </c>
      <c r="L177" s="69">
        <v>326</v>
      </c>
      <c r="M177" s="65">
        <f t="shared" si="40"/>
        <v>1.888522110045</v>
      </c>
      <c r="N177" s="69" t="s">
        <v>34</v>
      </c>
      <c r="O177" s="67"/>
      <c r="P177" s="74"/>
      <c r="Q177" s="71">
        <f>VLOOKUP($F177,[4]装箱单!$A:$E,5,0)</f>
        <v>32.385</v>
      </c>
      <c r="R177" s="71">
        <f>VLOOKUP($F177,[4]装箱单!$A:$F,6,0)</f>
        <v>18.78</v>
      </c>
      <c r="S177" s="71">
        <f>VLOOKUP($F177,[4]装箱单!$A:$G,7,0)</f>
        <v>9.525</v>
      </c>
      <c r="T177" s="72">
        <f>VLOOKUP($F177,[4]装箱单!$A:$J,10,0)</f>
        <v>0.0057930126075</v>
      </c>
      <c r="U177" s="73">
        <f t="shared" si="41"/>
        <v>1.888522110045</v>
      </c>
      <c r="V177" s="12"/>
    </row>
    <row r="178" s="1" customFormat="1" ht="29.1" customHeight="1" spans="1:22">
      <c r="A178" s="62">
        <v>46193</v>
      </c>
      <c r="B178" s="63" t="s">
        <v>1439</v>
      </c>
      <c r="C178" s="64" t="s">
        <v>1440</v>
      </c>
      <c r="D178" s="65" t="s">
        <v>1441</v>
      </c>
      <c r="E178" s="67" t="s">
        <v>1442</v>
      </c>
      <c r="F178" s="67" t="s">
        <v>111</v>
      </c>
      <c r="G178" s="67" t="str">
        <f>VLOOKUP(F178,[4]装箱单!$A:$C,3,0)</f>
        <v>鸭子</v>
      </c>
      <c r="H178" s="67">
        <v>381</v>
      </c>
      <c r="I178" s="68">
        <f t="shared" si="43"/>
        <v>6858</v>
      </c>
      <c r="J178" s="68" t="s">
        <v>32</v>
      </c>
      <c r="K178" s="68" t="s">
        <v>33</v>
      </c>
      <c r="L178" s="69">
        <v>381</v>
      </c>
      <c r="M178" s="65">
        <f t="shared" si="40"/>
        <v>2.2071378034575</v>
      </c>
      <c r="N178" s="69" t="s">
        <v>34</v>
      </c>
      <c r="O178" s="67"/>
      <c r="P178" s="74"/>
      <c r="Q178" s="71">
        <f>VLOOKUP($F178,[4]装箱单!$A:$E,5,0)</f>
        <v>32.385</v>
      </c>
      <c r="R178" s="71">
        <f>VLOOKUP($F178,[4]装箱单!$A:$F,6,0)</f>
        <v>18.78</v>
      </c>
      <c r="S178" s="71">
        <f>VLOOKUP($F178,[4]装箱单!$A:$G,7,0)</f>
        <v>9.525</v>
      </c>
      <c r="T178" s="72">
        <f>VLOOKUP($F178,[4]装箱单!$A:$J,10,0)</f>
        <v>0.0057930126075</v>
      </c>
      <c r="U178" s="73">
        <f t="shared" si="41"/>
        <v>2.2071378034575</v>
      </c>
      <c r="V178" s="12"/>
    </row>
    <row r="179" s="1" customFormat="1" ht="29.1" customHeight="1" spans="1:22">
      <c r="A179" s="62">
        <v>46193</v>
      </c>
      <c r="B179" s="63" t="s">
        <v>1439</v>
      </c>
      <c r="C179" s="64" t="s">
        <v>1440</v>
      </c>
      <c r="D179" s="65" t="s">
        <v>1441</v>
      </c>
      <c r="E179" s="67" t="s">
        <v>1442</v>
      </c>
      <c r="F179" s="67" t="s">
        <v>111</v>
      </c>
      <c r="G179" s="67" t="str">
        <f>VLOOKUP(F179,[4]装箱单!$A:$C,3,0)</f>
        <v>鸭子</v>
      </c>
      <c r="H179" s="67">
        <v>381</v>
      </c>
      <c r="I179" s="68">
        <f t="shared" si="43"/>
        <v>6858</v>
      </c>
      <c r="J179" s="68" t="s">
        <v>32</v>
      </c>
      <c r="K179" s="68" t="s">
        <v>33</v>
      </c>
      <c r="L179" s="69">
        <v>381</v>
      </c>
      <c r="M179" s="65">
        <f t="shared" si="40"/>
        <v>2.2071378034575</v>
      </c>
      <c r="N179" s="69" t="s">
        <v>34</v>
      </c>
      <c r="O179" s="67"/>
      <c r="P179" s="74"/>
      <c r="Q179" s="71">
        <f>VLOOKUP($F179,[4]装箱单!$A:$E,5,0)</f>
        <v>32.385</v>
      </c>
      <c r="R179" s="71">
        <f>VLOOKUP($F179,[4]装箱单!$A:$F,6,0)</f>
        <v>18.78</v>
      </c>
      <c r="S179" s="71">
        <f>VLOOKUP($F179,[4]装箱单!$A:$G,7,0)</f>
        <v>9.525</v>
      </c>
      <c r="T179" s="72">
        <f>VLOOKUP($F179,[4]装箱单!$A:$J,10,0)</f>
        <v>0.0057930126075</v>
      </c>
      <c r="U179" s="73">
        <f t="shared" si="41"/>
        <v>2.2071378034575</v>
      </c>
      <c r="V179" s="12"/>
    </row>
    <row r="180" s="1" customFormat="1" ht="29.1" customHeight="1" spans="1:22">
      <c r="A180" s="62">
        <v>46193</v>
      </c>
      <c r="B180" s="63" t="s">
        <v>1439</v>
      </c>
      <c r="C180" s="64" t="s">
        <v>1440</v>
      </c>
      <c r="D180" s="65" t="s">
        <v>1441</v>
      </c>
      <c r="E180" s="67" t="s">
        <v>1442</v>
      </c>
      <c r="F180" s="67" t="s">
        <v>111</v>
      </c>
      <c r="G180" s="67" t="str">
        <f>VLOOKUP(F180,[4]装箱单!$A:$C,3,0)</f>
        <v>鸭子</v>
      </c>
      <c r="H180" s="67">
        <v>381</v>
      </c>
      <c r="I180" s="68">
        <f t="shared" si="43"/>
        <v>6858</v>
      </c>
      <c r="J180" s="68" t="s">
        <v>32</v>
      </c>
      <c r="K180" s="68" t="s">
        <v>33</v>
      </c>
      <c r="L180" s="69">
        <v>381</v>
      </c>
      <c r="M180" s="65">
        <f t="shared" si="40"/>
        <v>2.2071378034575</v>
      </c>
      <c r="N180" s="69" t="s">
        <v>34</v>
      </c>
      <c r="O180" s="67"/>
      <c r="P180" s="74"/>
      <c r="Q180" s="71">
        <f>VLOOKUP($F180,[4]装箱单!$A:$E,5,0)</f>
        <v>32.385</v>
      </c>
      <c r="R180" s="71">
        <f>VLOOKUP($F180,[4]装箱单!$A:$F,6,0)</f>
        <v>18.78</v>
      </c>
      <c r="S180" s="71">
        <f>VLOOKUP($F180,[4]装箱单!$A:$G,7,0)</f>
        <v>9.525</v>
      </c>
      <c r="T180" s="72">
        <f>VLOOKUP($F180,[4]装箱单!$A:$J,10,0)</f>
        <v>0.0057930126075</v>
      </c>
      <c r="U180" s="73">
        <f t="shared" si="41"/>
        <v>2.2071378034575</v>
      </c>
      <c r="V180" s="12"/>
    </row>
    <row r="181" s="1" customFormat="1" ht="29.1" customHeight="1" spans="1:22">
      <c r="A181" s="62">
        <v>46193</v>
      </c>
      <c r="B181" s="63" t="s">
        <v>1439</v>
      </c>
      <c r="C181" s="64" t="s">
        <v>1443</v>
      </c>
      <c r="D181" s="65" t="s">
        <v>1444</v>
      </c>
      <c r="E181" s="67" t="s">
        <v>1445</v>
      </c>
      <c r="F181" s="67" t="s">
        <v>111</v>
      </c>
      <c r="G181" s="67" t="str">
        <f>VLOOKUP(F181,[4]装箱单!$A:$C,3,0)</f>
        <v>鸭子</v>
      </c>
      <c r="H181" s="67">
        <v>326</v>
      </c>
      <c r="I181" s="68">
        <f t="shared" si="43"/>
        <v>5868</v>
      </c>
      <c r="J181" s="68" t="s">
        <v>32</v>
      </c>
      <c r="K181" s="68" t="s">
        <v>33</v>
      </c>
      <c r="L181" s="69">
        <v>326</v>
      </c>
      <c r="M181" s="65">
        <f t="shared" si="40"/>
        <v>1.888522110045</v>
      </c>
      <c r="N181" s="69" t="s">
        <v>34</v>
      </c>
      <c r="O181" s="67"/>
      <c r="P181" s="74"/>
      <c r="Q181" s="71">
        <f>VLOOKUP($F181,[4]装箱单!$A:$E,5,0)</f>
        <v>32.385</v>
      </c>
      <c r="R181" s="71">
        <f>VLOOKUP($F181,[4]装箱单!$A:$F,6,0)</f>
        <v>18.78</v>
      </c>
      <c r="S181" s="71">
        <f>VLOOKUP($F181,[4]装箱单!$A:$G,7,0)</f>
        <v>9.525</v>
      </c>
      <c r="T181" s="72">
        <f>VLOOKUP($F181,[4]装箱单!$A:$J,10,0)</f>
        <v>0.0057930126075</v>
      </c>
      <c r="U181" s="73">
        <f t="shared" si="41"/>
        <v>1.888522110045</v>
      </c>
      <c r="V181" s="12"/>
    </row>
    <row r="182" s="1" customFormat="1" ht="29.1" customHeight="1" spans="1:22">
      <c r="A182" s="62">
        <v>46193</v>
      </c>
      <c r="B182" s="63" t="s">
        <v>1439</v>
      </c>
      <c r="C182" s="64" t="s">
        <v>1443</v>
      </c>
      <c r="D182" s="65" t="s">
        <v>1444</v>
      </c>
      <c r="E182" s="67" t="s">
        <v>1445</v>
      </c>
      <c r="F182" s="67" t="s">
        <v>111</v>
      </c>
      <c r="G182" s="67" t="str">
        <f>VLOOKUP(F182,[4]装箱单!$A:$C,3,0)</f>
        <v>鸭子</v>
      </c>
      <c r="H182" s="67">
        <v>326</v>
      </c>
      <c r="I182" s="68">
        <f t="shared" si="43"/>
        <v>5868</v>
      </c>
      <c r="J182" s="68" t="s">
        <v>32</v>
      </c>
      <c r="K182" s="68" t="s">
        <v>33</v>
      </c>
      <c r="L182" s="69">
        <v>326</v>
      </c>
      <c r="M182" s="65">
        <f t="shared" si="40"/>
        <v>1.888522110045</v>
      </c>
      <c r="N182" s="69" t="s">
        <v>34</v>
      </c>
      <c r="O182" s="67"/>
      <c r="P182" s="74"/>
      <c r="Q182" s="71">
        <f>VLOOKUP($F182,[4]装箱单!$A:$E,5,0)</f>
        <v>32.385</v>
      </c>
      <c r="R182" s="71">
        <f>VLOOKUP($F182,[4]装箱单!$A:$F,6,0)</f>
        <v>18.78</v>
      </c>
      <c r="S182" s="71">
        <f>VLOOKUP($F182,[4]装箱单!$A:$G,7,0)</f>
        <v>9.525</v>
      </c>
      <c r="T182" s="72">
        <f>VLOOKUP($F182,[4]装箱单!$A:$J,10,0)</f>
        <v>0.0057930126075</v>
      </c>
      <c r="U182" s="73">
        <f t="shared" si="41"/>
        <v>1.888522110045</v>
      </c>
      <c r="V182" s="12"/>
    </row>
    <row r="183" s="1" customFormat="1" ht="29.1" customHeight="1" spans="1:22">
      <c r="A183" s="62">
        <v>46193</v>
      </c>
      <c r="B183" s="63" t="s">
        <v>1439</v>
      </c>
      <c r="C183" s="64" t="s">
        <v>1443</v>
      </c>
      <c r="D183" s="65" t="s">
        <v>1444</v>
      </c>
      <c r="E183" s="67" t="s">
        <v>1445</v>
      </c>
      <c r="F183" s="67" t="s">
        <v>228</v>
      </c>
      <c r="G183" s="67" t="str">
        <f>VLOOKUP(F183,[4]装箱单!$A:$C,3,0)</f>
        <v>搪胶小鸭</v>
      </c>
      <c r="H183" s="67">
        <v>326</v>
      </c>
      <c r="I183" s="68">
        <f t="shared" si="43"/>
        <v>5868</v>
      </c>
      <c r="J183" s="68" t="s">
        <v>32</v>
      </c>
      <c r="K183" s="68" t="s">
        <v>33</v>
      </c>
      <c r="L183" s="69">
        <v>326</v>
      </c>
      <c r="M183" s="65">
        <f t="shared" si="40"/>
        <v>2.07460695</v>
      </c>
      <c r="N183" s="69" t="s">
        <v>34</v>
      </c>
      <c r="O183" s="67"/>
      <c r="P183" s="74"/>
      <c r="Q183" s="71">
        <f>VLOOKUP($F183,[4]装箱单!$A:$E,5,0)</f>
        <v>32.5</v>
      </c>
      <c r="R183" s="71">
        <f>VLOOKUP($F183,[4]装箱单!$A:$F,6,0)</f>
        <v>18.3</v>
      </c>
      <c r="S183" s="71">
        <f>VLOOKUP($F183,[4]装箱单!$A:$G,7,0)</f>
        <v>10.7</v>
      </c>
      <c r="T183" s="72">
        <f>VLOOKUP($F183,[4]装箱单!$A:$J,10,0)</f>
        <v>0.006363825</v>
      </c>
      <c r="U183" s="73">
        <f t="shared" si="41"/>
        <v>2.07460695</v>
      </c>
      <c r="V183" s="12"/>
    </row>
    <row r="184" s="1" customFormat="1" ht="29.1" customHeight="1" spans="1:22">
      <c r="A184" s="62">
        <v>46193</v>
      </c>
      <c r="B184" s="63" t="s">
        <v>1439</v>
      </c>
      <c r="C184" s="64" t="s">
        <v>1440</v>
      </c>
      <c r="D184" s="65" t="s">
        <v>1441</v>
      </c>
      <c r="E184" s="67" t="s">
        <v>1442</v>
      </c>
      <c r="F184" s="67" t="s">
        <v>279</v>
      </c>
      <c r="G184" s="67" t="str">
        <f>VLOOKUP(F184,[4]装箱单!$A:$C,3,0)</f>
        <v>假日小鸭</v>
      </c>
      <c r="H184" s="67">
        <v>381</v>
      </c>
      <c r="I184" s="68">
        <f t="shared" si="43"/>
        <v>6858</v>
      </c>
      <c r="J184" s="68" t="s">
        <v>32</v>
      </c>
      <c r="K184" s="68" t="s">
        <v>33</v>
      </c>
      <c r="L184" s="69">
        <v>381</v>
      </c>
      <c r="M184" s="65">
        <f t="shared" si="40"/>
        <v>2.2071378034575</v>
      </c>
      <c r="N184" s="69" t="s">
        <v>34</v>
      </c>
      <c r="O184" s="67"/>
      <c r="P184" s="74"/>
      <c r="Q184" s="71">
        <f>VLOOKUP($F184,[4]装箱单!$A:$E,5,0)</f>
        <v>32.385</v>
      </c>
      <c r="R184" s="71">
        <f>VLOOKUP($F184,[4]装箱单!$A:$F,6,0)</f>
        <v>18.78</v>
      </c>
      <c r="S184" s="71">
        <f>VLOOKUP($F184,[4]装箱单!$A:$G,7,0)</f>
        <v>9.525</v>
      </c>
      <c r="T184" s="72">
        <f>VLOOKUP($F184,[4]装箱单!$A:$J,10,0)</f>
        <v>0.0057930126075</v>
      </c>
      <c r="U184" s="73">
        <f t="shared" si="41"/>
        <v>2.2071378034575</v>
      </c>
      <c r="V184" s="12"/>
    </row>
    <row r="185" s="1" customFormat="1" ht="29.1" customHeight="1" spans="1:22">
      <c r="A185" s="62">
        <v>46193</v>
      </c>
      <c r="B185" s="63" t="s">
        <v>1439</v>
      </c>
      <c r="C185" s="66" t="s">
        <v>1443</v>
      </c>
      <c r="D185" s="65" t="s">
        <v>1444</v>
      </c>
      <c r="E185" s="67" t="s">
        <v>1445</v>
      </c>
      <c r="F185" s="67" t="s">
        <v>280</v>
      </c>
      <c r="G185" s="67" t="str">
        <f>VLOOKUP(F185,[4]装箱单!$A:$C,3,0)</f>
        <v>鸭子</v>
      </c>
      <c r="H185" s="67">
        <v>176</v>
      </c>
      <c r="I185" s="68">
        <f t="shared" si="43"/>
        <v>3168</v>
      </c>
      <c r="J185" s="68" t="s">
        <v>32</v>
      </c>
      <c r="K185" s="68" t="s">
        <v>33</v>
      </c>
      <c r="L185" s="69">
        <v>176</v>
      </c>
      <c r="M185" s="65">
        <f t="shared" si="40"/>
        <v>1.01957021892</v>
      </c>
      <c r="N185" s="69" t="s">
        <v>34</v>
      </c>
      <c r="O185" s="67"/>
      <c r="P185" s="74"/>
      <c r="Q185" s="71">
        <f>VLOOKUP($F185,[4]装箱单!$A:$E,5,0)</f>
        <v>32.385</v>
      </c>
      <c r="R185" s="71">
        <f>VLOOKUP($F185,[4]装箱单!$A:$F,6,0)</f>
        <v>18.78</v>
      </c>
      <c r="S185" s="71">
        <f>VLOOKUP($F185,[4]装箱单!$A:$G,7,0)</f>
        <v>9.525</v>
      </c>
      <c r="T185" s="72">
        <f>VLOOKUP($F185,[4]装箱单!$A:$J,10,0)</f>
        <v>0.0057930126075</v>
      </c>
      <c r="U185" s="73">
        <f t="shared" si="41"/>
        <v>1.01957021892</v>
      </c>
      <c r="V185" s="12"/>
    </row>
    <row r="186" s="1" customFormat="1" ht="29.1" customHeight="1" spans="1:22">
      <c r="A186" s="62">
        <v>46193</v>
      </c>
      <c r="B186" s="63" t="s">
        <v>138</v>
      </c>
      <c r="C186" s="64" t="s">
        <v>1446</v>
      </c>
      <c r="D186" s="65" t="s">
        <v>1447</v>
      </c>
      <c r="E186" s="67" t="s">
        <v>1448</v>
      </c>
      <c r="F186" s="66" t="s">
        <v>279</v>
      </c>
      <c r="G186" s="67" t="str">
        <f>VLOOKUP(F186,[4]装箱单!$A:$C,3,0)</f>
        <v>假日小鸭</v>
      </c>
      <c r="H186" s="67">
        <v>50</v>
      </c>
      <c r="I186" s="68">
        <v>900</v>
      </c>
      <c r="J186" s="68" t="s">
        <v>32</v>
      </c>
      <c r="K186" s="68" t="s">
        <v>33</v>
      </c>
      <c r="L186" s="69">
        <v>50</v>
      </c>
      <c r="M186" s="65">
        <f t="shared" si="40"/>
        <v>0.289650630375</v>
      </c>
      <c r="N186" s="69" t="s">
        <v>34</v>
      </c>
      <c r="O186" s="67"/>
      <c r="P186" s="74"/>
      <c r="Q186" s="71">
        <f>VLOOKUP($F186,[4]装箱单!$A:$E,5,0)</f>
        <v>32.385</v>
      </c>
      <c r="R186" s="71">
        <f>VLOOKUP($F186,[4]装箱单!$A:$F,6,0)</f>
        <v>18.78</v>
      </c>
      <c r="S186" s="71">
        <f>VLOOKUP($F186,[4]装箱单!$A:$G,7,0)</f>
        <v>9.525</v>
      </c>
      <c r="T186" s="72">
        <f>VLOOKUP($F186,[4]装箱单!$A:$J,10,0)</f>
        <v>0.0057930126075</v>
      </c>
      <c r="U186" s="73">
        <f t="shared" si="41"/>
        <v>0.289650630375</v>
      </c>
      <c r="V186" s="12"/>
    </row>
    <row r="187" s="1" customFormat="1" ht="29.1" customHeight="1" spans="1:22">
      <c r="A187" s="62">
        <v>46193</v>
      </c>
      <c r="B187" s="63" t="s">
        <v>138</v>
      </c>
      <c r="C187" s="64" t="s">
        <v>1446</v>
      </c>
      <c r="D187" s="65" t="s">
        <v>1447</v>
      </c>
      <c r="E187" s="67" t="s">
        <v>1448</v>
      </c>
      <c r="F187" s="66" t="s">
        <v>1161</v>
      </c>
      <c r="G187" s="67" t="str">
        <f>VLOOKUP(F187,[4]装箱单!$A:$C,3,0)</f>
        <v>搪胶小鸭</v>
      </c>
      <c r="H187" s="67">
        <v>51</v>
      </c>
      <c r="I187" s="68">
        <v>918</v>
      </c>
      <c r="J187" s="68" t="s">
        <v>32</v>
      </c>
      <c r="K187" s="68" t="s">
        <v>33</v>
      </c>
      <c r="L187" s="69">
        <v>51</v>
      </c>
      <c r="M187" s="65">
        <f t="shared" si="40"/>
        <v>0.298359274248</v>
      </c>
      <c r="N187" s="69" t="s">
        <v>34</v>
      </c>
      <c r="O187" s="67"/>
      <c r="P187" s="74"/>
      <c r="Q187" s="71">
        <f>VLOOKUP($F187,[4]装箱单!$A:$E,5,0)</f>
        <v>32.385</v>
      </c>
      <c r="R187" s="71">
        <f>VLOOKUP($F187,[4]装箱单!$A:$F,6,0)</f>
        <v>17.78</v>
      </c>
      <c r="S187" s="71">
        <f>VLOOKUP($F187,[4]装箱单!$A:$G,7,0)</f>
        <v>10.16</v>
      </c>
      <c r="T187" s="72">
        <f>VLOOKUP($F187,[4]装箱单!$A:$J,10,0)</f>
        <v>0.005850181848</v>
      </c>
      <c r="U187" s="73">
        <f t="shared" si="41"/>
        <v>0.298359274248</v>
      </c>
      <c r="V187" s="12"/>
    </row>
    <row r="188" s="1" customFormat="1" ht="29.1" customHeight="1" spans="1:22">
      <c r="A188" s="62">
        <v>46193</v>
      </c>
      <c r="B188" s="78" t="s">
        <v>138</v>
      </c>
      <c r="C188" s="79" t="s">
        <v>1446</v>
      </c>
      <c r="D188" s="80" t="s">
        <v>1447</v>
      </c>
      <c r="E188" s="81" t="s">
        <v>1448</v>
      </c>
      <c r="F188" s="82">
        <v>46462</v>
      </c>
      <c r="G188" s="81" t="str">
        <f>VLOOKUP(F188,[4]装箱单!$A:$C,3,0)</f>
        <v>史迪仔系列</v>
      </c>
      <c r="H188" s="81">
        <v>400</v>
      </c>
      <c r="I188" s="83">
        <v>800</v>
      </c>
      <c r="J188" s="45" t="s">
        <v>47</v>
      </c>
      <c r="K188" s="83" t="s">
        <v>33</v>
      </c>
      <c r="L188" s="76">
        <v>400</v>
      </c>
      <c r="M188" s="80">
        <f t="shared" si="40"/>
        <v>8.9462872128</v>
      </c>
      <c r="N188" s="76" t="s">
        <v>34</v>
      </c>
      <c r="O188" s="81"/>
      <c r="P188" s="84"/>
      <c r="Q188" s="71">
        <f>VLOOKUP($F188,[4]装箱单!$A:$E,5,0)</f>
        <v>40.01</v>
      </c>
      <c r="R188" s="71">
        <f>VLOOKUP($F188,[4]装箱单!$A:$F,6,0)</f>
        <v>26.67</v>
      </c>
      <c r="S188" s="71">
        <f>VLOOKUP($F188,[4]装箱单!$A:$G,7,0)</f>
        <v>20.96</v>
      </c>
      <c r="T188" s="72">
        <f>VLOOKUP($F188,[4]装箱单!$A:$J,10,0)</f>
        <v>0.022365718032</v>
      </c>
      <c r="U188" s="73">
        <f t="shared" si="41"/>
        <v>8.9462872128</v>
      </c>
      <c r="V188" s="12"/>
    </row>
    <row r="189" s="1" customFormat="1" ht="29.1" customHeight="1" spans="1:22">
      <c r="A189" s="62">
        <v>46193</v>
      </c>
      <c r="B189" s="63" t="s">
        <v>1283</v>
      </c>
      <c r="C189" s="64" t="s">
        <v>1284</v>
      </c>
      <c r="D189" s="65" t="s">
        <v>1285</v>
      </c>
      <c r="E189" s="67" t="s">
        <v>1286</v>
      </c>
      <c r="F189" s="67" t="s">
        <v>1449</v>
      </c>
      <c r="G189" s="67" t="str">
        <f>VLOOKUP(F189,[4]装箱单!$A:$C,3,0)</f>
        <v>鸭子</v>
      </c>
      <c r="H189" s="67">
        <v>576</v>
      </c>
      <c r="I189" s="68">
        <f>+L189*18</f>
        <v>10368</v>
      </c>
      <c r="J189" s="68" t="s">
        <v>32</v>
      </c>
      <c r="K189" s="68" t="s">
        <v>33</v>
      </c>
      <c r="L189" s="69">
        <v>576</v>
      </c>
      <c r="M189" s="65">
        <f t="shared" si="40"/>
        <v>23.542947648</v>
      </c>
      <c r="N189" s="69" t="s">
        <v>34</v>
      </c>
      <c r="O189" s="67" t="s">
        <v>216</v>
      </c>
      <c r="P189" s="74"/>
      <c r="Q189" s="71">
        <f>VLOOKUP($F189,[4]装箱单!$A:$E,5,0)</f>
        <v>37.15</v>
      </c>
      <c r="R189" s="71">
        <f>VLOOKUP($F189,[4]装箱单!$A:$F,6,0)</f>
        <v>33</v>
      </c>
      <c r="S189" s="71">
        <f>VLOOKUP($F189,[4]装箱单!$A:$G,7,0)</f>
        <v>33.34</v>
      </c>
      <c r="T189" s="72">
        <f>VLOOKUP($F189,[4]装箱单!$A:$J,10,0)</f>
        <v>0.040873173</v>
      </c>
      <c r="U189" s="73">
        <f t="shared" si="41"/>
        <v>23.542947648</v>
      </c>
      <c r="V189" s="12"/>
    </row>
    <row r="190" s="1" customFormat="1" ht="29.1" customHeight="1" spans="1:22">
      <c r="A190" s="62">
        <v>46193</v>
      </c>
      <c r="B190" s="63" t="s">
        <v>1283</v>
      </c>
      <c r="C190" s="64" t="s">
        <v>1287</v>
      </c>
      <c r="D190" s="65" t="s">
        <v>1288</v>
      </c>
      <c r="E190" s="67" t="s">
        <v>1289</v>
      </c>
      <c r="F190" s="67" t="s">
        <v>1449</v>
      </c>
      <c r="G190" s="67" t="str">
        <f>VLOOKUP(F190,[4]装箱单!$A:$C,3,0)</f>
        <v>鸭子</v>
      </c>
      <c r="H190" s="67">
        <v>624</v>
      </c>
      <c r="I190" s="68">
        <f>+L190*18</f>
        <v>11232</v>
      </c>
      <c r="J190" s="68" t="s">
        <v>32</v>
      </c>
      <c r="K190" s="68" t="s">
        <v>33</v>
      </c>
      <c r="L190" s="69">
        <v>624</v>
      </c>
      <c r="M190" s="65">
        <f t="shared" si="40"/>
        <v>25.504859952</v>
      </c>
      <c r="N190" s="69" t="s">
        <v>34</v>
      </c>
      <c r="O190" s="67" t="s">
        <v>216</v>
      </c>
      <c r="P190" s="74"/>
      <c r="Q190" s="71">
        <f>VLOOKUP($F190,[4]装箱单!$A:$E,5,0)</f>
        <v>37.15</v>
      </c>
      <c r="R190" s="71">
        <f>VLOOKUP($F190,[4]装箱单!$A:$F,6,0)</f>
        <v>33</v>
      </c>
      <c r="S190" s="71">
        <f>VLOOKUP($F190,[4]装箱单!$A:$G,7,0)</f>
        <v>33.34</v>
      </c>
      <c r="T190" s="72">
        <f>VLOOKUP($F190,[4]装箱单!$A:$J,10,0)</f>
        <v>0.040873173</v>
      </c>
      <c r="U190" s="73">
        <f t="shared" si="41"/>
        <v>25.504859952</v>
      </c>
      <c r="V190" s="12"/>
    </row>
    <row r="191" s="1" customFormat="1" ht="29.1" customHeight="1" spans="1:22">
      <c r="A191" s="62"/>
      <c r="B191" s="63"/>
      <c r="C191" s="64"/>
      <c r="D191" s="65"/>
      <c r="E191" s="67"/>
      <c r="F191" s="67"/>
      <c r="G191" s="67"/>
      <c r="H191" s="67"/>
      <c r="I191" s="68"/>
      <c r="J191" s="68"/>
      <c r="K191" s="68"/>
      <c r="L191" s="69"/>
      <c r="M191" s="65">
        <f>SUM(M165:M190)</f>
        <v>128.011969991752</v>
      </c>
      <c r="N191" s="69"/>
      <c r="O191" s="67"/>
      <c r="P191" s="75"/>
      <c r="Q191" s="71"/>
      <c r="R191" s="71"/>
      <c r="S191" s="71"/>
      <c r="T191" s="72"/>
      <c r="U191" s="73"/>
      <c r="V191" s="12"/>
    </row>
    <row r="192" s="1" customFormat="1" ht="29.1" customHeight="1" spans="1:22">
      <c r="A192" s="62">
        <v>46193</v>
      </c>
      <c r="B192" s="63" t="s">
        <v>1190</v>
      </c>
      <c r="C192" s="64" t="s">
        <v>1450</v>
      </c>
      <c r="D192" s="65">
        <v>46101</v>
      </c>
      <c r="E192" s="67" t="s">
        <v>1160</v>
      </c>
      <c r="F192" s="67">
        <v>46462</v>
      </c>
      <c r="G192" s="67" t="str">
        <f>VLOOKUP(F192,[4]装箱单!$A:$C,3,0)</f>
        <v>史迪仔系列</v>
      </c>
      <c r="H192" s="67">
        <v>200</v>
      </c>
      <c r="I192" s="68">
        <f>+L192*2</f>
        <v>400</v>
      </c>
      <c r="J192" s="45" t="s">
        <v>47</v>
      </c>
      <c r="K192" s="68" t="s">
        <v>33</v>
      </c>
      <c r="L192" s="69">
        <v>200</v>
      </c>
      <c r="M192" s="65">
        <f t="shared" ref="M192:M194" si="44">+U192</f>
        <v>4.4731436064</v>
      </c>
      <c r="N192" s="69" t="s">
        <v>34</v>
      </c>
      <c r="O192" s="67"/>
      <c r="P192" s="70" t="s">
        <v>1451</v>
      </c>
      <c r="Q192" s="71">
        <f>VLOOKUP($F192,[4]装箱单!$A:$E,5,0)</f>
        <v>40.01</v>
      </c>
      <c r="R192" s="71">
        <f>VLOOKUP($F192,[4]装箱单!$A:$F,6,0)</f>
        <v>26.67</v>
      </c>
      <c r="S192" s="71">
        <f>VLOOKUP($F192,[4]装箱单!$A:$G,7,0)</f>
        <v>20.96</v>
      </c>
      <c r="T192" s="72">
        <f>VLOOKUP($F192,[4]装箱单!$A:$J,10,0)</f>
        <v>0.022365718032</v>
      </c>
      <c r="U192" s="73">
        <f t="shared" ref="U192:U194" si="45">+T192*L192</f>
        <v>4.4731436064</v>
      </c>
      <c r="V192" s="12"/>
    </row>
    <row r="193" s="1" customFormat="1" ht="29.1" customHeight="1" spans="1:22">
      <c r="A193" s="62">
        <v>46193</v>
      </c>
      <c r="B193" s="63" t="s">
        <v>1452</v>
      </c>
      <c r="C193" s="64" t="s">
        <v>1453</v>
      </c>
      <c r="D193" s="65" t="s">
        <v>1454</v>
      </c>
      <c r="E193" s="66">
        <v>117407441</v>
      </c>
      <c r="F193" s="67">
        <v>33776</v>
      </c>
      <c r="G193" s="67" t="str">
        <f>VLOOKUP(F193,[4]装箱单!$A:$C,3,0)</f>
        <v>搪胶小鸭子系列</v>
      </c>
      <c r="H193" s="67">
        <v>802</v>
      </c>
      <c r="I193" s="68">
        <v>76992</v>
      </c>
      <c r="J193" s="68" t="s">
        <v>32</v>
      </c>
      <c r="K193" s="68" t="s">
        <v>33</v>
      </c>
      <c r="L193" s="69">
        <v>802</v>
      </c>
      <c r="M193" s="65">
        <f t="shared" si="44"/>
        <v>66.0764249145</v>
      </c>
      <c r="N193" s="69" t="s">
        <v>34</v>
      </c>
      <c r="O193" s="67"/>
      <c r="P193" s="74"/>
      <c r="Q193" s="71">
        <f>VLOOKUP($F193,[4]装箱单!$A:$E,5,0)</f>
        <v>54.95</v>
      </c>
      <c r="R193" s="71">
        <f>VLOOKUP($F193,[4]装箱单!$A:$F,6,0)</f>
        <v>34.95</v>
      </c>
      <c r="S193" s="71">
        <f>VLOOKUP($F193,[4]装箱单!$A:$G,7,0)</f>
        <v>42.9</v>
      </c>
      <c r="T193" s="72">
        <f>VLOOKUP($F193,[4]装箱单!$A:$J,10,0)</f>
        <v>0.08238955725</v>
      </c>
      <c r="U193" s="73">
        <f t="shared" si="45"/>
        <v>66.0764249145</v>
      </c>
      <c r="V193" s="12"/>
    </row>
    <row r="194" s="1" customFormat="1" ht="29.1" customHeight="1" spans="1:22">
      <c r="A194" s="62">
        <v>46193</v>
      </c>
      <c r="B194" s="63" t="s">
        <v>1452</v>
      </c>
      <c r="C194" s="64" t="s">
        <v>1455</v>
      </c>
      <c r="D194" s="65" t="s">
        <v>1456</v>
      </c>
      <c r="E194" s="66">
        <v>117407440</v>
      </c>
      <c r="F194" s="67">
        <v>33776</v>
      </c>
      <c r="G194" s="67" t="str">
        <f>VLOOKUP(F194,[4]装箱单!$A:$C,3,0)</f>
        <v>搪胶小鸭子系列</v>
      </c>
      <c r="H194" s="67">
        <v>888</v>
      </c>
      <c r="I194" s="68">
        <v>85248</v>
      </c>
      <c r="J194" s="68" t="s">
        <v>32</v>
      </c>
      <c r="K194" s="68" t="s">
        <v>33</v>
      </c>
      <c r="L194" s="69">
        <v>888</v>
      </c>
      <c r="M194" s="65">
        <f t="shared" si="44"/>
        <v>73.161926838</v>
      </c>
      <c r="N194" s="69" t="s">
        <v>34</v>
      </c>
      <c r="O194" s="67"/>
      <c r="P194" s="74"/>
      <c r="Q194" s="71">
        <f>VLOOKUP($F194,[4]装箱单!$A:$E,5,0)</f>
        <v>54.95</v>
      </c>
      <c r="R194" s="71">
        <f>VLOOKUP($F194,[4]装箱单!$A:$F,6,0)</f>
        <v>34.95</v>
      </c>
      <c r="S194" s="71">
        <f>VLOOKUP($F194,[4]装箱单!$A:$G,7,0)</f>
        <v>42.9</v>
      </c>
      <c r="T194" s="72">
        <f>VLOOKUP($F194,[4]装箱单!$A:$J,10,0)</f>
        <v>0.08238955725</v>
      </c>
      <c r="U194" s="73">
        <f t="shared" si="45"/>
        <v>73.161926838</v>
      </c>
      <c r="V194" s="12"/>
    </row>
    <row r="195" s="1" customFormat="1" ht="29.1" customHeight="1" spans="1:22">
      <c r="A195" s="62"/>
      <c r="B195" s="63"/>
      <c r="C195" s="64"/>
      <c r="D195" s="65"/>
      <c r="E195" s="66"/>
      <c r="F195" s="67"/>
      <c r="G195" s="67"/>
      <c r="H195" s="67"/>
      <c r="I195" s="68"/>
      <c r="J195" s="68"/>
      <c r="K195" s="68"/>
      <c r="L195" s="69"/>
      <c r="M195" s="65">
        <f>SUM(M192:M194)</f>
        <v>143.7114953589</v>
      </c>
      <c r="N195" s="69"/>
      <c r="O195" s="67"/>
      <c r="P195" s="75"/>
      <c r="Q195" s="71"/>
      <c r="R195" s="71"/>
      <c r="S195" s="71"/>
      <c r="T195" s="72"/>
      <c r="U195" s="73"/>
      <c r="V195" s="12"/>
    </row>
    <row r="196" s="1" customFormat="1" ht="29.1" customHeight="1" spans="1:22">
      <c r="A196" s="62">
        <v>46195</v>
      </c>
      <c r="B196" s="63" t="s">
        <v>316</v>
      </c>
      <c r="C196" s="64" t="s">
        <v>1457</v>
      </c>
      <c r="D196" s="65" t="s">
        <v>1458</v>
      </c>
      <c r="E196" s="67">
        <v>36664</v>
      </c>
      <c r="F196" s="68" t="s">
        <v>80</v>
      </c>
      <c r="G196" s="67" t="str">
        <f>VLOOKUP(F196,[4]装箱单!$A:$C,3,0)</f>
        <v>钥匙扣系列</v>
      </c>
      <c r="H196" s="67">
        <v>200</v>
      </c>
      <c r="I196" s="68">
        <f t="shared" ref="I196:I200" si="46">+L196*18</f>
        <v>3600</v>
      </c>
      <c r="J196" s="68" t="s">
        <v>32</v>
      </c>
      <c r="K196" s="68" t="s">
        <v>33</v>
      </c>
      <c r="L196" s="69">
        <v>200</v>
      </c>
      <c r="M196" s="65">
        <f t="shared" ref="M196:M213" si="47">+U196</f>
        <v>3.0024864</v>
      </c>
      <c r="N196" s="46" t="s">
        <v>34</v>
      </c>
      <c r="O196" s="67"/>
      <c r="P196" s="70" t="s">
        <v>1459</v>
      </c>
      <c r="Q196" s="71">
        <f>VLOOKUP($F196,[4]装箱单!$A:$E,5,0)</f>
        <v>42.48</v>
      </c>
      <c r="R196" s="71">
        <f>VLOOKUP($F196,[4]装箱单!$A:$F,6,0)</f>
        <v>22.8</v>
      </c>
      <c r="S196" s="71">
        <f>VLOOKUP($F196,[4]装箱单!$A:$G,7,0)</f>
        <v>15.5</v>
      </c>
      <c r="T196" s="72">
        <f>VLOOKUP($F196,[4]装箱单!$A:$J,10,0)</f>
        <v>0.015012432</v>
      </c>
      <c r="U196" s="73">
        <f t="shared" ref="U196:U213" si="48">+T196*L196</f>
        <v>3.0024864</v>
      </c>
      <c r="V196" s="12"/>
    </row>
    <row r="197" s="1" customFormat="1" ht="29.1" customHeight="1" spans="1:22">
      <c r="A197" s="62">
        <v>46195</v>
      </c>
      <c r="B197" s="63" t="s">
        <v>1176</v>
      </c>
      <c r="C197" s="64" t="s">
        <v>1460</v>
      </c>
      <c r="D197" s="65" t="s">
        <v>1461</v>
      </c>
      <c r="E197" s="67">
        <v>47949978</v>
      </c>
      <c r="F197" s="68" t="s">
        <v>80</v>
      </c>
      <c r="G197" s="67" t="str">
        <f>VLOOKUP(F197,[4]装箱单!$A:$C,3,0)</f>
        <v>钥匙扣系列</v>
      </c>
      <c r="H197" s="67">
        <v>45</v>
      </c>
      <c r="I197" s="68">
        <f t="shared" si="46"/>
        <v>810</v>
      </c>
      <c r="J197" s="68" t="s">
        <v>32</v>
      </c>
      <c r="K197" s="68" t="s">
        <v>33</v>
      </c>
      <c r="L197" s="69">
        <v>45</v>
      </c>
      <c r="M197" s="65">
        <f t="shared" si="47"/>
        <v>0.67555944</v>
      </c>
      <c r="N197" s="46" t="s">
        <v>34</v>
      </c>
      <c r="O197" s="67"/>
      <c r="P197" s="74"/>
      <c r="Q197" s="71">
        <f>VLOOKUP($F197,[4]装箱单!$A:$E,5,0)</f>
        <v>42.48</v>
      </c>
      <c r="R197" s="71">
        <f>VLOOKUP($F197,[4]装箱单!$A:$F,6,0)</f>
        <v>22.8</v>
      </c>
      <c r="S197" s="71">
        <f>VLOOKUP($F197,[4]装箱单!$A:$G,7,0)</f>
        <v>15.5</v>
      </c>
      <c r="T197" s="72">
        <f>VLOOKUP($F197,[4]装箱单!$A:$J,10,0)</f>
        <v>0.015012432</v>
      </c>
      <c r="U197" s="73">
        <f t="shared" si="48"/>
        <v>0.67555944</v>
      </c>
      <c r="V197" s="12"/>
    </row>
    <row r="198" s="1" customFormat="1" ht="29.1" customHeight="1" spans="1:22">
      <c r="A198" s="62">
        <v>46195</v>
      </c>
      <c r="B198" s="63" t="s">
        <v>1176</v>
      </c>
      <c r="C198" s="64" t="s">
        <v>1462</v>
      </c>
      <c r="D198" s="65" t="s">
        <v>1463</v>
      </c>
      <c r="E198" s="67">
        <v>47949979</v>
      </c>
      <c r="F198" s="68" t="s">
        <v>80</v>
      </c>
      <c r="G198" s="67" t="str">
        <f>VLOOKUP(F198,[4]装箱单!$A:$C,3,0)</f>
        <v>钥匙扣系列</v>
      </c>
      <c r="H198" s="67">
        <v>40</v>
      </c>
      <c r="I198" s="68">
        <f t="shared" si="46"/>
        <v>720</v>
      </c>
      <c r="J198" s="68" t="s">
        <v>32</v>
      </c>
      <c r="K198" s="68" t="s">
        <v>33</v>
      </c>
      <c r="L198" s="69">
        <v>40</v>
      </c>
      <c r="M198" s="65">
        <f t="shared" si="47"/>
        <v>0.60049728</v>
      </c>
      <c r="N198" s="46" t="s">
        <v>34</v>
      </c>
      <c r="O198" s="67"/>
      <c r="P198" s="74"/>
      <c r="Q198" s="71">
        <f>VLOOKUP($F198,[4]装箱单!$A:$E,5,0)</f>
        <v>42.48</v>
      </c>
      <c r="R198" s="71">
        <f>VLOOKUP($F198,[4]装箱单!$A:$F,6,0)</f>
        <v>22.8</v>
      </c>
      <c r="S198" s="71">
        <f>VLOOKUP($F198,[4]装箱单!$A:$G,7,0)</f>
        <v>15.5</v>
      </c>
      <c r="T198" s="72">
        <f>VLOOKUP($F198,[4]装箱单!$A:$J,10,0)</f>
        <v>0.015012432</v>
      </c>
      <c r="U198" s="73">
        <f t="shared" si="48"/>
        <v>0.60049728</v>
      </c>
      <c r="V198" s="12"/>
    </row>
    <row r="199" s="1" customFormat="1" ht="29.1" customHeight="1" spans="1:22">
      <c r="A199" s="62">
        <v>46195</v>
      </c>
      <c r="B199" s="63" t="s">
        <v>1176</v>
      </c>
      <c r="C199" s="64" t="s">
        <v>1464</v>
      </c>
      <c r="D199" s="65" t="s">
        <v>1465</v>
      </c>
      <c r="E199" s="67">
        <v>47949980</v>
      </c>
      <c r="F199" s="68" t="s">
        <v>80</v>
      </c>
      <c r="G199" s="67" t="str">
        <f>VLOOKUP(F199,[4]装箱单!$A:$C,3,0)</f>
        <v>钥匙扣系列</v>
      </c>
      <c r="H199" s="67">
        <v>31</v>
      </c>
      <c r="I199" s="68">
        <f t="shared" si="46"/>
        <v>558</v>
      </c>
      <c r="J199" s="68" t="s">
        <v>32</v>
      </c>
      <c r="K199" s="68" t="s">
        <v>33</v>
      </c>
      <c r="L199" s="69">
        <v>31</v>
      </c>
      <c r="M199" s="65">
        <f t="shared" si="47"/>
        <v>0.465385392</v>
      </c>
      <c r="N199" s="46" t="s">
        <v>34</v>
      </c>
      <c r="O199" s="67"/>
      <c r="P199" s="74"/>
      <c r="Q199" s="71">
        <f>VLOOKUP($F199,[4]装箱单!$A:$E,5,0)</f>
        <v>42.48</v>
      </c>
      <c r="R199" s="71">
        <f>VLOOKUP($F199,[4]装箱单!$A:$F,6,0)</f>
        <v>22.8</v>
      </c>
      <c r="S199" s="71">
        <f>VLOOKUP($F199,[4]装箱单!$A:$G,7,0)</f>
        <v>15.5</v>
      </c>
      <c r="T199" s="72">
        <f>VLOOKUP($F199,[4]装箱单!$A:$J,10,0)</f>
        <v>0.015012432</v>
      </c>
      <c r="U199" s="73">
        <f t="shared" si="48"/>
        <v>0.465385392</v>
      </c>
      <c r="V199" s="12"/>
    </row>
    <row r="200" s="1" customFormat="1" ht="29.1" customHeight="1" spans="1:22">
      <c r="A200" s="62">
        <v>46195</v>
      </c>
      <c r="B200" s="63" t="s">
        <v>1176</v>
      </c>
      <c r="C200" s="64" t="s">
        <v>1466</v>
      </c>
      <c r="D200" s="65" t="s">
        <v>1467</v>
      </c>
      <c r="E200" s="67">
        <v>47949981</v>
      </c>
      <c r="F200" s="68" t="s">
        <v>80</v>
      </c>
      <c r="G200" s="67" t="str">
        <f>VLOOKUP(F200,[4]装箱单!$A:$C,3,0)</f>
        <v>钥匙扣系列</v>
      </c>
      <c r="H200" s="67">
        <v>13</v>
      </c>
      <c r="I200" s="68">
        <f t="shared" si="46"/>
        <v>234</v>
      </c>
      <c r="J200" s="68" t="s">
        <v>32</v>
      </c>
      <c r="K200" s="68" t="s">
        <v>33</v>
      </c>
      <c r="L200" s="69">
        <v>13</v>
      </c>
      <c r="M200" s="65">
        <f t="shared" si="47"/>
        <v>0.195161616</v>
      </c>
      <c r="N200" s="46" t="s">
        <v>34</v>
      </c>
      <c r="O200" s="67"/>
      <c r="P200" s="74"/>
      <c r="Q200" s="71">
        <f>VLOOKUP($F200,[4]装箱单!$A:$E,5,0)</f>
        <v>42.48</v>
      </c>
      <c r="R200" s="71">
        <f>VLOOKUP($F200,[4]装箱单!$A:$F,6,0)</f>
        <v>22.8</v>
      </c>
      <c r="S200" s="71">
        <f>VLOOKUP($F200,[4]装箱单!$A:$G,7,0)</f>
        <v>15.5</v>
      </c>
      <c r="T200" s="72">
        <f>VLOOKUP($F200,[4]装箱单!$A:$J,10,0)</f>
        <v>0.015012432</v>
      </c>
      <c r="U200" s="73">
        <f t="shared" si="48"/>
        <v>0.195161616</v>
      </c>
      <c r="V200" s="12"/>
    </row>
    <row r="201" s="1" customFormat="1" ht="29.1" customHeight="1" spans="1:22">
      <c r="A201" s="62">
        <v>46195</v>
      </c>
      <c r="B201" s="63" t="s">
        <v>1452</v>
      </c>
      <c r="C201" s="64" t="s">
        <v>1468</v>
      </c>
      <c r="D201" s="65" t="s">
        <v>1469</v>
      </c>
      <c r="E201" s="66">
        <v>117407450</v>
      </c>
      <c r="F201" s="67">
        <v>33776</v>
      </c>
      <c r="G201" s="67" t="str">
        <f>VLOOKUP(F201,[4]装箱单!$A:$C,3,0)</f>
        <v>搪胶小鸭子系列</v>
      </c>
      <c r="H201" s="67">
        <v>888</v>
      </c>
      <c r="I201" s="68">
        <v>85248</v>
      </c>
      <c r="J201" s="68" t="s">
        <v>32</v>
      </c>
      <c r="K201" s="68" t="s">
        <v>33</v>
      </c>
      <c r="L201" s="69">
        <v>888</v>
      </c>
      <c r="M201" s="65">
        <f t="shared" si="47"/>
        <v>73.161926838</v>
      </c>
      <c r="N201" s="69" t="s">
        <v>34</v>
      </c>
      <c r="O201" s="67"/>
      <c r="P201" s="74"/>
      <c r="Q201" s="71">
        <f>VLOOKUP($F201,[4]装箱单!$A:$E,5,0)</f>
        <v>54.95</v>
      </c>
      <c r="R201" s="71">
        <f>VLOOKUP($F201,[4]装箱单!$A:$F,6,0)</f>
        <v>34.95</v>
      </c>
      <c r="S201" s="71">
        <f>VLOOKUP($F201,[4]装箱单!$A:$G,7,0)</f>
        <v>42.9</v>
      </c>
      <c r="T201" s="72">
        <f>VLOOKUP($F201,[4]装箱单!$A:$J,10,0)</f>
        <v>0.08238955725</v>
      </c>
      <c r="U201" s="73">
        <f t="shared" si="48"/>
        <v>73.161926838</v>
      </c>
      <c r="V201" s="12"/>
    </row>
    <row r="202" s="1" customFormat="1" ht="29.1" customHeight="1" spans="1:22">
      <c r="A202" s="62">
        <v>46195</v>
      </c>
      <c r="B202" s="63" t="s">
        <v>1470</v>
      </c>
      <c r="C202" s="64" t="s">
        <v>1471</v>
      </c>
      <c r="D202" s="65" t="s">
        <v>1472</v>
      </c>
      <c r="E202" s="67"/>
      <c r="F202" s="66">
        <v>46097</v>
      </c>
      <c r="G202" s="67" t="str">
        <f>VLOOKUP(F202,[4]装箱单!$A:$C,3,0)</f>
        <v>小熊维尼历险记系列</v>
      </c>
      <c r="H202" s="67">
        <v>180</v>
      </c>
      <c r="I202" s="68">
        <v>360</v>
      </c>
      <c r="J202" s="45" t="s">
        <v>47</v>
      </c>
      <c r="K202" s="68" t="s">
        <v>33</v>
      </c>
      <c r="L202" s="69">
        <v>180</v>
      </c>
      <c r="M202" s="65">
        <f t="shared" si="47"/>
        <v>4.02582924576</v>
      </c>
      <c r="N202" s="69" t="s">
        <v>34</v>
      </c>
      <c r="O202" s="67"/>
      <c r="P202" s="74"/>
      <c r="Q202" s="71">
        <f>VLOOKUP($F202,[4]装箱单!$A:$E,5,0)</f>
        <v>40.01</v>
      </c>
      <c r="R202" s="71">
        <f>VLOOKUP($F202,[4]装箱单!$A:$F,6,0)</f>
        <v>26.67</v>
      </c>
      <c r="S202" s="71">
        <f>VLOOKUP($F202,[4]装箱单!$A:$G,7,0)</f>
        <v>20.96</v>
      </c>
      <c r="T202" s="72">
        <f>VLOOKUP($F202,[4]装箱单!$A:$J,10,0)</f>
        <v>0.022365718032</v>
      </c>
      <c r="U202" s="73">
        <f t="shared" si="48"/>
        <v>4.02582924576</v>
      </c>
      <c r="V202" s="12"/>
    </row>
    <row r="203" s="1" customFormat="1" ht="29.1" customHeight="1" spans="1:22">
      <c r="A203" s="62">
        <v>46195</v>
      </c>
      <c r="B203" s="63" t="s">
        <v>1470</v>
      </c>
      <c r="C203" s="64" t="s">
        <v>1471</v>
      </c>
      <c r="D203" s="65" t="s">
        <v>1472</v>
      </c>
      <c r="E203" s="67"/>
      <c r="F203" s="66">
        <v>46099</v>
      </c>
      <c r="G203" s="67" t="str">
        <f>VLOOKUP(F203,[4]装箱单!$A:$C,3,0)</f>
        <v>米奇老鼠系列</v>
      </c>
      <c r="H203" s="67">
        <v>180</v>
      </c>
      <c r="I203" s="68">
        <v>360</v>
      </c>
      <c r="J203" s="45" t="s">
        <v>47</v>
      </c>
      <c r="K203" s="68" t="s">
        <v>33</v>
      </c>
      <c r="L203" s="69">
        <v>180</v>
      </c>
      <c r="M203" s="65">
        <f t="shared" si="47"/>
        <v>4.02582924576</v>
      </c>
      <c r="N203" s="69" t="s">
        <v>34</v>
      </c>
      <c r="O203" s="67"/>
      <c r="P203" s="74"/>
      <c r="Q203" s="71">
        <f>VLOOKUP($F203,[4]装箱单!$A:$E,5,0)</f>
        <v>40.01</v>
      </c>
      <c r="R203" s="71">
        <f>VLOOKUP($F203,[4]装箱单!$A:$F,6,0)</f>
        <v>26.67</v>
      </c>
      <c r="S203" s="71">
        <f>VLOOKUP($F203,[4]装箱单!$A:$G,7,0)</f>
        <v>20.96</v>
      </c>
      <c r="T203" s="72">
        <f>VLOOKUP($F203,[4]装箱单!$A:$J,10,0)</f>
        <v>0.022365718032</v>
      </c>
      <c r="U203" s="73">
        <f t="shared" si="48"/>
        <v>4.02582924576</v>
      </c>
      <c r="V203" s="12"/>
    </row>
    <row r="204" s="1" customFormat="1" ht="29.1" customHeight="1" spans="1:22">
      <c r="A204" s="62">
        <v>46195</v>
      </c>
      <c r="B204" s="63" t="s">
        <v>1470</v>
      </c>
      <c r="C204" s="64" t="s">
        <v>1471</v>
      </c>
      <c r="D204" s="65" t="s">
        <v>1472</v>
      </c>
      <c r="E204" s="66"/>
      <c r="F204" s="66">
        <v>46132</v>
      </c>
      <c r="G204" s="67" t="str">
        <f>VLOOKUP(F204,[4]装箱单!$A:$C,3,0)</f>
        <v>赛车总动员系列</v>
      </c>
      <c r="H204" s="67">
        <v>120</v>
      </c>
      <c r="I204" s="68">
        <v>240</v>
      </c>
      <c r="J204" s="45" t="s">
        <v>47</v>
      </c>
      <c r="K204" s="68" t="s">
        <v>33</v>
      </c>
      <c r="L204" s="69">
        <v>120</v>
      </c>
      <c r="M204" s="65">
        <f t="shared" si="47"/>
        <v>2.68388616384</v>
      </c>
      <c r="N204" s="69" t="s">
        <v>34</v>
      </c>
      <c r="O204" s="67"/>
      <c r="P204" s="74"/>
      <c r="Q204" s="71">
        <f>VLOOKUP($F204,[4]装箱单!$A:$E,5,0)</f>
        <v>40.01</v>
      </c>
      <c r="R204" s="71">
        <f>VLOOKUP($F204,[4]装箱单!$A:$F,6,0)</f>
        <v>26.67</v>
      </c>
      <c r="S204" s="71">
        <f>VLOOKUP($F204,[4]装箱单!$A:$G,7,0)</f>
        <v>20.96</v>
      </c>
      <c r="T204" s="72">
        <f>VLOOKUP($F204,[4]装箱单!$A:$J,10,0)</f>
        <v>0.022365718032</v>
      </c>
      <c r="U204" s="73">
        <f t="shared" si="48"/>
        <v>2.68388616384</v>
      </c>
      <c r="V204" s="12"/>
    </row>
    <row r="205" s="1" customFormat="1" ht="29.1" customHeight="1" spans="1:22">
      <c r="A205" s="62">
        <v>46195</v>
      </c>
      <c r="B205" s="63" t="s">
        <v>1470</v>
      </c>
      <c r="C205" s="64" t="s">
        <v>1471</v>
      </c>
      <c r="D205" s="65" t="s">
        <v>1472</v>
      </c>
      <c r="E205" s="67"/>
      <c r="F205" s="66">
        <v>46133</v>
      </c>
      <c r="G205" s="67" t="str">
        <f>VLOOKUP(F205,[4]装箱单!$A:$C,3,0)</f>
        <v>小美人鱼系列</v>
      </c>
      <c r="H205" s="67">
        <v>180</v>
      </c>
      <c r="I205" s="68">
        <v>360</v>
      </c>
      <c r="J205" s="45" t="s">
        <v>47</v>
      </c>
      <c r="K205" s="68" t="s">
        <v>33</v>
      </c>
      <c r="L205" s="69">
        <v>180</v>
      </c>
      <c r="M205" s="65">
        <f t="shared" si="47"/>
        <v>4.02582924576</v>
      </c>
      <c r="N205" s="69" t="s">
        <v>34</v>
      </c>
      <c r="O205" s="67"/>
      <c r="P205" s="74"/>
      <c r="Q205" s="71">
        <f>VLOOKUP($F205,[4]装箱单!$A:$E,5,0)</f>
        <v>40.01</v>
      </c>
      <c r="R205" s="71">
        <f>VLOOKUP($F205,[4]装箱单!$A:$F,6,0)</f>
        <v>26.67</v>
      </c>
      <c r="S205" s="71">
        <f>VLOOKUP($F205,[4]装箱单!$A:$G,7,0)</f>
        <v>20.96</v>
      </c>
      <c r="T205" s="72">
        <f>VLOOKUP($F205,[4]装箱单!$A:$J,10,0)</f>
        <v>0.022365718032</v>
      </c>
      <c r="U205" s="73">
        <f t="shared" si="48"/>
        <v>4.02582924576</v>
      </c>
      <c r="V205" s="12"/>
    </row>
    <row r="206" s="1" customFormat="1" ht="29.1" customHeight="1" spans="1:22">
      <c r="A206" s="62">
        <v>46195</v>
      </c>
      <c r="B206" s="63" t="s">
        <v>1473</v>
      </c>
      <c r="C206" s="64" t="s">
        <v>1474</v>
      </c>
      <c r="D206" s="65" t="s">
        <v>1475</v>
      </c>
      <c r="E206" s="67" t="s">
        <v>1476</v>
      </c>
      <c r="F206" s="67">
        <v>46099</v>
      </c>
      <c r="G206" s="67" t="str">
        <f>VLOOKUP(F206,[4]装箱单!$A:$C,3,0)</f>
        <v>米奇老鼠系列</v>
      </c>
      <c r="H206" s="67">
        <v>100</v>
      </c>
      <c r="I206" s="68">
        <f t="shared" ref="I206:I208" si="49">+L206*2</f>
        <v>200</v>
      </c>
      <c r="J206" s="45" t="s">
        <v>47</v>
      </c>
      <c r="K206" s="68" t="s">
        <v>33</v>
      </c>
      <c r="L206" s="69">
        <v>100</v>
      </c>
      <c r="M206" s="65">
        <f t="shared" si="47"/>
        <v>2.2365718032</v>
      </c>
      <c r="N206" s="69" t="s">
        <v>34</v>
      </c>
      <c r="O206" s="67"/>
      <c r="P206" s="74"/>
      <c r="Q206" s="71">
        <f>VLOOKUP($F206,[4]装箱单!$A:$E,5,0)</f>
        <v>40.01</v>
      </c>
      <c r="R206" s="71">
        <f>VLOOKUP($F206,[4]装箱单!$A:$F,6,0)</f>
        <v>26.67</v>
      </c>
      <c r="S206" s="71">
        <f>VLOOKUP($F206,[4]装箱单!$A:$G,7,0)</f>
        <v>20.96</v>
      </c>
      <c r="T206" s="72">
        <f>VLOOKUP($F206,[4]装箱单!$A:$J,10,0)</f>
        <v>0.022365718032</v>
      </c>
      <c r="U206" s="73">
        <f t="shared" si="48"/>
        <v>2.2365718032</v>
      </c>
      <c r="V206" s="12"/>
    </row>
    <row r="207" s="1" customFormat="1" ht="29.1" customHeight="1" spans="1:22">
      <c r="A207" s="62">
        <v>46195</v>
      </c>
      <c r="B207" s="63" t="s">
        <v>1477</v>
      </c>
      <c r="C207" s="64" t="s">
        <v>923</v>
      </c>
      <c r="D207" s="65" t="s">
        <v>924</v>
      </c>
      <c r="E207" s="67">
        <v>50002320</v>
      </c>
      <c r="F207" s="67">
        <v>46099</v>
      </c>
      <c r="G207" s="67" t="str">
        <f>VLOOKUP(F207,[4]装箱单!$A:$C,3,0)</f>
        <v>米奇老鼠系列</v>
      </c>
      <c r="H207" s="67">
        <v>240</v>
      </c>
      <c r="I207" s="68">
        <f t="shared" si="49"/>
        <v>480</v>
      </c>
      <c r="J207" s="45" t="s">
        <v>47</v>
      </c>
      <c r="K207" s="68" t="s">
        <v>33</v>
      </c>
      <c r="L207" s="69">
        <v>240</v>
      </c>
      <c r="M207" s="65">
        <f t="shared" si="47"/>
        <v>5.36777232768</v>
      </c>
      <c r="N207" s="69" t="s">
        <v>34</v>
      </c>
      <c r="O207" s="67"/>
      <c r="P207" s="74"/>
      <c r="Q207" s="71">
        <f>VLOOKUP($F207,[4]装箱单!$A:$E,5,0)</f>
        <v>40.01</v>
      </c>
      <c r="R207" s="71">
        <f>VLOOKUP($F207,[4]装箱单!$A:$F,6,0)</f>
        <v>26.67</v>
      </c>
      <c r="S207" s="71">
        <f>VLOOKUP($F207,[4]装箱单!$A:$G,7,0)</f>
        <v>20.96</v>
      </c>
      <c r="T207" s="72">
        <f>VLOOKUP($F207,[4]装箱单!$A:$J,10,0)</f>
        <v>0.022365718032</v>
      </c>
      <c r="U207" s="73">
        <f t="shared" si="48"/>
        <v>5.36777232768</v>
      </c>
      <c r="V207" s="12"/>
    </row>
    <row r="208" s="1" customFormat="1" ht="29.1" customHeight="1" spans="1:22">
      <c r="A208" s="62">
        <v>46195</v>
      </c>
      <c r="B208" s="63" t="s">
        <v>1473</v>
      </c>
      <c r="C208" s="64" t="s">
        <v>1474</v>
      </c>
      <c r="D208" s="65" t="s">
        <v>1475</v>
      </c>
      <c r="E208" s="67" t="s">
        <v>1476</v>
      </c>
      <c r="F208" s="67">
        <v>46092</v>
      </c>
      <c r="G208" s="67" t="str">
        <f>VLOOKUP(F208,[4]装箱单!$A:$C,3,0)</f>
        <v>玩具总动员系列</v>
      </c>
      <c r="H208" s="67">
        <v>60</v>
      </c>
      <c r="I208" s="68">
        <f t="shared" si="49"/>
        <v>120</v>
      </c>
      <c r="J208" s="45" t="s">
        <v>47</v>
      </c>
      <c r="K208" s="68" t="s">
        <v>33</v>
      </c>
      <c r="L208" s="69">
        <v>60</v>
      </c>
      <c r="M208" s="65">
        <f t="shared" si="47"/>
        <v>1.34194308192</v>
      </c>
      <c r="N208" s="69" t="s">
        <v>34</v>
      </c>
      <c r="O208" s="67"/>
      <c r="P208" s="74"/>
      <c r="Q208" s="71">
        <f>VLOOKUP($F208,[4]装箱单!$A:$E,5,0)</f>
        <v>40.01</v>
      </c>
      <c r="R208" s="71">
        <f>VLOOKUP($F208,[4]装箱单!$A:$F,6,0)</f>
        <v>26.67</v>
      </c>
      <c r="S208" s="71">
        <f>VLOOKUP($F208,[4]装箱单!$A:$G,7,0)</f>
        <v>20.96</v>
      </c>
      <c r="T208" s="72">
        <f>VLOOKUP($F208,[4]装箱单!$A:$J,10,0)</f>
        <v>0.022365718032</v>
      </c>
      <c r="U208" s="73">
        <f t="shared" si="48"/>
        <v>1.34194308192</v>
      </c>
      <c r="V208" s="12"/>
    </row>
    <row r="209" s="1" customFormat="1" ht="29.1" customHeight="1" spans="1:22">
      <c r="A209" s="62">
        <v>46195</v>
      </c>
      <c r="B209" s="63" t="s">
        <v>432</v>
      </c>
      <c r="C209" s="64" t="s">
        <v>1478</v>
      </c>
      <c r="D209" s="65" t="s">
        <v>1479</v>
      </c>
      <c r="E209" s="67" t="s">
        <v>1480</v>
      </c>
      <c r="F209" s="67" t="s">
        <v>1481</v>
      </c>
      <c r="G209" s="67" t="str">
        <f>VLOOKUP(F209,[4]装箱单!$A:$C,3,0)</f>
        <v>搪胶小鸭子系列</v>
      </c>
      <c r="H209" s="67">
        <v>834</v>
      </c>
      <c r="I209" s="68">
        <f>+L209*48</f>
        <v>40032</v>
      </c>
      <c r="J209" s="68" t="s">
        <v>32</v>
      </c>
      <c r="K209" s="68" t="s">
        <v>33</v>
      </c>
      <c r="L209" s="69">
        <v>834</v>
      </c>
      <c r="M209" s="65">
        <f t="shared" si="47"/>
        <v>14.74071648</v>
      </c>
      <c r="N209" s="69" t="s">
        <v>34</v>
      </c>
      <c r="O209" s="67"/>
      <c r="P209" s="74"/>
      <c r="Q209" s="71">
        <f>VLOOKUP($F209,[4]装箱单!$A:$E,5,0)</f>
        <v>36.7</v>
      </c>
      <c r="R209" s="71">
        <f>VLOOKUP($F209,[4]装箱单!$A:$F,6,0)</f>
        <v>28</v>
      </c>
      <c r="S209" s="71">
        <f>VLOOKUP($F209,[4]装箱单!$A:$G,7,0)</f>
        <v>17.2</v>
      </c>
      <c r="T209" s="72">
        <f>VLOOKUP($F209,[4]装箱单!$A:$J,10,0)</f>
        <v>0.01767472</v>
      </c>
      <c r="U209" s="73">
        <f t="shared" si="48"/>
        <v>14.74071648</v>
      </c>
      <c r="V209" s="12"/>
    </row>
    <row r="210" s="1" customFormat="1" ht="29.1" customHeight="1" spans="1:22">
      <c r="A210" s="62">
        <v>46195</v>
      </c>
      <c r="B210" s="63" t="s">
        <v>1439</v>
      </c>
      <c r="C210" s="64" t="s">
        <v>1443</v>
      </c>
      <c r="D210" s="65" t="s">
        <v>1444</v>
      </c>
      <c r="E210" s="67" t="s">
        <v>1445</v>
      </c>
      <c r="F210" s="67" t="s">
        <v>279</v>
      </c>
      <c r="G210" s="67" t="str">
        <f>VLOOKUP(F210,[4]装箱单!$A:$C,3,0)</f>
        <v>假日小鸭</v>
      </c>
      <c r="H210" s="67">
        <v>326</v>
      </c>
      <c r="I210" s="68">
        <f t="shared" ref="I210:I213" si="50">+L210*18</f>
        <v>5868</v>
      </c>
      <c r="J210" s="68" t="s">
        <v>32</v>
      </c>
      <c r="K210" s="68" t="s">
        <v>33</v>
      </c>
      <c r="L210" s="69">
        <v>326</v>
      </c>
      <c r="M210" s="65">
        <f t="shared" si="47"/>
        <v>1.888522110045</v>
      </c>
      <c r="N210" s="69" t="s">
        <v>34</v>
      </c>
      <c r="O210" s="67"/>
      <c r="P210" s="74"/>
      <c r="Q210" s="71">
        <f>VLOOKUP($F210,[4]装箱单!$A:$E,5,0)</f>
        <v>32.385</v>
      </c>
      <c r="R210" s="71">
        <f>VLOOKUP($F210,[4]装箱单!$A:$F,6,0)</f>
        <v>18.78</v>
      </c>
      <c r="S210" s="71">
        <f>VLOOKUP($F210,[4]装箱单!$A:$G,7,0)</f>
        <v>9.525</v>
      </c>
      <c r="T210" s="72">
        <f>VLOOKUP($F210,[4]装箱单!$A:$J,10,0)</f>
        <v>0.0057930126075</v>
      </c>
      <c r="U210" s="73">
        <f t="shared" si="48"/>
        <v>1.888522110045</v>
      </c>
      <c r="V210" s="12"/>
    </row>
    <row r="211" s="1" customFormat="1" ht="29.1" customHeight="1" spans="1:22">
      <c r="A211" s="62">
        <v>46195</v>
      </c>
      <c r="B211" s="63" t="s">
        <v>1439</v>
      </c>
      <c r="C211" s="66" t="s">
        <v>1440</v>
      </c>
      <c r="D211" s="65" t="s">
        <v>1441</v>
      </c>
      <c r="E211" s="67" t="s">
        <v>1442</v>
      </c>
      <c r="F211" s="67" t="s">
        <v>280</v>
      </c>
      <c r="G211" s="67" t="str">
        <f>VLOOKUP(F211,[4]装箱单!$A:$C,3,0)</f>
        <v>鸭子</v>
      </c>
      <c r="H211" s="67">
        <v>381</v>
      </c>
      <c r="I211" s="68">
        <f t="shared" si="50"/>
        <v>6858</v>
      </c>
      <c r="J211" s="68" t="s">
        <v>32</v>
      </c>
      <c r="K211" s="68" t="s">
        <v>33</v>
      </c>
      <c r="L211" s="69">
        <v>381</v>
      </c>
      <c r="M211" s="65">
        <f t="shared" si="47"/>
        <v>2.2071378034575</v>
      </c>
      <c r="N211" s="69" t="s">
        <v>34</v>
      </c>
      <c r="O211" s="67"/>
      <c r="P211" s="74"/>
      <c r="Q211" s="71">
        <f>VLOOKUP($F211,[4]装箱单!$A:$E,5,0)</f>
        <v>32.385</v>
      </c>
      <c r="R211" s="71">
        <f>VLOOKUP($F211,[4]装箱单!$A:$F,6,0)</f>
        <v>18.78</v>
      </c>
      <c r="S211" s="71">
        <f>VLOOKUP($F211,[4]装箱单!$A:$G,7,0)</f>
        <v>9.525</v>
      </c>
      <c r="T211" s="72">
        <f>VLOOKUP($F211,[4]装箱单!$A:$J,10,0)</f>
        <v>0.0057930126075</v>
      </c>
      <c r="U211" s="73">
        <f t="shared" si="48"/>
        <v>2.2071378034575</v>
      </c>
      <c r="V211" s="12"/>
    </row>
    <row r="212" s="1" customFormat="1" ht="29.1" customHeight="1" spans="1:22">
      <c r="A212" s="62">
        <v>46195</v>
      </c>
      <c r="B212" s="63" t="s">
        <v>1439</v>
      </c>
      <c r="C212" s="64" t="s">
        <v>1440</v>
      </c>
      <c r="D212" s="65" t="s">
        <v>1441</v>
      </c>
      <c r="E212" s="67" t="s">
        <v>1442</v>
      </c>
      <c r="F212" s="67" t="s">
        <v>228</v>
      </c>
      <c r="G212" s="67" t="str">
        <f>VLOOKUP(F212,[4]装箱单!$A:$C,3,0)</f>
        <v>搪胶小鸭</v>
      </c>
      <c r="H212" s="67">
        <v>381</v>
      </c>
      <c r="I212" s="68">
        <f t="shared" si="50"/>
        <v>6858</v>
      </c>
      <c r="J212" s="68" t="s">
        <v>32</v>
      </c>
      <c r="K212" s="68" t="s">
        <v>33</v>
      </c>
      <c r="L212" s="69">
        <v>381</v>
      </c>
      <c r="M212" s="65">
        <f t="shared" si="47"/>
        <v>2.424617325</v>
      </c>
      <c r="N212" s="69" t="s">
        <v>34</v>
      </c>
      <c r="O212" s="67"/>
      <c r="P212" s="74"/>
      <c r="Q212" s="71">
        <f>VLOOKUP($F212,[4]装箱单!$A:$E,5,0)</f>
        <v>32.5</v>
      </c>
      <c r="R212" s="71">
        <f>VLOOKUP($F212,[4]装箱单!$A:$F,6,0)</f>
        <v>18.3</v>
      </c>
      <c r="S212" s="71">
        <f>VLOOKUP($F212,[4]装箱单!$A:$G,7,0)</f>
        <v>10.7</v>
      </c>
      <c r="T212" s="72">
        <f>VLOOKUP($F212,[4]装箱单!$A:$J,10,0)</f>
        <v>0.006363825</v>
      </c>
      <c r="U212" s="73">
        <f t="shared" si="48"/>
        <v>2.424617325</v>
      </c>
      <c r="V212" s="12"/>
    </row>
    <row r="213" s="1" customFormat="1" ht="29.1" customHeight="1" spans="1:22">
      <c r="A213" s="62">
        <v>46195</v>
      </c>
      <c r="B213" s="63" t="s">
        <v>1439</v>
      </c>
      <c r="C213" s="64" t="s">
        <v>1443</v>
      </c>
      <c r="D213" s="65" t="s">
        <v>1444</v>
      </c>
      <c r="E213" s="67" t="s">
        <v>1445</v>
      </c>
      <c r="F213" s="67" t="s">
        <v>111</v>
      </c>
      <c r="G213" s="67" t="str">
        <f>VLOOKUP(F213,[4]装箱单!$A:$C,3,0)</f>
        <v>鸭子</v>
      </c>
      <c r="H213" s="67">
        <v>326</v>
      </c>
      <c r="I213" s="68">
        <f t="shared" si="50"/>
        <v>5868</v>
      </c>
      <c r="J213" s="68" t="s">
        <v>32</v>
      </c>
      <c r="K213" s="68" t="s">
        <v>33</v>
      </c>
      <c r="L213" s="69">
        <v>326</v>
      </c>
      <c r="M213" s="65">
        <f t="shared" si="47"/>
        <v>1.888522110045</v>
      </c>
      <c r="N213" s="69" t="s">
        <v>34</v>
      </c>
      <c r="O213" s="67" t="s">
        <v>1482</v>
      </c>
      <c r="P213" s="74"/>
      <c r="Q213" s="71">
        <f>VLOOKUP($F213,[4]装箱单!$A:$E,5,0)</f>
        <v>32.385</v>
      </c>
      <c r="R213" s="71">
        <f>VLOOKUP($F213,[4]装箱单!$A:$F,6,0)</f>
        <v>18.78</v>
      </c>
      <c r="S213" s="71">
        <f>VLOOKUP($F213,[4]装箱单!$A:$G,7,0)</f>
        <v>9.525</v>
      </c>
      <c r="T213" s="72">
        <f>VLOOKUP($F213,[4]装箱单!$A:$J,10,0)</f>
        <v>0.0057930126075</v>
      </c>
      <c r="U213" s="73">
        <f t="shared" si="48"/>
        <v>1.888522110045</v>
      </c>
      <c r="V213" s="12"/>
    </row>
    <row r="214" s="1" customFormat="1" ht="29.1" customHeight="1" spans="1:22">
      <c r="A214" s="62"/>
      <c r="B214" s="63"/>
      <c r="C214" s="64"/>
      <c r="D214" s="65"/>
      <c r="E214" s="67"/>
      <c r="F214" s="68"/>
      <c r="G214" s="67"/>
      <c r="H214" s="67"/>
      <c r="I214" s="68"/>
      <c r="J214" s="68"/>
      <c r="K214" s="68"/>
      <c r="L214" s="69"/>
      <c r="M214" s="65">
        <f>SUM(M196:M213)</f>
        <v>124.958193908467</v>
      </c>
      <c r="N214" s="69"/>
      <c r="O214" s="67"/>
      <c r="P214" s="75"/>
      <c r="Q214" s="71"/>
      <c r="R214" s="71"/>
      <c r="S214" s="71"/>
      <c r="T214" s="72"/>
      <c r="U214" s="73"/>
      <c r="V214" s="12"/>
    </row>
    <row r="215" s="1" customFormat="1" ht="29.1" customHeight="1" spans="1:22">
      <c r="A215" s="62">
        <v>46196</v>
      </c>
      <c r="B215" s="63" t="s">
        <v>1346</v>
      </c>
      <c r="C215" s="64" t="s">
        <v>1347</v>
      </c>
      <c r="D215" s="65" t="s">
        <v>1424</v>
      </c>
      <c r="E215" s="66">
        <v>20219090</v>
      </c>
      <c r="F215" s="68">
        <v>571299</v>
      </c>
      <c r="G215" s="67" t="str">
        <f>VLOOKUP(F215,[4]装箱单!$A:$C,3,0)</f>
        <v>自卸车</v>
      </c>
      <c r="H215" s="67">
        <v>1430</v>
      </c>
      <c r="I215" s="68">
        <f t="shared" ref="I215:I218" si="51">+L215</f>
        <v>669</v>
      </c>
      <c r="J215" s="68" t="s">
        <v>32</v>
      </c>
      <c r="K215" s="68" t="s">
        <v>33</v>
      </c>
      <c r="L215" s="69">
        <f>1430-761</f>
        <v>669</v>
      </c>
      <c r="M215" s="65">
        <f t="shared" ref="M215:M218" si="52">+U215</f>
        <v>17.926524</v>
      </c>
      <c r="N215" s="69" t="s">
        <v>34</v>
      </c>
      <c r="O215" s="85"/>
      <c r="P215" s="70" t="s">
        <v>1483</v>
      </c>
      <c r="Q215" s="71">
        <f>VLOOKUP($F215,[4]装箱单!$A:$E,5,0)</f>
        <v>42</v>
      </c>
      <c r="R215" s="71">
        <f>VLOOKUP($F215,[4]装箱单!$A:$F,6,0)</f>
        <v>22</v>
      </c>
      <c r="S215" s="71">
        <f>VLOOKUP($F215,[4]装箱单!$A:$G,7,0)</f>
        <v>29</v>
      </c>
      <c r="T215" s="72">
        <f>VLOOKUP($F215,[4]装箱单!$A:$J,10,0)</f>
        <v>0.026796</v>
      </c>
      <c r="U215" s="73">
        <f t="shared" ref="U215:U218" si="53">+T215*L215</f>
        <v>17.926524</v>
      </c>
      <c r="V215" s="12"/>
    </row>
    <row r="216" s="1" customFormat="1" ht="29.1" customHeight="1" spans="1:22">
      <c r="A216" s="62">
        <v>46196</v>
      </c>
      <c r="B216" s="63" t="s">
        <v>415</v>
      </c>
      <c r="C216" s="64" t="s">
        <v>1337</v>
      </c>
      <c r="D216" s="65" t="s">
        <v>1338</v>
      </c>
      <c r="E216" s="67"/>
      <c r="F216" s="67">
        <v>470764</v>
      </c>
      <c r="G216" s="67" t="str">
        <f>VLOOKUP(F216,[4]装箱单!$A:$C,3,0)</f>
        <v>大型自卸车</v>
      </c>
      <c r="H216" s="67">
        <v>3506</v>
      </c>
      <c r="I216" s="68">
        <f t="shared" si="51"/>
        <v>2121</v>
      </c>
      <c r="J216" s="68" t="s">
        <v>32</v>
      </c>
      <c r="K216" s="68" t="s">
        <v>33</v>
      </c>
      <c r="L216" s="69">
        <v>2121</v>
      </c>
      <c r="M216" s="65">
        <f t="shared" si="52"/>
        <v>56.834316</v>
      </c>
      <c r="N216" s="69" t="s">
        <v>34</v>
      </c>
      <c r="O216" s="67"/>
      <c r="P216" s="74"/>
      <c r="Q216" s="71">
        <f>VLOOKUP($F216,[4]装箱单!$A:$E,5,0)</f>
        <v>42</v>
      </c>
      <c r="R216" s="71">
        <f>VLOOKUP($F216,[4]装箱单!$A:$F,6,0)</f>
        <v>22</v>
      </c>
      <c r="S216" s="71">
        <f>VLOOKUP($F216,[4]装箱单!$A:$G,7,0)</f>
        <v>29</v>
      </c>
      <c r="T216" s="72">
        <f>VLOOKUP($F216,[4]装箱单!$A:$J,10,0)</f>
        <v>0.026796</v>
      </c>
      <c r="U216" s="73">
        <f t="shared" si="53"/>
        <v>56.834316</v>
      </c>
      <c r="V216" s="12"/>
    </row>
    <row r="217" s="1" customFormat="1" ht="29.1" customHeight="1" spans="1:22">
      <c r="A217" s="62">
        <v>46195</v>
      </c>
      <c r="B217" s="63" t="s">
        <v>40</v>
      </c>
      <c r="C217" s="64" t="s">
        <v>1380</v>
      </c>
      <c r="D217" s="65" t="s">
        <v>1381</v>
      </c>
      <c r="E217" s="66">
        <v>993550647</v>
      </c>
      <c r="F217" s="67">
        <v>28483</v>
      </c>
      <c r="G217" s="67" t="str">
        <f>VLOOKUP(F217,[4]装箱单!$A:$C,3,0)</f>
        <v>振动球</v>
      </c>
      <c r="H217" s="67">
        <v>5580</v>
      </c>
      <c r="I217" s="68">
        <v>5580</v>
      </c>
      <c r="J217" s="68" t="s">
        <v>32</v>
      </c>
      <c r="K217" s="68" t="s">
        <v>33</v>
      </c>
      <c r="L217" s="69">
        <f>5580-3420</f>
        <v>2160</v>
      </c>
      <c r="M217" s="65">
        <f t="shared" si="52"/>
        <v>12.4690104</v>
      </c>
      <c r="N217" s="69" t="s">
        <v>34</v>
      </c>
      <c r="O217" s="86"/>
      <c r="P217" s="74"/>
      <c r="Q217" s="71">
        <f>VLOOKUP($F217,[4]装箱单!$A:$E,5,0)</f>
        <v>16.83</v>
      </c>
      <c r="R217" s="71">
        <f>VLOOKUP($F217,[4]装箱单!$A:$F,6,0)</f>
        <v>17.15</v>
      </c>
      <c r="S217" s="71">
        <f>VLOOKUP($F217,[4]装箱单!$A:$G,7,0)</f>
        <v>20</v>
      </c>
      <c r="T217" s="72">
        <f>VLOOKUP($F217,[4]装箱单!$A:$J,10,0)</f>
        <v>0.00577269</v>
      </c>
      <c r="U217" s="73">
        <f t="shared" si="53"/>
        <v>12.4690104</v>
      </c>
      <c r="V217" s="12"/>
    </row>
    <row r="218" s="1" customFormat="1" ht="29.1" customHeight="1" spans="1:22">
      <c r="A218" s="62">
        <v>46196</v>
      </c>
      <c r="B218" s="63" t="s">
        <v>40</v>
      </c>
      <c r="C218" s="64" t="s">
        <v>1484</v>
      </c>
      <c r="D218" s="65" t="s">
        <v>1485</v>
      </c>
      <c r="E218" s="140" t="s">
        <v>1486</v>
      </c>
      <c r="F218" s="67">
        <v>28483</v>
      </c>
      <c r="G218" s="67" t="str">
        <f>VLOOKUP(F218,[4]装箱单!$A:$C,3,0)</f>
        <v>振动球</v>
      </c>
      <c r="H218" s="67">
        <v>7560</v>
      </c>
      <c r="I218" s="68">
        <f t="shared" si="51"/>
        <v>7560</v>
      </c>
      <c r="J218" s="68" t="s">
        <v>32</v>
      </c>
      <c r="K218" s="68" t="s">
        <v>33</v>
      </c>
      <c r="L218" s="69">
        <v>7560</v>
      </c>
      <c r="M218" s="65">
        <f t="shared" si="52"/>
        <v>43.6415364</v>
      </c>
      <c r="N218" s="69" t="s">
        <v>34</v>
      </c>
      <c r="O218" s="67"/>
      <c r="P218" s="74"/>
      <c r="Q218" s="71">
        <f>VLOOKUP($F218,[4]装箱单!$A:$E,5,0)</f>
        <v>16.83</v>
      </c>
      <c r="R218" s="71">
        <f>VLOOKUP($F218,[4]装箱单!$A:$F,6,0)</f>
        <v>17.15</v>
      </c>
      <c r="S218" s="71">
        <f>VLOOKUP($F218,[4]装箱单!$A:$G,7,0)</f>
        <v>20</v>
      </c>
      <c r="T218" s="72">
        <f>VLOOKUP($F218,[4]装箱单!$A:$J,10,0)</f>
        <v>0.00577269</v>
      </c>
      <c r="U218" s="73">
        <f t="shared" si="53"/>
        <v>43.6415364</v>
      </c>
      <c r="V218" s="12"/>
    </row>
    <row r="219" s="1" customFormat="1" ht="29.1" customHeight="1" spans="1:22">
      <c r="A219" s="62"/>
      <c r="B219" s="63"/>
      <c r="C219" s="64"/>
      <c r="D219" s="65"/>
      <c r="E219" s="67"/>
      <c r="F219" s="67"/>
      <c r="G219" s="67"/>
      <c r="H219" s="67"/>
      <c r="I219" s="68"/>
      <c r="J219" s="68"/>
      <c r="K219" s="68"/>
      <c r="L219" s="69"/>
      <c r="M219" s="65">
        <f>SUM(M215:M218)</f>
        <v>130.8713868</v>
      </c>
      <c r="N219" s="69"/>
      <c r="O219" s="87"/>
      <c r="P219" s="75"/>
      <c r="Q219" s="71"/>
      <c r="R219" s="71"/>
      <c r="S219" s="71"/>
      <c r="T219" s="72"/>
      <c r="U219" s="73"/>
      <c r="V219" s="12"/>
    </row>
    <row r="220" s="1" customFormat="1" ht="29.1" customHeight="1" spans="1:22">
      <c r="A220" s="62">
        <v>46197</v>
      </c>
      <c r="B220" s="63" t="s">
        <v>1329</v>
      </c>
      <c r="C220" s="64">
        <v>46554</v>
      </c>
      <c r="D220" s="65" t="s">
        <v>1423</v>
      </c>
      <c r="E220" s="66"/>
      <c r="F220" s="67">
        <v>570974</v>
      </c>
      <c r="G220" s="67" t="str">
        <f>VLOOKUP(F220,[4]装箱单!$A:$C,3,0)</f>
        <v>蓝球</v>
      </c>
      <c r="H220" s="67">
        <v>2690</v>
      </c>
      <c r="I220" s="68">
        <f>+L220*1</f>
        <v>1714</v>
      </c>
      <c r="J220" s="68" t="s">
        <v>32</v>
      </c>
      <c r="K220" s="68" t="s">
        <v>33</v>
      </c>
      <c r="L220" s="69">
        <v>1714</v>
      </c>
      <c r="M220" s="65">
        <f t="shared" ref="M220:M224" si="54">+U220</f>
        <v>147.27468308784</v>
      </c>
      <c r="N220" s="69" t="s">
        <v>34</v>
      </c>
      <c r="O220" s="67"/>
      <c r="P220" s="70" t="s">
        <v>1419</v>
      </c>
      <c r="Q220" s="71">
        <f>VLOOKUP($F220,[4]装箱单!$A:$E,5,0)</f>
        <v>59.05</v>
      </c>
      <c r="R220" s="71">
        <f>VLOOKUP($F220,[4]装箱单!$A:$F,6,0)</f>
        <v>26.04</v>
      </c>
      <c r="S220" s="71">
        <f>VLOOKUP($F220,[4]装箱单!$A:$G,7,0)</f>
        <v>55.88</v>
      </c>
      <c r="T220" s="72">
        <f>VLOOKUP($F220,[4]装箱单!$A:$J,10,0)</f>
        <v>0.08592455256</v>
      </c>
      <c r="U220" s="73">
        <f t="shared" ref="U220:U224" si="55">+T220*L220</f>
        <v>147.27468308784</v>
      </c>
      <c r="V220" s="12"/>
    </row>
    <row r="221" s="1" customFormat="1" ht="29.1" customHeight="1" spans="1:22">
      <c r="A221" s="62"/>
      <c r="B221" s="63"/>
      <c r="C221" s="64"/>
      <c r="D221" s="65"/>
      <c r="E221" s="66"/>
      <c r="F221" s="67"/>
      <c r="G221" s="67"/>
      <c r="H221" s="67"/>
      <c r="I221" s="68"/>
      <c r="J221" s="68"/>
      <c r="K221" s="68"/>
      <c r="L221" s="69"/>
      <c r="M221" s="65">
        <f>+M220</f>
        <v>147.27468308784</v>
      </c>
      <c r="N221" s="69"/>
      <c r="O221" s="67"/>
      <c r="P221" s="75"/>
      <c r="Q221" s="71"/>
      <c r="R221" s="71"/>
      <c r="S221" s="71"/>
      <c r="T221" s="72"/>
      <c r="U221" s="73"/>
      <c r="V221" s="12"/>
    </row>
    <row r="222" s="1" customFormat="1" ht="29.1" customHeight="1" spans="1:22">
      <c r="A222" s="62">
        <v>46198</v>
      </c>
      <c r="B222" s="63" t="s">
        <v>415</v>
      </c>
      <c r="C222" s="64" t="s">
        <v>1337</v>
      </c>
      <c r="D222" s="65" t="s">
        <v>1338</v>
      </c>
      <c r="E222" s="67"/>
      <c r="F222" s="67">
        <v>470764</v>
      </c>
      <c r="G222" s="67" t="str">
        <f>VLOOKUP(F222,[4]装箱单!$A:$C,3,0)</f>
        <v>大型自卸车</v>
      </c>
      <c r="H222" s="67">
        <v>3506</v>
      </c>
      <c r="I222" s="68">
        <f t="shared" ref="I222:I226" si="56">+L222</f>
        <v>573</v>
      </c>
      <c r="J222" s="68" t="s">
        <v>32</v>
      </c>
      <c r="K222" s="68" t="s">
        <v>33</v>
      </c>
      <c r="L222" s="69">
        <f>3506-720-92-2121</f>
        <v>573</v>
      </c>
      <c r="M222" s="65">
        <f t="shared" si="54"/>
        <v>15.354108</v>
      </c>
      <c r="N222" s="69" t="s">
        <v>34</v>
      </c>
      <c r="O222" s="67"/>
      <c r="P222" s="70" t="s">
        <v>1487</v>
      </c>
      <c r="Q222" s="71">
        <f>VLOOKUP($F222,[4]装箱单!$A:$E,5,0)</f>
        <v>42</v>
      </c>
      <c r="R222" s="71">
        <f>VLOOKUP($F222,[4]装箱单!$A:$F,6,0)</f>
        <v>22</v>
      </c>
      <c r="S222" s="71">
        <f>VLOOKUP($F222,[4]装箱单!$A:$G,7,0)</f>
        <v>29</v>
      </c>
      <c r="T222" s="72">
        <f>VLOOKUP($F222,[4]装箱单!$A:$J,10,0)</f>
        <v>0.026796</v>
      </c>
      <c r="U222" s="73">
        <f t="shared" si="55"/>
        <v>15.354108</v>
      </c>
      <c r="V222" s="12"/>
    </row>
    <row r="223" s="1" customFormat="1" ht="29.1" customHeight="1" spans="1:22">
      <c r="A223" s="62">
        <v>46198</v>
      </c>
      <c r="B223" s="63" t="s">
        <v>40</v>
      </c>
      <c r="C223" s="64" t="s">
        <v>1488</v>
      </c>
      <c r="D223" s="65" t="s">
        <v>1489</v>
      </c>
      <c r="E223" s="140" t="s">
        <v>1490</v>
      </c>
      <c r="F223" s="67">
        <v>28483</v>
      </c>
      <c r="G223" s="67" t="str">
        <f>VLOOKUP(F223,[4]装箱单!$A:$C,3,0)</f>
        <v>振动球</v>
      </c>
      <c r="H223" s="67">
        <v>3780</v>
      </c>
      <c r="I223" s="68">
        <f t="shared" si="56"/>
        <v>3780</v>
      </c>
      <c r="J223" s="68" t="s">
        <v>32</v>
      </c>
      <c r="K223" s="68" t="s">
        <v>33</v>
      </c>
      <c r="L223" s="69">
        <v>3780</v>
      </c>
      <c r="M223" s="65">
        <f t="shared" si="54"/>
        <v>21.8207682</v>
      </c>
      <c r="N223" s="69" t="s">
        <v>34</v>
      </c>
      <c r="O223" s="67"/>
      <c r="P223" s="74"/>
      <c r="Q223" s="71">
        <f>VLOOKUP($F223,[4]装箱单!$A:$E,5,0)</f>
        <v>16.83</v>
      </c>
      <c r="R223" s="71">
        <f>VLOOKUP($F223,[4]装箱单!$A:$F,6,0)</f>
        <v>17.15</v>
      </c>
      <c r="S223" s="71">
        <f>VLOOKUP($F223,[4]装箱单!$A:$G,7,0)</f>
        <v>20</v>
      </c>
      <c r="T223" s="72">
        <f>VLOOKUP($F223,[4]装箱单!$A:$J,10,0)</f>
        <v>0.00577269</v>
      </c>
      <c r="U223" s="73">
        <f t="shared" si="55"/>
        <v>21.8207682</v>
      </c>
      <c r="V223" s="12"/>
    </row>
    <row r="224" s="1" customFormat="1" ht="29.1" customHeight="1" spans="1:22">
      <c r="A224" s="62">
        <v>46198</v>
      </c>
      <c r="B224" s="63" t="s">
        <v>1329</v>
      </c>
      <c r="C224" s="64">
        <v>46554</v>
      </c>
      <c r="D224" s="65" t="s">
        <v>1423</v>
      </c>
      <c r="E224" s="66"/>
      <c r="F224" s="67">
        <v>570974</v>
      </c>
      <c r="G224" s="67" t="str">
        <f>VLOOKUP(F224,[4]装箱单!$A:$C,3,0)</f>
        <v>蓝球</v>
      </c>
      <c r="H224" s="67">
        <v>2690</v>
      </c>
      <c r="I224" s="68">
        <f>+L224*1</f>
        <v>976</v>
      </c>
      <c r="J224" s="68" t="s">
        <v>32</v>
      </c>
      <c r="K224" s="68" t="s">
        <v>33</v>
      </c>
      <c r="L224" s="69">
        <f>2690-1714</f>
        <v>976</v>
      </c>
      <c r="M224" s="65">
        <f t="shared" si="54"/>
        <v>83.86236329856</v>
      </c>
      <c r="N224" s="69" t="s">
        <v>34</v>
      </c>
      <c r="O224" s="67"/>
      <c r="P224" s="74"/>
      <c r="Q224" s="71">
        <f>VLOOKUP($F224,[4]装箱单!$A:$E,5,0)</f>
        <v>59.05</v>
      </c>
      <c r="R224" s="71">
        <f>VLOOKUP($F224,[4]装箱单!$A:$F,6,0)</f>
        <v>26.04</v>
      </c>
      <c r="S224" s="71">
        <f>VLOOKUP($F224,[4]装箱单!$A:$G,7,0)</f>
        <v>55.88</v>
      </c>
      <c r="T224" s="72">
        <f>VLOOKUP($F224,[4]装箱单!$A:$J,10,0)</f>
        <v>0.08592455256</v>
      </c>
      <c r="U224" s="73">
        <f t="shared" si="55"/>
        <v>83.86236329856</v>
      </c>
      <c r="V224" s="12"/>
    </row>
    <row r="225" s="1" customFormat="1" ht="29.1" customHeight="1" spans="1:22">
      <c r="A225" s="62"/>
      <c r="B225" s="63"/>
      <c r="C225" s="64"/>
      <c r="D225" s="65"/>
      <c r="E225" s="67"/>
      <c r="F225" s="67"/>
      <c r="G225" s="67"/>
      <c r="H225" s="67"/>
      <c r="I225" s="68"/>
      <c r="J225" s="68"/>
      <c r="K225" s="68"/>
      <c r="L225" s="69"/>
      <c r="M225" s="65">
        <f>SUM(M222:M224)</f>
        <v>121.03723949856</v>
      </c>
      <c r="N225" s="69"/>
      <c r="O225" s="87"/>
      <c r="P225" s="75"/>
      <c r="Q225" s="71"/>
      <c r="R225" s="71"/>
      <c r="S225" s="71"/>
      <c r="T225" s="72"/>
      <c r="U225" s="73"/>
      <c r="V225" s="12"/>
    </row>
    <row r="226" s="1" customFormat="1" ht="29.1" customHeight="1" spans="1:22">
      <c r="A226" s="62">
        <v>46199</v>
      </c>
      <c r="B226" s="63" t="s">
        <v>415</v>
      </c>
      <c r="C226" s="64" t="s">
        <v>1491</v>
      </c>
      <c r="D226" s="65" t="s">
        <v>1338</v>
      </c>
      <c r="E226" s="66" t="s">
        <v>1492</v>
      </c>
      <c r="F226" s="68">
        <v>470764</v>
      </c>
      <c r="G226" s="67" t="str">
        <f>VLOOKUP(F226,[4]装箱单!$A:$C,3,0)</f>
        <v>大型自卸车</v>
      </c>
      <c r="H226" s="67">
        <v>1039</v>
      </c>
      <c r="I226" s="68">
        <f t="shared" si="56"/>
        <v>1039</v>
      </c>
      <c r="J226" s="68" t="s">
        <v>32</v>
      </c>
      <c r="K226" s="68" t="s">
        <v>33</v>
      </c>
      <c r="L226" s="69">
        <v>1039</v>
      </c>
      <c r="M226" s="65">
        <f t="shared" ref="M226:M229" si="57">+U226</f>
        <v>27.841044</v>
      </c>
      <c r="N226" s="69" t="s">
        <v>34</v>
      </c>
      <c r="O226" s="87"/>
      <c r="P226" s="70" t="s">
        <v>1493</v>
      </c>
      <c r="Q226" s="71">
        <f>VLOOKUP($F226,[4]装箱单!$A:$E,5,0)</f>
        <v>42</v>
      </c>
      <c r="R226" s="71">
        <f>VLOOKUP($F226,[4]装箱单!$A:$F,6,0)</f>
        <v>22</v>
      </c>
      <c r="S226" s="71">
        <f>VLOOKUP($F226,[4]装箱单!$A:$G,7,0)</f>
        <v>29</v>
      </c>
      <c r="T226" s="72">
        <f>VLOOKUP($F226,[4]装箱单!$A:$J,10,0)</f>
        <v>0.026796</v>
      </c>
      <c r="U226" s="73">
        <f t="shared" ref="U226:U229" si="58">+T226*L226</f>
        <v>27.841044</v>
      </c>
      <c r="V226" s="12"/>
    </row>
    <row r="227" s="1" customFormat="1" ht="29.1" customHeight="1" spans="1:22">
      <c r="A227" s="62">
        <v>46199</v>
      </c>
      <c r="B227" s="63" t="s">
        <v>415</v>
      </c>
      <c r="C227" s="64" t="s">
        <v>1494</v>
      </c>
      <c r="D227" s="65" t="s">
        <v>1338</v>
      </c>
      <c r="E227" s="66" t="s">
        <v>1495</v>
      </c>
      <c r="F227" s="67">
        <v>470764</v>
      </c>
      <c r="G227" s="67" t="str">
        <f>VLOOKUP(F227,[4]装箱单!$A:$C,3,0)</f>
        <v>大型自卸车</v>
      </c>
      <c r="H227" s="67">
        <v>1461</v>
      </c>
      <c r="I227" s="68">
        <f>+L227*1</f>
        <v>1444</v>
      </c>
      <c r="J227" s="68" t="s">
        <v>32</v>
      </c>
      <c r="K227" s="68" t="s">
        <v>33</v>
      </c>
      <c r="L227" s="69">
        <v>1444</v>
      </c>
      <c r="M227" s="65">
        <f t="shared" si="57"/>
        <v>38.693424</v>
      </c>
      <c r="N227" s="69" t="s">
        <v>34</v>
      </c>
      <c r="O227" s="67"/>
      <c r="P227" s="74"/>
      <c r="Q227" s="71">
        <f>VLOOKUP($F227,[4]装箱单!$A:$E,5,0)</f>
        <v>42</v>
      </c>
      <c r="R227" s="71">
        <f>VLOOKUP($F227,[4]装箱单!$A:$F,6,0)</f>
        <v>22</v>
      </c>
      <c r="S227" s="71">
        <f>VLOOKUP($F227,[4]装箱单!$A:$G,7,0)</f>
        <v>29</v>
      </c>
      <c r="T227" s="72">
        <f>VLOOKUP($F227,[4]装箱单!$A:$J,10,0)</f>
        <v>0.026796</v>
      </c>
      <c r="U227" s="73">
        <f t="shared" si="58"/>
        <v>38.693424</v>
      </c>
      <c r="V227" s="12"/>
    </row>
    <row r="228" s="1" customFormat="1" ht="29.1" customHeight="1" spans="1:22">
      <c r="A228" s="62">
        <v>46199</v>
      </c>
      <c r="B228" s="63" t="s">
        <v>40</v>
      </c>
      <c r="C228" s="64" t="s">
        <v>1496</v>
      </c>
      <c r="D228" s="65" t="s">
        <v>1485</v>
      </c>
      <c r="E228" s="140" t="s">
        <v>1497</v>
      </c>
      <c r="F228" s="67">
        <v>28483</v>
      </c>
      <c r="G228" s="67" t="str">
        <f>VLOOKUP(F228,[4]装箱单!$A:$C,3,0)</f>
        <v>振动球</v>
      </c>
      <c r="H228" s="67">
        <v>5580</v>
      </c>
      <c r="I228" s="68">
        <f>+L228</f>
        <v>5580</v>
      </c>
      <c r="J228" s="68" t="s">
        <v>32</v>
      </c>
      <c r="K228" s="68" t="s">
        <v>33</v>
      </c>
      <c r="L228" s="69">
        <v>5580</v>
      </c>
      <c r="M228" s="65">
        <f t="shared" si="57"/>
        <v>32.2116102</v>
      </c>
      <c r="N228" s="69" t="s">
        <v>34</v>
      </c>
      <c r="O228" s="67"/>
      <c r="P228" s="74"/>
      <c r="Q228" s="71">
        <f>VLOOKUP($F228,[4]装箱单!$A:$E,5,0)</f>
        <v>16.83</v>
      </c>
      <c r="R228" s="71">
        <f>VLOOKUP($F228,[4]装箱单!$A:$F,6,0)</f>
        <v>17.15</v>
      </c>
      <c r="S228" s="71">
        <f>VLOOKUP($F228,[4]装箱单!$A:$G,7,0)</f>
        <v>20</v>
      </c>
      <c r="T228" s="72">
        <f>VLOOKUP($F228,[4]装箱单!$A:$J,10,0)</f>
        <v>0.00577269</v>
      </c>
      <c r="U228" s="73">
        <f t="shared" si="58"/>
        <v>32.2116102</v>
      </c>
      <c r="V228" s="12"/>
    </row>
    <row r="229" s="1" customFormat="1" ht="29.1" customHeight="1" spans="1:22">
      <c r="A229" s="62">
        <v>46199</v>
      </c>
      <c r="B229" s="63" t="s">
        <v>40</v>
      </c>
      <c r="C229" s="64" t="s">
        <v>1498</v>
      </c>
      <c r="D229" s="65" t="s">
        <v>1485</v>
      </c>
      <c r="E229" s="140" t="s">
        <v>1499</v>
      </c>
      <c r="F229" s="67">
        <v>28483</v>
      </c>
      <c r="G229" s="67" t="str">
        <f>VLOOKUP(F229,[4]装箱单!$A:$C,3,0)</f>
        <v>振动球</v>
      </c>
      <c r="H229" s="67">
        <v>5580</v>
      </c>
      <c r="I229" s="68">
        <f>+L229</f>
        <v>5580</v>
      </c>
      <c r="J229" s="68" t="s">
        <v>32</v>
      </c>
      <c r="K229" s="68" t="s">
        <v>33</v>
      </c>
      <c r="L229" s="69">
        <v>5580</v>
      </c>
      <c r="M229" s="65">
        <f t="shared" si="57"/>
        <v>32.2116102</v>
      </c>
      <c r="N229" s="69" t="s">
        <v>34</v>
      </c>
      <c r="O229" s="67"/>
      <c r="P229" s="74"/>
      <c r="Q229" s="71">
        <f>VLOOKUP($F229,[4]装箱单!$A:$E,5,0)</f>
        <v>16.83</v>
      </c>
      <c r="R229" s="71">
        <f>VLOOKUP($F229,[4]装箱单!$A:$F,6,0)</f>
        <v>17.15</v>
      </c>
      <c r="S229" s="71">
        <f>VLOOKUP($F229,[4]装箱单!$A:$G,7,0)</f>
        <v>20</v>
      </c>
      <c r="T229" s="72">
        <f>VLOOKUP($F229,[4]装箱单!$A:$J,10,0)</f>
        <v>0.00577269</v>
      </c>
      <c r="U229" s="73">
        <f t="shared" si="58"/>
        <v>32.2116102</v>
      </c>
      <c r="V229" s="12"/>
    </row>
    <row r="230" s="1" customFormat="1" ht="29.1" customHeight="1" spans="1:22">
      <c r="A230" s="62"/>
      <c r="B230" s="63"/>
      <c r="C230" s="64"/>
      <c r="D230" s="65"/>
      <c r="E230" s="66"/>
      <c r="F230" s="68"/>
      <c r="G230" s="67"/>
      <c r="H230" s="67"/>
      <c r="I230" s="68"/>
      <c r="J230" s="68"/>
      <c r="K230" s="68"/>
      <c r="L230" s="69"/>
      <c r="M230" s="65">
        <f>SUM(M226:M229)</f>
        <v>130.9576884</v>
      </c>
      <c r="N230" s="69"/>
      <c r="O230" s="67"/>
      <c r="P230" s="75"/>
      <c r="Q230" s="71"/>
      <c r="R230" s="71"/>
      <c r="S230" s="71"/>
      <c r="T230" s="72"/>
      <c r="U230" s="73"/>
      <c r="V230" s="12"/>
    </row>
    <row r="231" s="1" customFormat="1" ht="29.1" customHeight="1" spans="1:22">
      <c r="A231" s="62">
        <v>46200</v>
      </c>
      <c r="B231" s="63" t="s">
        <v>40</v>
      </c>
      <c r="C231" s="64" t="s">
        <v>1488</v>
      </c>
      <c r="D231" s="65" t="s">
        <v>1489</v>
      </c>
      <c r="E231" s="140" t="s">
        <v>1490</v>
      </c>
      <c r="F231" s="68">
        <v>28481</v>
      </c>
      <c r="G231" s="67" t="str">
        <f>VLOOKUP(F231,[4]装箱单!$A:$C,3,0)</f>
        <v>骰子</v>
      </c>
      <c r="H231" s="67">
        <v>240</v>
      </c>
      <c r="I231" s="68">
        <f t="shared" ref="I231:I234" si="59">+L231*4</f>
        <v>960</v>
      </c>
      <c r="J231" s="45" t="s">
        <v>47</v>
      </c>
      <c r="K231" s="68" t="s">
        <v>33</v>
      </c>
      <c r="L231" s="69">
        <v>240</v>
      </c>
      <c r="M231" s="65">
        <f t="shared" ref="M231:M238" si="60">+U231</f>
        <v>2.41914438192</v>
      </c>
      <c r="N231" s="69" t="s">
        <v>34</v>
      </c>
      <c r="O231" s="67"/>
      <c r="P231" s="70" t="s">
        <v>1500</v>
      </c>
      <c r="Q231" s="71">
        <f>VLOOKUP($F231,[4]装箱单!$A:$E,5,0)</f>
        <v>23.81</v>
      </c>
      <c r="R231" s="71">
        <f>VLOOKUP($F231,[4]装箱单!$A:$F,6,0)</f>
        <v>17.78</v>
      </c>
      <c r="S231" s="71">
        <f>VLOOKUP($F231,[4]装箱单!$A:$G,7,0)</f>
        <v>23.81</v>
      </c>
      <c r="T231" s="72">
        <f>VLOOKUP($F231,[4]装箱单!$A:$J,10,0)</f>
        <v>0.010079768258</v>
      </c>
      <c r="U231" s="73">
        <f t="shared" ref="U231:U238" si="61">+T231*L231</f>
        <v>2.41914438192</v>
      </c>
      <c r="V231" s="12"/>
    </row>
    <row r="232" s="1" customFormat="1" ht="29.1" customHeight="1" spans="1:22">
      <c r="A232" s="62">
        <v>46200</v>
      </c>
      <c r="B232" s="63" t="s">
        <v>40</v>
      </c>
      <c r="C232" s="64" t="s">
        <v>1484</v>
      </c>
      <c r="D232" s="65" t="s">
        <v>1485</v>
      </c>
      <c r="E232" s="140" t="s">
        <v>1486</v>
      </c>
      <c r="F232" s="68">
        <v>28481</v>
      </c>
      <c r="G232" s="67" t="str">
        <f>VLOOKUP(F232,[4]装箱单!$A:$C,3,0)</f>
        <v>骰子</v>
      </c>
      <c r="H232" s="67">
        <v>360</v>
      </c>
      <c r="I232" s="68">
        <f t="shared" si="59"/>
        <v>1440</v>
      </c>
      <c r="J232" s="45" t="s">
        <v>47</v>
      </c>
      <c r="K232" s="68" t="s">
        <v>33</v>
      </c>
      <c r="L232" s="69">
        <v>360</v>
      </c>
      <c r="M232" s="65">
        <f t="shared" si="60"/>
        <v>3.62871657288</v>
      </c>
      <c r="N232" s="69" t="s">
        <v>34</v>
      </c>
      <c r="O232" s="67"/>
      <c r="P232" s="74"/>
      <c r="Q232" s="71">
        <f>VLOOKUP($F232,[4]装箱单!$A:$E,5,0)</f>
        <v>23.81</v>
      </c>
      <c r="R232" s="71">
        <f>VLOOKUP($F232,[4]装箱单!$A:$F,6,0)</f>
        <v>17.78</v>
      </c>
      <c r="S232" s="71">
        <f>VLOOKUP($F232,[4]装箱单!$A:$G,7,0)</f>
        <v>23.81</v>
      </c>
      <c r="T232" s="72">
        <f>VLOOKUP($F232,[4]装箱单!$A:$J,10,0)</f>
        <v>0.010079768258</v>
      </c>
      <c r="U232" s="73">
        <f t="shared" si="61"/>
        <v>3.62871657288</v>
      </c>
      <c r="V232" s="12"/>
    </row>
    <row r="233" s="1" customFormat="1" ht="29.1" customHeight="1" spans="1:22">
      <c r="A233" s="62">
        <v>46200</v>
      </c>
      <c r="B233" s="63" t="s">
        <v>40</v>
      </c>
      <c r="C233" s="64" t="s">
        <v>1501</v>
      </c>
      <c r="D233" s="65" t="s">
        <v>1502</v>
      </c>
      <c r="E233" s="66">
        <v>993550645</v>
      </c>
      <c r="F233" s="68">
        <v>28481</v>
      </c>
      <c r="G233" s="67" t="str">
        <f>VLOOKUP(F233,[4]装箱单!$A:$C,3,0)</f>
        <v>骰子</v>
      </c>
      <c r="H233" s="67">
        <v>360</v>
      </c>
      <c r="I233" s="68">
        <f t="shared" si="59"/>
        <v>1440</v>
      </c>
      <c r="J233" s="45" t="s">
        <v>47</v>
      </c>
      <c r="K233" s="68" t="s">
        <v>33</v>
      </c>
      <c r="L233" s="69">
        <v>360</v>
      </c>
      <c r="M233" s="65">
        <f t="shared" si="60"/>
        <v>3.62871657288</v>
      </c>
      <c r="N233" s="69" t="s">
        <v>34</v>
      </c>
      <c r="O233" s="67"/>
      <c r="P233" s="74"/>
      <c r="Q233" s="71">
        <f>VLOOKUP($F233,[4]装箱单!$A:$E,5,0)</f>
        <v>23.81</v>
      </c>
      <c r="R233" s="71">
        <f>VLOOKUP($F233,[4]装箱单!$A:$F,6,0)</f>
        <v>17.78</v>
      </c>
      <c r="S233" s="71">
        <f>VLOOKUP($F233,[4]装箱单!$A:$G,7,0)</f>
        <v>23.81</v>
      </c>
      <c r="T233" s="72">
        <f>VLOOKUP($F233,[4]装箱单!$A:$J,10,0)</f>
        <v>0.010079768258</v>
      </c>
      <c r="U233" s="73">
        <f t="shared" si="61"/>
        <v>3.62871657288</v>
      </c>
      <c r="V233" s="12"/>
    </row>
    <row r="234" s="1" customFormat="1" ht="29.1" customHeight="1" spans="1:22">
      <c r="A234" s="62">
        <v>46200</v>
      </c>
      <c r="B234" s="63" t="s">
        <v>40</v>
      </c>
      <c r="C234" s="64" t="s">
        <v>1498</v>
      </c>
      <c r="D234" s="65" t="s">
        <v>1503</v>
      </c>
      <c r="E234" s="66">
        <v>993550642</v>
      </c>
      <c r="F234" s="68">
        <v>28481</v>
      </c>
      <c r="G234" s="67" t="str">
        <f>VLOOKUP(F234,[4]装箱单!$A:$C,3,0)</f>
        <v>骰子</v>
      </c>
      <c r="H234" s="67">
        <v>360</v>
      </c>
      <c r="I234" s="68">
        <f t="shared" si="59"/>
        <v>1440</v>
      </c>
      <c r="J234" s="45" t="s">
        <v>47</v>
      </c>
      <c r="K234" s="68" t="s">
        <v>33</v>
      </c>
      <c r="L234" s="69">
        <v>360</v>
      </c>
      <c r="M234" s="65">
        <f t="shared" si="60"/>
        <v>3.62871657288</v>
      </c>
      <c r="N234" s="69" t="s">
        <v>34</v>
      </c>
      <c r="O234" s="67"/>
      <c r="P234" s="74"/>
      <c r="Q234" s="71">
        <f>VLOOKUP($F234,[4]装箱单!$A:$E,5,0)</f>
        <v>23.81</v>
      </c>
      <c r="R234" s="71">
        <f>VLOOKUP($F234,[4]装箱单!$A:$F,6,0)</f>
        <v>17.78</v>
      </c>
      <c r="S234" s="71">
        <f>VLOOKUP($F234,[4]装箱单!$A:$G,7,0)</f>
        <v>23.81</v>
      </c>
      <c r="T234" s="72">
        <f>VLOOKUP($F234,[4]装箱单!$A:$J,10,0)</f>
        <v>0.010079768258</v>
      </c>
      <c r="U234" s="73">
        <f t="shared" si="61"/>
        <v>3.62871657288</v>
      </c>
      <c r="V234" s="12"/>
    </row>
    <row r="235" s="1" customFormat="1" ht="29.1" customHeight="1" spans="1:22">
      <c r="A235" s="62">
        <v>46200</v>
      </c>
      <c r="B235" s="88" t="s">
        <v>1504</v>
      </c>
      <c r="C235" s="64" t="s">
        <v>1505</v>
      </c>
      <c r="D235" s="65" t="s">
        <v>1506</v>
      </c>
      <c r="E235" s="66" t="s">
        <v>1507</v>
      </c>
      <c r="F235" s="66">
        <v>46092</v>
      </c>
      <c r="G235" s="67" t="str">
        <f>VLOOKUP(F235,[4]装箱单!$A:$C,3,0)</f>
        <v>玩具总动员系列</v>
      </c>
      <c r="H235" s="67">
        <v>2850</v>
      </c>
      <c r="I235" s="68">
        <v>5700</v>
      </c>
      <c r="J235" s="45" t="s">
        <v>47</v>
      </c>
      <c r="K235" s="68" t="s">
        <v>33</v>
      </c>
      <c r="L235" s="69">
        <v>2850</v>
      </c>
      <c r="M235" s="65">
        <f t="shared" si="60"/>
        <v>63.7422963912</v>
      </c>
      <c r="N235" s="69" t="s">
        <v>34</v>
      </c>
      <c r="O235" s="67"/>
      <c r="P235" s="74"/>
      <c r="Q235" s="71">
        <f>VLOOKUP($F235,[4]装箱单!$A:$E,5,0)</f>
        <v>40.01</v>
      </c>
      <c r="R235" s="71">
        <f>VLOOKUP($F235,[4]装箱单!$A:$F,6,0)</f>
        <v>26.67</v>
      </c>
      <c r="S235" s="71">
        <f>VLOOKUP($F235,[4]装箱单!$A:$G,7,0)</f>
        <v>20.96</v>
      </c>
      <c r="T235" s="72">
        <f>VLOOKUP($F235,[4]装箱单!$A:$J,10,0)</f>
        <v>0.022365718032</v>
      </c>
      <c r="U235" s="73">
        <f t="shared" si="61"/>
        <v>63.7422963912</v>
      </c>
      <c r="V235" s="12"/>
    </row>
    <row r="236" s="1" customFormat="1" ht="29.1" customHeight="1" spans="1:22">
      <c r="A236" s="62">
        <v>46200</v>
      </c>
      <c r="B236" s="63" t="s">
        <v>1283</v>
      </c>
      <c r="C236" s="64" t="s">
        <v>1508</v>
      </c>
      <c r="D236" s="65" t="s">
        <v>1509</v>
      </c>
      <c r="E236" s="66">
        <v>137073</v>
      </c>
      <c r="F236" s="67" t="s">
        <v>1449</v>
      </c>
      <c r="G236" s="67" t="str">
        <f>VLOOKUP(F236,[4]装箱单!$A:$C,3,0)</f>
        <v>鸭子</v>
      </c>
      <c r="H236" s="67">
        <v>624</v>
      </c>
      <c r="I236" s="68">
        <f t="shared" ref="I236:I238" si="62">+L236*48</f>
        <v>29952</v>
      </c>
      <c r="J236" s="68" t="s">
        <v>32</v>
      </c>
      <c r="K236" s="68" t="s">
        <v>33</v>
      </c>
      <c r="L236" s="69">
        <v>624</v>
      </c>
      <c r="M236" s="65">
        <f t="shared" si="60"/>
        <v>25.504859952</v>
      </c>
      <c r="N236" s="46" t="s">
        <v>34</v>
      </c>
      <c r="O236" s="67"/>
      <c r="P236" s="74"/>
      <c r="Q236" s="71">
        <f>VLOOKUP($F236,[4]装箱单!$A:$E,5,0)</f>
        <v>37.15</v>
      </c>
      <c r="R236" s="71">
        <f>VLOOKUP($F236,[4]装箱单!$A:$F,6,0)</f>
        <v>33</v>
      </c>
      <c r="S236" s="71">
        <f>VLOOKUP($F236,[4]装箱单!$A:$G,7,0)</f>
        <v>33.34</v>
      </c>
      <c r="T236" s="72">
        <f>VLOOKUP($F236,[4]装箱单!$A:$J,10,0)</f>
        <v>0.040873173</v>
      </c>
      <c r="U236" s="73">
        <f t="shared" si="61"/>
        <v>25.504859952</v>
      </c>
      <c r="V236" s="12"/>
    </row>
    <row r="237" s="1" customFormat="1" ht="29.1" customHeight="1" spans="1:22">
      <c r="A237" s="62">
        <v>46200</v>
      </c>
      <c r="B237" s="63" t="s">
        <v>1283</v>
      </c>
      <c r="C237" s="64" t="s">
        <v>1510</v>
      </c>
      <c r="D237" s="65" t="s">
        <v>1511</v>
      </c>
      <c r="E237" s="66">
        <v>137069</v>
      </c>
      <c r="F237" s="67" t="s">
        <v>1449</v>
      </c>
      <c r="G237" s="67" t="str">
        <f>VLOOKUP(F237,[4]装箱单!$A:$C,3,0)</f>
        <v>鸭子</v>
      </c>
      <c r="H237" s="67">
        <v>576</v>
      </c>
      <c r="I237" s="68">
        <f t="shared" si="62"/>
        <v>27648</v>
      </c>
      <c r="J237" s="68" t="s">
        <v>32</v>
      </c>
      <c r="K237" s="68" t="s">
        <v>33</v>
      </c>
      <c r="L237" s="69">
        <v>576</v>
      </c>
      <c r="M237" s="65">
        <f t="shared" si="60"/>
        <v>23.542947648</v>
      </c>
      <c r="N237" s="46" t="s">
        <v>34</v>
      </c>
      <c r="O237" s="67"/>
      <c r="P237" s="74"/>
      <c r="Q237" s="71">
        <f>VLOOKUP($F237,[4]装箱单!$A:$E,5,0)</f>
        <v>37.15</v>
      </c>
      <c r="R237" s="71">
        <f>VLOOKUP($F237,[4]装箱单!$A:$F,6,0)</f>
        <v>33</v>
      </c>
      <c r="S237" s="71">
        <f>VLOOKUP($F237,[4]装箱单!$A:$G,7,0)</f>
        <v>33.34</v>
      </c>
      <c r="T237" s="72">
        <f>VLOOKUP($F237,[4]装箱单!$A:$J,10,0)</f>
        <v>0.040873173</v>
      </c>
      <c r="U237" s="73">
        <f t="shared" si="61"/>
        <v>23.542947648</v>
      </c>
      <c r="V237" s="12"/>
    </row>
    <row r="238" s="1" customFormat="1" ht="29.1" customHeight="1" spans="1:22">
      <c r="A238" s="62">
        <v>46200</v>
      </c>
      <c r="B238" s="63" t="s">
        <v>1283</v>
      </c>
      <c r="C238" s="64" t="s">
        <v>1508</v>
      </c>
      <c r="D238" s="65" t="s">
        <v>1509</v>
      </c>
      <c r="E238" s="67" t="s">
        <v>1512</v>
      </c>
      <c r="F238" s="67" t="s">
        <v>51</v>
      </c>
      <c r="G238" s="67" t="str">
        <f>VLOOKUP(F238,[4]装箱单!$A:$C,3,0)</f>
        <v>鸭子</v>
      </c>
      <c r="H238" s="67">
        <v>312</v>
      </c>
      <c r="I238" s="68">
        <f t="shared" si="62"/>
        <v>4656</v>
      </c>
      <c r="J238" s="68" t="s">
        <v>32</v>
      </c>
      <c r="K238" s="68" t="s">
        <v>33</v>
      </c>
      <c r="L238" s="69">
        <v>97</v>
      </c>
      <c r="M238" s="65">
        <f t="shared" si="60"/>
        <v>3.964697781</v>
      </c>
      <c r="N238" s="69" t="s">
        <v>34</v>
      </c>
      <c r="O238" s="67"/>
      <c r="P238" s="74"/>
      <c r="Q238" s="71">
        <f>VLOOKUP($F238,[4]装箱单!$A:$E,5,0)</f>
        <v>37.15</v>
      </c>
      <c r="R238" s="71">
        <f>VLOOKUP($F238,[4]装箱单!$A:$F,6,0)</f>
        <v>33</v>
      </c>
      <c r="S238" s="71">
        <f>VLOOKUP($F238,[4]装箱单!$A:$G,7,0)</f>
        <v>33.34</v>
      </c>
      <c r="T238" s="72">
        <f>VLOOKUP($F238,[4]装箱单!$A:$J,10,0)</f>
        <v>0.040873173</v>
      </c>
      <c r="U238" s="73">
        <f t="shared" si="61"/>
        <v>3.964697781</v>
      </c>
      <c r="V238" s="12"/>
    </row>
    <row r="239" s="1" customFormat="1" ht="29.1" customHeight="1" spans="1:22">
      <c r="A239" s="62"/>
      <c r="B239" s="63"/>
      <c r="C239" s="64"/>
      <c r="D239" s="65"/>
      <c r="E239" s="67"/>
      <c r="F239" s="67"/>
      <c r="G239" s="67"/>
      <c r="H239" s="67"/>
      <c r="I239" s="68"/>
      <c r="J239" s="68"/>
      <c r="K239" s="68"/>
      <c r="L239" s="69"/>
      <c r="M239" s="65">
        <f>SUM(M231:M238)</f>
        <v>130.06009587276</v>
      </c>
      <c r="N239" s="69"/>
      <c r="O239" s="67"/>
      <c r="P239" s="75"/>
      <c r="Q239" s="71"/>
      <c r="R239" s="71"/>
      <c r="S239" s="71"/>
      <c r="T239" s="72"/>
      <c r="U239" s="73"/>
      <c r="V239" s="12"/>
    </row>
    <row r="240" s="1" customFormat="1" ht="29.1" customHeight="1" spans="1:22">
      <c r="A240" s="62">
        <v>46200</v>
      </c>
      <c r="B240" s="63" t="s">
        <v>922</v>
      </c>
      <c r="C240" s="64" t="s">
        <v>1513</v>
      </c>
      <c r="D240" s="65" t="s">
        <v>1514</v>
      </c>
      <c r="E240" s="67" t="s">
        <v>1515</v>
      </c>
      <c r="F240" s="67">
        <v>33476</v>
      </c>
      <c r="G240" s="67" t="str">
        <f>VLOOKUP(F240,[4]装箱单!$A:$C,3,0)</f>
        <v>搪小鸭天使</v>
      </c>
      <c r="H240" s="89">
        <v>52</v>
      </c>
      <c r="I240" s="68">
        <v>800</v>
      </c>
      <c r="J240" s="68" t="s">
        <v>32</v>
      </c>
      <c r="K240" s="68" t="s">
        <v>33</v>
      </c>
      <c r="L240" s="90">
        <v>52</v>
      </c>
      <c r="M240" s="65"/>
      <c r="N240" s="69"/>
      <c r="O240" s="67"/>
      <c r="P240" s="74" t="s">
        <v>1105</v>
      </c>
      <c r="Q240" s="71"/>
      <c r="R240" s="71"/>
      <c r="S240" s="71"/>
      <c r="T240" s="72"/>
      <c r="U240" s="73"/>
      <c r="V240" s="12"/>
    </row>
    <row r="241" s="1" customFormat="1" ht="29.1" customHeight="1" spans="1:22">
      <c r="A241" s="62">
        <v>46200</v>
      </c>
      <c r="B241" s="63" t="s">
        <v>922</v>
      </c>
      <c r="C241" s="64" t="s">
        <v>1516</v>
      </c>
      <c r="D241" s="65" t="s">
        <v>1517</v>
      </c>
      <c r="E241" s="67" t="s">
        <v>1518</v>
      </c>
      <c r="F241" s="67">
        <v>33476</v>
      </c>
      <c r="G241" s="67" t="str">
        <f>VLOOKUP(F241,[4]装箱单!$A:$C,3,0)</f>
        <v>搪小鸭天使</v>
      </c>
      <c r="H241" s="91"/>
      <c r="I241" s="68">
        <v>300</v>
      </c>
      <c r="J241" s="68" t="s">
        <v>32</v>
      </c>
      <c r="K241" s="68" t="s">
        <v>33</v>
      </c>
      <c r="L241" s="92"/>
      <c r="M241" s="65"/>
      <c r="N241" s="69"/>
      <c r="O241" s="67"/>
      <c r="P241" s="74"/>
      <c r="Q241" s="71"/>
      <c r="R241" s="71"/>
      <c r="S241" s="71"/>
      <c r="T241" s="72"/>
      <c r="U241" s="73"/>
      <c r="V241" s="12"/>
    </row>
    <row r="242" s="1" customFormat="1" ht="29.1" customHeight="1" spans="1:22">
      <c r="A242" s="62">
        <v>46200</v>
      </c>
      <c r="B242" s="63" t="s">
        <v>922</v>
      </c>
      <c r="C242" s="64" t="s">
        <v>1519</v>
      </c>
      <c r="D242" s="65" t="s">
        <v>1520</v>
      </c>
      <c r="E242" s="67" t="s">
        <v>1521</v>
      </c>
      <c r="F242" s="67">
        <v>33476</v>
      </c>
      <c r="G242" s="67" t="str">
        <f>VLOOKUP(F242,[4]装箱单!$A:$C,3,0)</f>
        <v>搪小鸭天使</v>
      </c>
      <c r="H242" s="91"/>
      <c r="I242" s="68">
        <v>300</v>
      </c>
      <c r="J242" s="68" t="s">
        <v>32</v>
      </c>
      <c r="K242" s="68" t="s">
        <v>33</v>
      </c>
      <c r="L242" s="92"/>
      <c r="M242" s="65"/>
      <c r="N242" s="69"/>
      <c r="O242" s="67"/>
      <c r="P242" s="74"/>
      <c r="Q242" s="71"/>
      <c r="R242" s="71"/>
      <c r="S242" s="71"/>
      <c r="T242" s="72"/>
      <c r="U242" s="73"/>
      <c r="V242" s="12"/>
    </row>
    <row r="243" s="1" customFormat="1" ht="29.1" customHeight="1" spans="1:22">
      <c r="A243" s="62">
        <v>46200</v>
      </c>
      <c r="B243" s="63" t="s">
        <v>922</v>
      </c>
      <c r="C243" s="64" t="s">
        <v>1522</v>
      </c>
      <c r="D243" s="65" t="s">
        <v>1523</v>
      </c>
      <c r="E243" s="67" t="s">
        <v>1524</v>
      </c>
      <c r="F243" s="67">
        <v>33476</v>
      </c>
      <c r="G243" s="67" t="str">
        <f>VLOOKUP(F243,[4]装箱单!$A:$C,3,0)</f>
        <v>搪小鸭天使</v>
      </c>
      <c r="H243" s="91"/>
      <c r="I243" s="68">
        <v>300</v>
      </c>
      <c r="J243" s="68" t="s">
        <v>32</v>
      </c>
      <c r="K243" s="68" t="s">
        <v>33</v>
      </c>
      <c r="L243" s="92"/>
      <c r="M243" s="65"/>
      <c r="N243" s="69"/>
      <c r="O243" s="67"/>
      <c r="P243" s="74"/>
      <c r="Q243" s="71"/>
      <c r="R243" s="71"/>
      <c r="S243" s="71"/>
      <c r="T243" s="72"/>
      <c r="U243" s="73"/>
      <c r="V243" s="12"/>
    </row>
    <row r="244" s="1" customFormat="1" ht="29.1" customHeight="1" spans="1:22">
      <c r="A244" s="62">
        <v>46200</v>
      </c>
      <c r="B244" s="63" t="s">
        <v>922</v>
      </c>
      <c r="C244" s="64" t="s">
        <v>1525</v>
      </c>
      <c r="D244" s="65" t="s">
        <v>1526</v>
      </c>
      <c r="E244" s="67" t="s">
        <v>1527</v>
      </c>
      <c r="F244" s="67">
        <v>33476</v>
      </c>
      <c r="G244" s="67" t="str">
        <f>VLOOKUP(F244,[4]装箱单!$A:$C,3,0)</f>
        <v>搪小鸭天使</v>
      </c>
      <c r="H244" s="91"/>
      <c r="I244" s="68">
        <v>200</v>
      </c>
      <c r="J244" s="68" t="s">
        <v>32</v>
      </c>
      <c r="K244" s="68" t="s">
        <v>33</v>
      </c>
      <c r="L244" s="92"/>
      <c r="M244" s="65"/>
      <c r="N244" s="69"/>
      <c r="O244" s="67"/>
      <c r="P244" s="74"/>
      <c r="Q244" s="71"/>
      <c r="R244" s="71"/>
      <c r="S244" s="71"/>
      <c r="T244" s="72"/>
      <c r="U244" s="73"/>
      <c r="V244" s="12"/>
    </row>
    <row r="245" s="1" customFormat="1" ht="29.1" customHeight="1" spans="1:22">
      <c r="A245" s="62">
        <v>46200</v>
      </c>
      <c r="B245" s="63" t="s">
        <v>922</v>
      </c>
      <c r="C245" s="64" t="s">
        <v>1528</v>
      </c>
      <c r="D245" s="65" t="s">
        <v>1529</v>
      </c>
      <c r="E245" s="67" t="s">
        <v>1530</v>
      </c>
      <c r="F245" s="67">
        <v>33476</v>
      </c>
      <c r="G245" s="67" t="str">
        <f>VLOOKUP(F245,[4]装箱单!$A:$C,3,0)</f>
        <v>搪小鸭天使</v>
      </c>
      <c r="H245" s="91"/>
      <c r="I245" s="68">
        <v>300</v>
      </c>
      <c r="J245" s="68" t="s">
        <v>32</v>
      </c>
      <c r="K245" s="68" t="s">
        <v>33</v>
      </c>
      <c r="L245" s="92"/>
      <c r="M245" s="65"/>
      <c r="N245" s="69"/>
      <c r="O245" s="67"/>
      <c r="P245" s="74"/>
      <c r="Q245" s="71"/>
      <c r="R245" s="71"/>
      <c r="S245" s="71"/>
      <c r="T245" s="72"/>
      <c r="U245" s="73"/>
      <c r="V245" s="12"/>
    </row>
    <row r="246" s="1" customFormat="1" ht="29.1" customHeight="1" spans="1:22">
      <c r="A246" s="62">
        <v>46200</v>
      </c>
      <c r="B246" s="63" t="s">
        <v>922</v>
      </c>
      <c r="C246" s="64" t="s">
        <v>1531</v>
      </c>
      <c r="D246" s="65" t="s">
        <v>1532</v>
      </c>
      <c r="E246" s="67" t="s">
        <v>1533</v>
      </c>
      <c r="F246" s="67">
        <v>33476</v>
      </c>
      <c r="G246" s="67" t="str">
        <f>VLOOKUP(F246,[4]装箱单!$A:$C,3,0)</f>
        <v>搪小鸭天使</v>
      </c>
      <c r="H246" s="91"/>
      <c r="I246" s="68">
        <v>400</v>
      </c>
      <c r="J246" s="68" t="s">
        <v>32</v>
      </c>
      <c r="K246" s="68" t="s">
        <v>33</v>
      </c>
      <c r="L246" s="92"/>
      <c r="M246" s="65"/>
      <c r="N246" s="69"/>
      <c r="O246" s="67"/>
      <c r="P246" s="74"/>
      <c r="Q246" s="71"/>
      <c r="R246" s="71"/>
      <c r="S246" s="71"/>
      <c r="T246" s="72"/>
      <c r="U246" s="73"/>
      <c r="V246" s="12"/>
    </row>
    <row r="247" s="1" customFormat="1" ht="29.1" customHeight="1" spans="1:22">
      <c r="A247" s="62">
        <v>46200</v>
      </c>
      <c r="B247" s="63" t="s">
        <v>922</v>
      </c>
      <c r="C247" s="64" t="s">
        <v>1534</v>
      </c>
      <c r="D247" s="65" t="s">
        <v>1535</v>
      </c>
      <c r="E247" s="67" t="s">
        <v>1536</v>
      </c>
      <c r="F247" s="67">
        <v>33476</v>
      </c>
      <c r="G247" s="67" t="str">
        <f>VLOOKUP(F247,[4]装箱单!$A:$C,3,0)</f>
        <v>搪小鸭天使</v>
      </c>
      <c r="H247" s="91"/>
      <c r="I247" s="68">
        <v>400</v>
      </c>
      <c r="J247" s="68" t="s">
        <v>32</v>
      </c>
      <c r="K247" s="68" t="s">
        <v>33</v>
      </c>
      <c r="L247" s="92"/>
      <c r="M247" s="65"/>
      <c r="N247" s="69"/>
      <c r="O247" s="67"/>
      <c r="P247" s="74"/>
      <c r="Q247" s="71"/>
      <c r="R247" s="71"/>
      <c r="S247" s="71"/>
      <c r="T247" s="72"/>
      <c r="U247" s="73"/>
      <c r="V247" s="12"/>
    </row>
    <row r="248" s="1" customFormat="1" ht="29.1" customHeight="1" spans="1:22">
      <c r="A248" s="62">
        <v>46200</v>
      </c>
      <c r="B248" s="63" t="s">
        <v>922</v>
      </c>
      <c r="C248" s="64" t="s">
        <v>1537</v>
      </c>
      <c r="D248" s="65" t="s">
        <v>1538</v>
      </c>
      <c r="E248" s="67" t="s">
        <v>1539</v>
      </c>
      <c r="F248" s="67">
        <v>33476</v>
      </c>
      <c r="G248" s="67" t="str">
        <f>VLOOKUP(F248,[4]装箱单!$A:$C,3,0)</f>
        <v>搪小鸭天使</v>
      </c>
      <c r="H248" s="87"/>
      <c r="I248" s="68">
        <v>1124</v>
      </c>
      <c r="J248" s="68" t="s">
        <v>32</v>
      </c>
      <c r="K248" s="68" t="s">
        <v>33</v>
      </c>
      <c r="L248" s="93"/>
      <c r="M248" s="65"/>
      <c r="N248" s="69"/>
      <c r="O248" s="67"/>
      <c r="P248" s="74"/>
      <c r="Q248" s="71"/>
      <c r="R248" s="71"/>
      <c r="S248" s="71"/>
      <c r="T248" s="72"/>
      <c r="U248" s="73"/>
      <c r="V248" s="12"/>
    </row>
    <row r="249" s="1" customFormat="1" ht="29.1" customHeight="1" spans="1:22">
      <c r="A249" s="62">
        <v>46200</v>
      </c>
      <c r="B249" s="63" t="s">
        <v>922</v>
      </c>
      <c r="C249" s="64" t="s">
        <v>1540</v>
      </c>
      <c r="D249" s="65" t="s">
        <v>1541</v>
      </c>
      <c r="E249" s="67">
        <v>0</v>
      </c>
      <c r="F249" s="67">
        <v>33477</v>
      </c>
      <c r="G249" s="67" t="str">
        <f>VLOOKUP(F249,[4]装箱单!$A:$C,3,0)</f>
        <v>搪小鸭外星史迪仔</v>
      </c>
      <c r="H249" s="89">
        <v>176</v>
      </c>
      <c r="I249" s="68">
        <v>600</v>
      </c>
      <c r="J249" s="68" t="s">
        <v>32</v>
      </c>
      <c r="K249" s="68" t="s">
        <v>33</v>
      </c>
      <c r="L249" s="90">
        <v>176</v>
      </c>
      <c r="M249" s="65"/>
      <c r="N249" s="69"/>
      <c r="O249" s="67"/>
      <c r="P249" s="74"/>
      <c r="Q249" s="71"/>
      <c r="R249" s="71"/>
      <c r="S249" s="71"/>
      <c r="T249" s="72"/>
      <c r="U249" s="73"/>
      <c r="V249" s="12"/>
    </row>
    <row r="250" s="1" customFormat="1" ht="29.1" customHeight="1" spans="1:22">
      <c r="A250" s="62">
        <v>46200</v>
      </c>
      <c r="B250" s="63" t="s">
        <v>922</v>
      </c>
      <c r="C250" s="64" t="s">
        <v>1542</v>
      </c>
      <c r="D250" s="65" t="s">
        <v>1543</v>
      </c>
      <c r="E250" s="67" t="s">
        <v>1544</v>
      </c>
      <c r="F250" s="67">
        <v>33477</v>
      </c>
      <c r="G250" s="67" t="str">
        <f>VLOOKUP(F250,[4]装箱单!$A:$C,3,0)</f>
        <v>搪小鸭外星史迪仔</v>
      </c>
      <c r="H250" s="91"/>
      <c r="I250" s="68">
        <v>960</v>
      </c>
      <c r="J250" s="68" t="s">
        <v>32</v>
      </c>
      <c r="K250" s="68" t="s">
        <v>33</v>
      </c>
      <c r="L250" s="92"/>
      <c r="M250" s="65"/>
      <c r="N250" s="69"/>
      <c r="O250" s="67"/>
      <c r="P250" s="74"/>
      <c r="Q250" s="71"/>
      <c r="R250" s="71"/>
      <c r="S250" s="71"/>
      <c r="T250" s="72"/>
      <c r="U250" s="73"/>
      <c r="V250" s="12"/>
    </row>
    <row r="251" s="1" customFormat="1" ht="29.1" customHeight="1" spans="1:22">
      <c r="A251" s="62">
        <v>46200</v>
      </c>
      <c r="B251" s="63" t="s">
        <v>922</v>
      </c>
      <c r="C251" s="64" t="s">
        <v>1545</v>
      </c>
      <c r="D251" s="65" t="s">
        <v>1546</v>
      </c>
      <c r="E251" s="67" t="s">
        <v>1547</v>
      </c>
      <c r="F251" s="67">
        <v>33477</v>
      </c>
      <c r="G251" s="67" t="str">
        <f>VLOOKUP(F251,[4]装箱单!$A:$C,3,0)</f>
        <v>搪小鸭外星史迪仔</v>
      </c>
      <c r="H251" s="91"/>
      <c r="I251" s="68">
        <v>456</v>
      </c>
      <c r="J251" s="68" t="s">
        <v>32</v>
      </c>
      <c r="K251" s="68" t="s">
        <v>33</v>
      </c>
      <c r="L251" s="92"/>
      <c r="M251" s="65"/>
      <c r="N251" s="69"/>
      <c r="O251" s="67"/>
      <c r="P251" s="74"/>
      <c r="Q251" s="71"/>
      <c r="R251" s="71"/>
      <c r="S251" s="71"/>
      <c r="T251" s="72"/>
      <c r="U251" s="73"/>
      <c r="V251" s="12"/>
    </row>
    <row r="252" s="1" customFormat="1" ht="29.1" customHeight="1" spans="1:22">
      <c r="A252" s="62">
        <v>46200</v>
      </c>
      <c r="B252" s="63" t="s">
        <v>922</v>
      </c>
      <c r="C252" s="64" t="s">
        <v>1548</v>
      </c>
      <c r="D252" s="65" t="s">
        <v>1549</v>
      </c>
      <c r="E252" s="67" t="s">
        <v>1550</v>
      </c>
      <c r="F252" s="67">
        <v>33477</v>
      </c>
      <c r="G252" s="67" t="str">
        <f>VLOOKUP(F252,[4]装箱单!$A:$C,3,0)</f>
        <v>搪小鸭外星史迪仔</v>
      </c>
      <c r="H252" s="91"/>
      <c r="I252" s="68">
        <v>148</v>
      </c>
      <c r="J252" s="68" t="s">
        <v>32</v>
      </c>
      <c r="K252" s="68" t="s">
        <v>33</v>
      </c>
      <c r="L252" s="92"/>
      <c r="M252" s="65"/>
      <c r="N252" s="69"/>
      <c r="O252" s="67"/>
      <c r="P252" s="74"/>
      <c r="Q252" s="71"/>
      <c r="R252" s="71"/>
      <c r="S252" s="71"/>
      <c r="T252" s="72"/>
      <c r="U252" s="73"/>
      <c r="V252" s="12"/>
    </row>
    <row r="253" s="1" customFormat="1" ht="29.1" customHeight="1" spans="1:22">
      <c r="A253" s="62">
        <v>46200</v>
      </c>
      <c r="B253" s="63" t="s">
        <v>922</v>
      </c>
      <c r="C253" s="64" t="s">
        <v>1516</v>
      </c>
      <c r="D253" s="65" t="s">
        <v>1517</v>
      </c>
      <c r="E253" s="67" t="s">
        <v>1518</v>
      </c>
      <c r="F253" s="67">
        <v>33477</v>
      </c>
      <c r="G253" s="67" t="str">
        <f>VLOOKUP(F253,[4]装箱单!$A:$C,3,0)</f>
        <v>搪小鸭外星史迪仔</v>
      </c>
      <c r="H253" s="91"/>
      <c r="I253" s="68">
        <v>550</v>
      </c>
      <c r="J253" s="68" t="s">
        <v>32</v>
      </c>
      <c r="K253" s="68" t="s">
        <v>33</v>
      </c>
      <c r="L253" s="92"/>
      <c r="M253" s="65"/>
      <c r="N253" s="69"/>
      <c r="O253" s="67"/>
      <c r="P253" s="74"/>
      <c r="Q253" s="71"/>
      <c r="R253" s="71"/>
      <c r="S253" s="71"/>
      <c r="T253" s="72"/>
      <c r="U253" s="73"/>
      <c r="V253" s="12"/>
    </row>
    <row r="254" s="1" customFormat="1" ht="29.1" customHeight="1" spans="1:22">
      <c r="A254" s="62">
        <v>46200</v>
      </c>
      <c r="B254" s="63" t="s">
        <v>922</v>
      </c>
      <c r="C254" s="64" t="s">
        <v>1519</v>
      </c>
      <c r="D254" s="65" t="s">
        <v>1520</v>
      </c>
      <c r="E254" s="67" t="s">
        <v>1521</v>
      </c>
      <c r="F254" s="67">
        <v>33477</v>
      </c>
      <c r="G254" s="67" t="str">
        <f>VLOOKUP(F254,[4]装箱单!$A:$C,3,0)</f>
        <v>搪小鸭外星史迪仔</v>
      </c>
      <c r="H254" s="91"/>
      <c r="I254" s="68">
        <v>440</v>
      </c>
      <c r="J254" s="68" t="s">
        <v>32</v>
      </c>
      <c r="K254" s="68" t="s">
        <v>33</v>
      </c>
      <c r="L254" s="92"/>
      <c r="M254" s="65"/>
      <c r="N254" s="69"/>
      <c r="O254" s="67"/>
      <c r="P254" s="74"/>
      <c r="Q254" s="71"/>
      <c r="R254" s="71"/>
      <c r="S254" s="71"/>
      <c r="T254" s="72"/>
      <c r="U254" s="73"/>
      <c r="V254" s="12"/>
    </row>
    <row r="255" s="1" customFormat="1" ht="29.1" customHeight="1" spans="1:22">
      <c r="A255" s="62">
        <v>46200</v>
      </c>
      <c r="B255" s="63" t="s">
        <v>922</v>
      </c>
      <c r="C255" s="64" t="s">
        <v>1522</v>
      </c>
      <c r="D255" s="65" t="s">
        <v>1523</v>
      </c>
      <c r="E255" s="67" t="s">
        <v>1524</v>
      </c>
      <c r="F255" s="67">
        <v>33477</v>
      </c>
      <c r="G255" s="67" t="str">
        <f>VLOOKUP(F255,[4]装箱单!$A:$C,3,0)</f>
        <v>搪小鸭外星史迪仔</v>
      </c>
      <c r="H255" s="91"/>
      <c r="I255" s="68">
        <v>550</v>
      </c>
      <c r="J255" s="68" t="s">
        <v>32</v>
      </c>
      <c r="K255" s="68" t="s">
        <v>33</v>
      </c>
      <c r="L255" s="92"/>
      <c r="M255" s="65"/>
      <c r="N255" s="69"/>
      <c r="O255" s="67"/>
      <c r="P255" s="74"/>
      <c r="Q255" s="71"/>
      <c r="R255" s="71"/>
      <c r="S255" s="71"/>
      <c r="T255" s="72"/>
      <c r="U255" s="73"/>
      <c r="V255" s="12"/>
    </row>
    <row r="256" s="1" customFormat="1" ht="29.1" customHeight="1" spans="1:22">
      <c r="A256" s="62">
        <v>46200</v>
      </c>
      <c r="B256" s="63" t="s">
        <v>922</v>
      </c>
      <c r="C256" s="64" t="s">
        <v>1525</v>
      </c>
      <c r="D256" s="65" t="s">
        <v>1526</v>
      </c>
      <c r="E256" s="67" t="s">
        <v>1527</v>
      </c>
      <c r="F256" s="67">
        <v>33477</v>
      </c>
      <c r="G256" s="67" t="str">
        <f>VLOOKUP(F256,[4]装箱单!$A:$C,3,0)</f>
        <v>搪小鸭外星史迪仔</v>
      </c>
      <c r="H256" s="91"/>
      <c r="I256" s="68">
        <v>440</v>
      </c>
      <c r="J256" s="68" t="s">
        <v>32</v>
      </c>
      <c r="K256" s="68" t="s">
        <v>33</v>
      </c>
      <c r="L256" s="92"/>
      <c r="M256" s="65"/>
      <c r="N256" s="69"/>
      <c r="O256" s="67"/>
      <c r="P256" s="74"/>
      <c r="Q256" s="71"/>
      <c r="R256" s="71"/>
      <c r="S256" s="71"/>
      <c r="T256" s="72"/>
      <c r="U256" s="73"/>
      <c r="V256" s="12"/>
    </row>
    <row r="257" s="1" customFormat="1" ht="29.1" customHeight="1" spans="1:22">
      <c r="A257" s="62">
        <v>46200</v>
      </c>
      <c r="B257" s="63" t="s">
        <v>922</v>
      </c>
      <c r="C257" s="64" t="s">
        <v>1528</v>
      </c>
      <c r="D257" s="65" t="s">
        <v>1529</v>
      </c>
      <c r="E257" s="67" t="s">
        <v>1530</v>
      </c>
      <c r="F257" s="67">
        <v>33477</v>
      </c>
      <c r="G257" s="67" t="str">
        <f>VLOOKUP(F257,[4]装箱单!$A:$C,3,0)</f>
        <v>搪小鸭外星史迪仔</v>
      </c>
      <c r="H257" s="91"/>
      <c r="I257" s="68">
        <v>440</v>
      </c>
      <c r="J257" s="68" t="s">
        <v>32</v>
      </c>
      <c r="K257" s="68" t="s">
        <v>33</v>
      </c>
      <c r="L257" s="92"/>
      <c r="M257" s="65"/>
      <c r="N257" s="69"/>
      <c r="O257" s="67"/>
      <c r="P257" s="74"/>
      <c r="Q257" s="71"/>
      <c r="R257" s="71"/>
      <c r="S257" s="71"/>
      <c r="T257" s="72"/>
      <c r="U257" s="73"/>
      <c r="V257" s="12"/>
    </row>
    <row r="258" s="1" customFormat="1" ht="29.1" customHeight="1" spans="1:22">
      <c r="A258" s="62">
        <v>46200</v>
      </c>
      <c r="B258" s="63" t="s">
        <v>922</v>
      </c>
      <c r="C258" s="64" t="s">
        <v>1531</v>
      </c>
      <c r="D258" s="65" t="s">
        <v>1532</v>
      </c>
      <c r="E258" s="67" t="s">
        <v>1533</v>
      </c>
      <c r="F258" s="67">
        <v>33477</v>
      </c>
      <c r="G258" s="67" t="str">
        <f>VLOOKUP(F258,[4]装箱单!$A:$C,3,0)</f>
        <v>搪小鸭外星史迪仔</v>
      </c>
      <c r="H258" s="91"/>
      <c r="I258" s="68">
        <v>660</v>
      </c>
      <c r="J258" s="68" t="s">
        <v>32</v>
      </c>
      <c r="K258" s="68" t="s">
        <v>33</v>
      </c>
      <c r="L258" s="92"/>
      <c r="M258" s="65"/>
      <c r="N258" s="69"/>
      <c r="O258" s="67"/>
      <c r="P258" s="74"/>
      <c r="Q258" s="71"/>
      <c r="R258" s="71"/>
      <c r="S258" s="71"/>
      <c r="T258" s="72"/>
      <c r="U258" s="73"/>
      <c r="V258" s="12"/>
    </row>
    <row r="259" s="1" customFormat="1" ht="29.1" customHeight="1" spans="1:22">
      <c r="A259" s="62">
        <v>46200</v>
      </c>
      <c r="B259" s="63" t="s">
        <v>922</v>
      </c>
      <c r="C259" s="64" t="s">
        <v>1534</v>
      </c>
      <c r="D259" s="65" t="s">
        <v>1535</v>
      </c>
      <c r="E259" s="67" t="s">
        <v>1536</v>
      </c>
      <c r="F259" s="67">
        <v>33477</v>
      </c>
      <c r="G259" s="67" t="str">
        <f>VLOOKUP(F259,[4]装箱单!$A:$C,3,0)</f>
        <v>搪小鸭外星史迪仔</v>
      </c>
      <c r="H259" s="91"/>
      <c r="I259" s="68">
        <v>660</v>
      </c>
      <c r="J259" s="68" t="s">
        <v>32</v>
      </c>
      <c r="K259" s="68" t="s">
        <v>33</v>
      </c>
      <c r="L259" s="92"/>
      <c r="M259" s="65"/>
      <c r="N259" s="69"/>
      <c r="O259" s="67"/>
      <c r="P259" s="74"/>
      <c r="Q259" s="71"/>
      <c r="R259" s="71"/>
      <c r="S259" s="71"/>
      <c r="T259" s="72"/>
      <c r="U259" s="73"/>
      <c r="V259" s="12"/>
    </row>
    <row r="260" s="1" customFormat="1" ht="29.1" customHeight="1" spans="1:22">
      <c r="A260" s="62">
        <v>46200</v>
      </c>
      <c r="B260" s="63" t="s">
        <v>922</v>
      </c>
      <c r="C260" s="64" t="s">
        <v>1551</v>
      </c>
      <c r="D260" s="65" t="s">
        <v>1552</v>
      </c>
      <c r="E260" s="67" t="s">
        <v>1553</v>
      </c>
      <c r="F260" s="67">
        <v>33477</v>
      </c>
      <c r="G260" s="67" t="str">
        <f>VLOOKUP(F260,[4]装箱单!$A:$C,3,0)</f>
        <v>搪小鸭外星史迪仔</v>
      </c>
      <c r="H260" s="91"/>
      <c r="I260" s="68">
        <v>1208</v>
      </c>
      <c r="J260" s="68" t="s">
        <v>32</v>
      </c>
      <c r="K260" s="68" t="s">
        <v>33</v>
      </c>
      <c r="L260" s="92"/>
      <c r="M260" s="65"/>
      <c r="N260" s="69"/>
      <c r="O260" s="67"/>
      <c r="P260" s="74"/>
      <c r="Q260" s="71"/>
      <c r="R260" s="71"/>
      <c r="S260" s="71"/>
      <c r="T260" s="72"/>
      <c r="U260" s="73"/>
      <c r="V260" s="12"/>
    </row>
    <row r="261" s="1" customFormat="1" ht="29.1" customHeight="1" spans="1:22">
      <c r="A261" s="62">
        <v>46200</v>
      </c>
      <c r="B261" s="63" t="s">
        <v>922</v>
      </c>
      <c r="C261" s="64" t="s">
        <v>1554</v>
      </c>
      <c r="D261" s="65" t="s">
        <v>1555</v>
      </c>
      <c r="E261" s="67" t="s">
        <v>1556</v>
      </c>
      <c r="F261" s="67">
        <v>33477</v>
      </c>
      <c r="G261" s="67" t="str">
        <f>VLOOKUP(F261,[4]装箱单!$A:$C,3,0)</f>
        <v>搪小鸭外星史迪仔</v>
      </c>
      <c r="H261" s="91"/>
      <c r="I261" s="68">
        <v>596</v>
      </c>
      <c r="J261" s="68" t="s">
        <v>32</v>
      </c>
      <c r="K261" s="68" t="s">
        <v>33</v>
      </c>
      <c r="L261" s="92"/>
      <c r="M261" s="65"/>
      <c r="N261" s="69"/>
      <c r="O261" s="67"/>
      <c r="P261" s="74"/>
      <c r="Q261" s="71"/>
      <c r="R261" s="71"/>
      <c r="S261" s="71"/>
      <c r="T261" s="72"/>
      <c r="U261" s="73"/>
      <c r="V261" s="12"/>
    </row>
    <row r="262" s="1" customFormat="1" ht="29.1" customHeight="1" spans="1:22">
      <c r="A262" s="62">
        <v>46200</v>
      </c>
      <c r="B262" s="63" t="s">
        <v>922</v>
      </c>
      <c r="C262" s="64" t="s">
        <v>1557</v>
      </c>
      <c r="D262" s="65" t="s">
        <v>1558</v>
      </c>
      <c r="E262" s="67" t="s">
        <v>1559</v>
      </c>
      <c r="F262" s="67">
        <v>33477</v>
      </c>
      <c r="G262" s="67" t="str">
        <f>VLOOKUP(F262,[4]装箱单!$A:$C,3,0)</f>
        <v>搪小鸭外星史迪仔</v>
      </c>
      <c r="H262" s="91"/>
      <c r="I262" s="68">
        <v>300</v>
      </c>
      <c r="J262" s="68" t="s">
        <v>32</v>
      </c>
      <c r="K262" s="68" t="s">
        <v>33</v>
      </c>
      <c r="L262" s="92"/>
      <c r="M262" s="65"/>
      <c r="N262" s="69"/>
      <c r="O262" s="67"/>
      <c r="P262" s="74"/>
      <c r="Q262" s="71"/>
      <c r="R262" s="71"/>
      <c r="S262" s="71"/>
      <c r="T262" s="72"/>
      <c r="U262" s="73"/>
      <c r="V262" s="12"/>
    </row>
    <row r="263" s="1" customFormat="1" ht="29.1" customHeight="1" spans="1:22">
      <c r="A263" s="62">
        <v>46200</v>
      </c>
      <c r="B263" s="63" t="s">
        <v>922</v>
      </c>
      <c r="C263" s="64" t="s">
        <v>1560</v>
      </c>
      <c r="D263" s="65" t="s">
        <v>1561</v>
      </c>
      <c r="E263" s="67" t="s">
        <v>1562</v>
      </c>
      <c r="F263" s="67">
        <v>33477</v>
      </c>
      <c r="G263" s="67" t="str">
        <f>VLOOKUP(F263,[4]装箱单!$A:$C,3,0)</f>
        <v>搪小鸭外星史迪仔</v>
      </c>
      <c r="H263" s="91"/>
      <c r="I263" s="68">
        <v>100</v>
      </c>
      <c r="J263" s="68" t="s">
        <v>32</v>
      </c>
      <c r="K263" s="68" t="s">
        <v>33</v>
      </c>
      <c r="L263" s="92"/>
      <c r="M263" s="65"/>
      <c r="N263" s="69"/>
      <c r="O263" s="67"/>
      <c r="P263" s="74"/>
      <c r="Q263" s="71"/>
      <c r="R263" s="71"/>
      <c r="S263" s="71"/>
      <c r="T263" s="72"/>
      <c r="U263" s="73"/>
      <c r="V263" s="12"/>
    </row>
    <row r="264" s="1" customFormat="1" ht="29.1" customHeight="1" spans="1:22">
      <c r="A264" s="62">
        <v>46200</v>
      </c>
      <c r="B264" s="63" t="s">
        <v>922</v>
      </c>
      <c r="C264" s="64" t="s">
        <v>1273</v>
      </c>
      <c r="D264" s="65" t="s">
        <v>1274</v>
      </c>
      <c r="E264" s="67" t="s">
        <v>1563</v>
      </c>
      <c r="F264" s="67">
        <v>33477</v>
      </c>
      <c r="G264" s="67" t="str">
        <f>VLOOKUP(F264,[4]装箱单!$A:$C,3,0)</f>
        <v>搪小鸭外星史迪仔</v>
      </c>
      <c r="H264" s="91"/>
      <c r="I264" s="68">
        <v>2640</v>
      </c>
      <c r="J264" s="68" t="s">
        <v>32</v>
      </c>
      <c r="K264" s="68" t="s">
        <v>33</v>
      </c>
      <c r="L264" s="92"/>
      <c r="M264" s="65"/>
      <c r="N264" s="69"/>
      <c r="O264" s="67"/>
      <c r="P264" s="74"/>
      <c r="Q264" s="71"/>
      <c r="R264" s="71"/>
      <c r="S264" s="71"/>
      <c r="T264" s="72"/>
      <c r="U264" s="73"/>
      <c r="V264" s="12"/>
    </row>
    <row r="265" s="1" customFormat="1" ht="29.1" customHeight="1" spans="1:22">
      <c r="A265" s="62">
        <v>46200</v>
      </c>
      <c r="B265" s="63" t="s">
        <v>922</v>
      </c>
      <c r="C265" s="64" t="s">
        <v>1564</v>
      </c>
      <c r="D265" s="65" t="s">
        <v>1565</v>
      </c>
      <c r="E265" s="67" t="s">
        <v>1566</v>
      </c>
      <c r="F265" s="67">
        <v>33477</v>
      </c>
      <c r="G265" s="67" t="str">
        <f>VLOOKUP(F265,[4]装箱单!$A:$C,3,0)</f>
        <v>搪小鸭外星史迪仔</v>
      </c>
      <c r="H265" s="87"/>
      <c r="I265" s="68">
        <v>1530</v>
      </c>
      <c r="J265" s="68" t="s">
        <v>32</v>
      </c>
      <c r="K265" s="68" t="s">
        <v>33</v>
      </c>
      <c r="L265" s="93"/>
      <c r="M265" s="65"/>
      <c r="N265" s="69"/>
      <c r="O265" s="67"/>
      <c r="P265" s="75"/>
      <c r="Q265" s="71"/>
      <c r="R265" s="71"/>
      <c r="S265" s="71"/>
      <c r="T265" s="72"/>
      <c r="U265" s="73"/>
      <c r="V265" s="12"/>
    </row>
    <row r="266" s="1" customFormat="1" ht="29.1" customHeight="1" spans="1:22">
      <c r="A266" s="62">
        <v>46179</v>
      </c>
      <c r="B266" s="63" t="s">
        <v>415</v>
      </c>
      <c r="C266" s="64" t="s">
        <v>1567</v>
      </c>
      <c r="D266" s="65"/>
      <c r="E266" s="67">
        <v>87084187</v>
      </c>
      <c r="F266" s="67">
        <v>46918</v>
      </c>
      <c r="G266" s="67" t="s">
        <v>1568</v>
      </c>
      <c r="H266" s="87">
        <v>489</v>
      </c>
      <c r="I266" s="68">
        <f>H266*2</f>
        <v>978</v>
      </c>
      <c r="J266" s="45" t="s">
        <v>47</v>
      </c>
      <c r="K266" s="68" t="s">
        <v>33</v>
      </c>
      <c r="L266" s="69">
        <v>489</v>
      </c>
      <c r="M266" s="65"/>
      <c r="N266" s="69"/>
      <c r="O266" s="67" t="s">
        <v>1569</v>
      </c>
      <c r="P266" s="89" t="s">
        <v>1569</v>
      </c>
      <c r="Q266" s="71"/>
      <c r="R266" s="71"/>
      <c r="S266" s="71"/>
      <c r="T266" s="72"/>
      <c r="U266" s="73"/>
      <c r="V266" s="12"/>
    </row>
    <row r="267" s="1" customFormat="1" ht="29.1" customHeight="1" spans="1:22">
      <c r="A267" s="62">
        <v>46179</v>
      </c>
      <c r="B267" s="63" t="s">
        <v>415</v>
      </c>
      <c r="C267" s="64" t="s">
        <v>1567</v>
      </c>
      <c r="D267" s="65"/>
      <c r="E267" s="67">
        <v>87084082</v>
      </c>
      <c r="F267" s="67">
        <v>46919</v>
      </c>
      <c r="G267" s="67" t="s">
        <v>1570</v>
      </c>
      <c r="H267" s="87">
        <v>384</v>
      </c>
      <c r="I267" s="68">
        <f>H267*2</f>
        <v>768</v>
      </c>
      <c r="J267" s="45" t="s">
        <v>47</v>
      </c>
      <c r="K267" s="68" t="s">
        <v>33</v>
      </c>
      <c r="L267" s="69">
        <v>384</v>
      </c>
      <c r="M267" s="65"/>
      <c r="N267" s="69"/>
      <c r="O267" s="67" t="s">
        <v>1569</v>
      </c>
      <c r="P267" s="91"/>
      <c r="Q267" s="71"/>
      <c r="R267" s="71"/>
      <c r="S267" s="71"/>
      <c r="T267" s="72"/>
      <c r="U267" s="73"/>
      <c r="V267" s="12"/>
    </row>
    <row r="268" s="1" customFormat="1" ht="29.1" customHeight="1" spans="1:22">
      <c r="A268" s="62">
        <v>46179</v>
      </c>
      <c r="B268" s="63" t="s">
        <v>415</v>
      </c>
      <c r="C268" s="64" t="s">
        <v>1571</v>
      </c>
      <c r="D268" s="65"/>
      <c r="E268" s="67">
        <v>87085223</v>
      </c>
      <c r="F268" s="67">
        <v>11369</v>
      </c>
      <c r="G268" s="67" t="s">
        <v>1572</v>
      </c>
      <c r="H268" s="87">
        <v>204</v>
      </c>
      <c r="I268" s="68">
        <f>H268*4</f>
        <v>816</v>
      </c>
      <c r="J268" s="68" t="s">
        <v>32</v>
      </c>
      <c r="K268" s="68" t="s">
        <v>33</v>
      </c>
      <c r="L268" s="69">
        <v>204</v>
      </c>
      <c r="M268" s="65"/>
      <c r="N268" s="69"/>
      <c r="O268" s="67" t="s">
        <v>1569</v>
      </c>
      <c r="P268" s="91"/>
      <c r="Q268" s="71"/>
      <c r="R268" s="71"/>
      <c r="S268" s="71"/>
      <c r="T268" s="72"/>
      <c r="U268" s="73"/>
      <c r="V268" s="12"/>
    </row>
    <row r="269" s="1" customFormat="1" ht="29.1" customHeight="1" spans="1:22">
      <c r="A269" s="62">
        <v>46184</v>
      </c>
      <c r="B269" s="63" t="s">
        <v>415</v>
      </c>
      <c r="C269" s="64" t="s">
        <v>1573</v>
      </c>
      <c r="D269" s="65"/>
      <c r="E269" s="67">
        <v>87084187</v>
      </c>
      <c r="F269" s="67">
        <v>46918</v>
      </c>
      <c r="G269" s="67" t="s">
        <v>1568</v>
      </c>
      <c r="H269" s="87">
        <v>668</v>
      </c>
      <c r="I269" s="68">
        <v>1336</v>
      </c>
      <c r="J269" s="45" t="s">
        <v>47</v>
      </c>
      <c r="K269" s="68" t="s">
        <v>33</v>
      </c>
      <c r="L269" s="69">
        <v>668</v>
      </c>
      <c r="M269" s="65"/>
      <c r="N269" s="69"/>
      <c r="O269" s="67" t="s">
        <v>1569</v>
      </c>
      <c r="P269" s="91"/>
      <c r="Q269" s="71"/>
      <c r="R269" s="71"/>
      <c r="S269" s="71"/>
      <c r="T269" s="72"/>
      <c r="U269" s="73"/>
      <c r="V269" s="12"/>
    </row>
    <row r="270" s="1" customFormat="1" ht="29.1" customHeight="1" spans="1:22">
      <c r="A270" s="62">
        <v>46184</v>
      </c>
      <c r="B270" s="63" t="s">
        <v>415</v>
      </c>
      <c r="C270" s="64" t="s">
        <v>1573</v>
      </c>
      <c r="D270" s="65"/>
      <c r="E270" s="67">
        <v>87084082</v>
      </c>
      <c r="F270" s="67">
        <v>46919</v>
      </c>
      <c r="G270" s="67" t="s">
        <v>1570</v>
      </c>
      <c r="H270" s="87">
        <v>672</v>
      </c>
      <c r="I270" s="68">
        <v>1344</v>
      </c>
      <c r="J270" s="45" t="s">
        <v>47</v>
      </c>
      <c r="K270" s="68" t="s">
        <v>33</v>
      </c>
      <c r="L270" s="69">
        <v>672</v>
      </c>
      <c r="M270" s="65"/>
      <c r="N270" s="69"/>
      <c r="O270" s="67" t="s">
        <v>1569</v>
      </c>
      <c r="P270" s="91"/>
      <c r="Q270" s="71"/>
      <c r="R270" s="71"/>
      <c r="S270" s="71"/>
      <c r="T270" s="72"/>
      <c r="U270" s="73"/>
      <c r="V270" s="12"/>
    </row>
    <row r="271" s="1" customFormat="1" ht="29.1" customHeight="1" spans="1:22">
      <c r="A271" s="62">
        <v>46179</v>
      </c>
      <c r="B271" s="63" t="s">
        <v>415</v>
      </c>
      <c r="C271" s="64" t="s">
        <v>1574</v>
      </c>
      <c r="D271" s="65"/>
      <c r="E271" s="67">
        <v>87262984</v>
      </c>
      <c r="F271" s="67">
        <v>46462</v>
      </c>
      <c r="G271" s="67" t="s">
        <v>1196</v>
      </c>
      <c r="H271" s="87">
        <v>1350</v>
      </c>
      <c r="I271" s="68">
        <v>2700</v>
      </c>
      <c r="J271" s="45" t="s">
        <v>47</v>
      </c>
      <c r="K271" s="68" t="s">
        <v>33</v>
      </c>
      <c r="L271" s="69">
        <v>1350</v>
      </c>
      <c r="M271" s="65"/>
      <c r="N271" s="69"/>
      <c r="O271" s="67" t="s">
        <v>1569</v>
      </c>
      <c r="P271" s="91"/>
      <c r="Q271" s="71"/>
      <c r="R271" s="71"/>
      <c r="S271" s="71"/>
      <c r="T271" s="72"/>
      <c r="U271" s="73"/>
      <c r="V271" s="12"/>
    </row>
    <row r="272" s="1" customFormat="1" ht="29.1" customHeight="1" spans="1:22">
      <c r="A272" s="62">
        <v>46179</v>
      </c>
      <c r="B272" s="63" t="s">
        <v>415</v>
      </c>
      <c r="C272" s="64" t="s">
        <v>1574</v>
      </c>
      <c r="D272" s="65"/>
      <c r="E272" s="67">
        <v>87263260</v>
      </c>
      <c r="F272" s="67">
        <v>46496</v>
      </c>
      <c r="G272" s="67" t="s">
        <v>1570</v>
      </c>
      <c r="H272" s="87">
        <v>251</v>
      </c>
      <c r="I272" s="68">
        <v>502</v>
      </c>
      <c r="J272" s="45" t="s">
        <v>47</v>
      </c>
      <c r="K272" s="68" t="s">
        <v>33</v>
      </c>
      <c r="L272" s="69">
        <v>251</v>
      </c>
      <c r="M272" s="65"/>
      <c r="N272" s="69"/>
      <c r="O272" s="67" t="s">
        <v>1569</v>
      </c>
      <c r="P272" s="91"/>
      <c r="Q272" s="71"/>
      <c r="R272" s="71"/>
      <c r="S272" s="71"/>
      <c r="T272" s="72"/>
      <c r="U272" s="73"/>
      <c r="V272" s="12"/>
    </row>
    <row r="273" s="1" customFormat="1" ht="29.1" customHeight="1" spans="1:22">
      <c r="A273" s="62">
        <v>46179</v>
      </c>
      <c r="B273" s="63" t="s">
        <v>415</v>
      </c>
      <c r="C273" s="64" t="s">
        <v>1574</v>
      </c>
      <c r="D273" s="65"/>
      <c r="E273" s="67">
        <v>87268187</v>
      </c>
      <c r="F273" s="67">
        <v>46911</v>
      </c>
      <c r="G273" s="67" t="s">
        <v>1575</v>
      </c>
      <c r="H273" s="87">
        <v>1350</v>
      </c>
      <c r="I273" s="68">
        <v>2700</v>
      </c>
      <c r="J273" s="45" t="s">
        <v>47</v>
      </c>
      <c r="K273" s="68" t="s">
        <v>33</v>
      </c>
      <c r="L273" s="69">
        <v>1350</v>
      </c>
      <c r="M273" s="65"/>
      <c r="N273" s="69"/>
      <c r="O273" s="67" t="s">
        <v>1569</v>
      </c>
      <c r="P273" s="91"/>
      <c r="Q273" s="71"/>
      <c r="R273" s="71"/>
      <c r="S273" s="71"/>
      <c r="T273" s="72"/>
      <c r="U273" s="73"/>
      <c r="V273" s="12"/>
    </row>
    <row r="274" s="1" customFormat="1" ht="29.1" customHeight="1" spans="1:22">
      <c r="A274" s="62">
        <v>46179</v>
      </c>
      <c r="B274" s="63" t="s">
        <v>415</v>
      </c>
      <c r="C274" s="64" t="s">
        <v>1576</v>
      </c>
      <c r="D274" s="65"/>
      <c r="E274" s="67">
        <v>87084187</v>
      </c>
      <c r="F274" s="67">
        <v>46918</v>
      </c>
      <c r="G274" s="67" t="s">
        <v>1568</v>
      </c>
      <c r="H274" s="87">
        <v>351</v>
      </c>
      <c r="I274" s="68">
        <v>702</v>
      </c>
      <c r="J274" s="45" t="s">
        <v>47</v>
      </c>
      <c r="K274" s="68" t="s">
        <v>33</v>
      </c>
      <c r="L274" s="69">
        <v>351</v>
      </c>
      <c r="M274" s="65"/>
      <c r="N274" s="69"/>
      <c r="O274" s="67" t="s">
        <v>1569</v>
      </c>
      <c r="P274" s="91"/>
      <c r="Q274" s="71"/>
      <c r="R274" s="71"/>
      <c r="S274" s="71"/>
      <c r="T274" s="72"/>
      <c r="U274" s="73"/>
      <c r="V274" s="12"/>
    </row>
    <row r="275" s="1" customFormat="1" ht="29.1" customHeight="1" spans="1:22">
      <c r="A275" s="62">
        <v>46179</v>
      </c>
      <c r="B275" s="63" t="s">
        <v>415</v>
      </c>
      <c r="C275" s="64" t="s">
        <v>1576</v>
      </c>
      <c r="D275" s="65"/>
      <c r="E275" s="67">
        <v>87084082</v>
      </c>
      <c r="F275" s="67">
        <v>46919</v>
      </c>
      <c r="G275" s="67" t="s">
        <v>1570</v>
      </c>
      <c r="H275" s="87">
        <v>276</v>
      </c>
      <c r="I275" s="68">
        <v>552</v>
      </c>
      <c r="J275" s="45" t="s">
        <v>47</v>
      </c>
      <c r="K275" s="68" t="s">
        <v>33</v>
      </c>
      <c r="L275" s="69">
        <v>276</v>
      </c>
      <c r="M275" s="65"/>
      <c r="N275" s="69"/>
      <c r="O275" s="67" t="s">
        <v>1569</v>
      </c>
      <c r="P275" s="91"/>
      <c r="Q275" s="71"/>
      <c r="R275" s="71"/>
      <c r="S275" s="71"/>
      <c r="T275" s="72"/>
      <c r="U275" s="73"/>
      <c r="V275" s="12"/>
    </row>
    <row r="276" s="1" customFormat="1" ht="29.1" customHeight="1" spans="1:22">
      <c r="A276" s="62">
        <v>46179</v>
      </c>
      <c r="B276" s="63" t="s">
        <v>415</v>
      </c>
      <c r="C276" s="64" t="s">
        <v>1577</v>
      </c>
      <c r="D276" s="65"/>
      <c r="E276" s="67">
        <v>87085223</v>
      </c>
      <c r="F276" s="67">
        <v>11369</v>
      </c>
      <c r="G276" s="67" t="s">
        <v>1572</v>
      </c>
      <c r="H276" s="87">
        <v>146</v>
      </c>
      <c r="I276" s="68">
        <v>584</v>
      </c>
      <c r="J276" s="68" t="s">
        <v>32</v>
      </c>
      <c r="K276" s="68" t="s">
        <v>33</v>
      </c>
      <c r="L276" s="69">
        <v>146</v>
      </c>
      <c r="M276" s="65"/>
      <c r="N276" s="69"/>
      <c r="O276" s="67" t="s">
        <v>1569</v>
      </c>
      <c r="P276" s="91"/>
      <c r="Q276" s="71"/>
      <c r="R276" s="71"/>
      <c r="S276" s="71"/>
      <c r="T276" s="72"/>
      <c r="U276" s="73"/>
      <c r="V276" s="12"/>
    </row>
    <row r="277" s="1" customFormat="1" ht="29.1" customHeight="1" spans="1:22">
      <c r="A277" s="62">
        <v>46179</v>
      </c>
      <c r="B277" s="63" t="s">
        <v>415</v>
      </c>
      <c r="C277" s="64" t="s">
        <v>1567</v>
      </c>
      <c r="D277" s="65"/>
      <c r="E277" s="67">
        <v>87084187</v>
      </c>
      <c r="F277" s="67">
        <v>46918</v>
      </c>
      <c r="G277" s="67" t="s">
        <v>1568</v>
      </c>
      <c r="H277" s="87">
        <v>489</v>
      </c>
      <c r="I277" s="68">
        <v>978</v>
      </c>
      <c r="J277" s="45" t="s">
        <v>47</v>
      </c>
      <c r="K277" s="68" t="s">
        <v>33</v>
      </c>
      <c r="L277" s="69">
        <v>489</v>
      </c>
      <c r="M277" s="65"/>
      <c r="N277" s="69"/>
      <c r="O277" s="67" t="s">
        <v>1569</v>
      </c>
      <c r="P277" s="91"/>
      <c r="Q277" s="71"/>
      <c r="R277" s="71"/>
      <c r="S277" s="71"/>
      <c r="T277" s="72"/>
      <c r="U277" s="73"/>
      <c r="V277" s="12"/>
    </row>
    <row r="278" s="1" customFormat="1" ht="29.1" customHeight="1" spans="1:22">
      <c r="A278" s="62">
        <v>46179</v>
      </c>
      <c r="B278" s="63" t="s">
        <v>415</v>
      </c>
      <c r="C278" s="64" t="s">
        <v>1567</v>
      </c>
      <c r="D278" s="65"/>
      <c r="E278" s="67">
        <v>87084082</v>
      </c>
      <c r="F278" s="67">
        <v>46919</v>
      </c>
      <c r="G278" s="67" t="s">
        <v>1570</v>
      </c>
      <c r="H278" s="87">
        <v>384</v>
      </c>
      <c r="I278" s="68">
        <v>768</v>
      </c>
      <c r="J278" s="45" t="s">
        <v>47</v>
      </c>
      <c r="K278" s="68" t="s">
        <v>33</v>
      </c>
      <c r="L278" s="69">
        <v>384</v>
      </c>
      <c r="M278" s="65"/>
      <c r="N278" s="69"/>
      <c r="O278" s="67" t="s">
        <v>1569</v>
      </c>
      <c r="P278" s="91"/>
      <c r="Q278" s="71"/>
      <c r="R278" s="71"/>
      <c r="S278" s="71"/>
      <c r="T278" s="72"/>
      <c r="U278" s="73"/>
      <c r="V278" s="12"/>
    </row>
    <row r="279" s="1" customFormat="1" ht="29.1" customHeight="1" spans="1:22">
      <c r="A279" s="62">
        <v>46179</v>
      </c>
      <c r="B279" s="63" t="s">
        <v>415</v>
      </c>
      <c r="C279" s="64" t="s">
        <v>1571</v>
      </c>
      <c r="D279" s="65"/>
      <c r="E279" s="67">
        <v>87085223</v>
      </c>
      <c r="F279" s="67">
        <v>11369</v>
      </c>
      <c r="G279" s="67" t="s">
        <v>1572</v>
      </c>
      <c r="H279" s="87">
        <v>204</v>
      </c>
      <c r="I279" s="68">
        <v>816</v>
      </c>
      <c r="J279" s="68" t="s">
        <v>32</v>
      </c>
      <c r="K279" s="68" t="s">
        <v>33</v>
      </c>
      <c r="L279" s="69">
        <v>204</v>
      </c>
      <c r="M279" s="65"/>
      <c r="N279" s="69"/>
      <c r="O279" s="67" t="s">
        <v>1569</v>
      </c>
      <c r="P279" s="91"/>
      <c r="Q279" s="71"/>
      <c r="R279" s="71"/>
      <c r="S279" s="71"/>
      <c r="T279" s="72"/>
      <c r="U279" s="73"/>
      <c r="V279" s="12"/>
    </row>
    <row r="280" s="1" customFormat="1" ht="29.1" customHeight="1" spans="1:22">
      <c r="A280" s="62">
        <v>46184</v>
      </c>
      <c r="B280" s="63" t="s">
        <v>415</v>
      </c>
      <c r="C280" s="64" t="s">
        <v>1578</v>
      </c>
      <c r="D280" s="65"/>
      <c r="E280" s="67">
        <v>87261194</v>
      </c>
      <c r="F280" s="67">
        <v>46097</v>
      </c>
      <c r="G280" s="67" t="s">
        <v>1579</v>
      </c>
      <c r="H280" s="87">
        <v>1500</v>
      </c>
      <c r="I280" s="68">
        <v>3000</v>
      </c>
      <c r="J280" s="45" t="s">
        <v>47</v>
      </c>
      <c r="K280" s="68" t="s">
        <v>33</v>
      </c>
      <c r="L280" s="69">
        <v>1500</v>
      </c>
      <c r="M280" s="65"/>
      <c r="N280" s="69"/>
      <c r="O280" s="67" t="s">
        <v>1569</v>
      </c>
      <c r="P280" s="91"/>
      <c r="Q280" s="71"/>
      <c r="R280" s="71"/>
      <c r="S280" s="71"/>
      <c r="T280" s="72"/>
      <c r="U280" s="73"/>
      <c r="V280" s="12"/>
    </row>
    <row r="281" s="1" customFormat="1" ht="29.1" customHeight="1" spans="1:22">
      <c r="A281" s="62">
        <v>46184</v>
      </c>
      <c r="B281" s="63" t="s">
        <v>415</v>
      </c>
      <c r="C281" s="64" t="s">
        <v>1578</v>
      </c>
      <c r="D281" s="65"/>
      <c r="E281" s="67">
        <v>87268164</v>
      </c>
      <c r="F281" s="67">
        <v>46133</v>
      </c>
      <c r="G281" s="67" t="s">
        <v>1580</v>
      </c>
      <c r="H281" s="87">
        <v>346</v>
      </c>
      <c r="I281" s="68">
        <v>692</v>
      </c>
      <c r="J281" s="45" t="s">
        <v>47</v>
      </c>
      <c r="K281" s="68" t="s">
        <v>33</v>
      </c>
      <c r="L281" s="69">
        <v>346</v>
      </c>
      <c r="M281" s="65"/>
      <c r="N281" s="69"/>
      <c r="O281" s="67" t="s">
        <v>1569</v>
      </c>
      <c r="P281" s="91"/>
      <c r="Q281" s="71"/>
      <c r="R281" s="71"/>
      <c r="S281" s="71"/>
      <c r="T281" s="72"/>
      <c r="U281" s="73"/>
      <c r="V281" s="12"/>
    </row>
    <row r="282" s="1" customFormat="1" ht="29.1" customHeight="1" spans="1:22">
      <c r="A282" s="62">
        <v>46184</v>
      </c>
      <c r="B282" s="63" t="s">
        <v>415</v>
      </c>
      <c r="C282" s="64" t="s">
        <v>1574</v>
      </c>
      <c r="D282" s="65"/>
      <c r="E282" s="67">
        <v>87263260</v>
      </c>
      <c r="F282" s="67">
        <v>46496</v>
      </c>
      <c r="G282" s="67" t="s">
        <v>1570</v>
      </c>
      <c r="H282" s="87">
        <v>1599</v>
      </c>
      <c r="I282" s="68">
        <f t="shared" ref="I282:I286" si="63">H282*2</f>
        <v>3198</v>
      </c>
      <c r="J282" s="45" t="s">
        <v>47</v>
      </c>
      <c r="K282" s="68" t="s">
        <v>33</v>
      </c>
      <c r="L282" s="69">
        <v>1599</v>
      </c>
      <c r="M282" s="65"/>
      <c r="N282" s="69"/>
      <c r="O282" s="67" t="s">
        <v>1569</v>
      </c>
      <c r="P282" s="91"/>
      <c r="Q282" s="71"/>
      <c r="R282" s="71"/>
      <c r="S282" s="71"/>
      <c r="T282" s="72"/>
      <c r="U282" s="73"/>
      <c r="V282" s="12"/>
    </row>
    <row r="283" s="1" customFormat="1" ht="29.1" customHeight="1" spans="1:22">
      <c r="A283" s="62">
        <v>46184</v>
      </c>
      <c r="B283" s="63" t="s">
        <v>415</v>
      </c>
      <c r="C283" s="64" t="s">
        <v>1581</v>
      </c>
      <c r="D283" s="65"/>
      <c r="E283" s="67">
        <v>87084187</v>
      </c>
      <c r="F283" s="67">
        <v>46918</v>
      </c>
      <c r="G283" s="67" t="s">
        <v>1568</v>
      </c>
      <c r="H283" s="87">
        <v>692</v>
      </c>
      <c r="I283" s="68">
        <f t="shared" si="63"/>
        <v>1384</v>
      </c>
      <c r="J283" s="45" t="s">
        <v>47</v>
      </c>
      <c r="K283" s="68" t="s">
        <v>33</v>
      </c>
      <c r="L283" s="69">
        <v>692</v>
      </c>
      <c r="M283" s="65"/>
      <c r="N283" s="69"/>
      <c r="O283" s="67" t="s">
        <v>1569</v>
      </c>
      <c r="P283" s="91"/>
      <c r="Q283" s="71"/>
      <c r="R283" s="71"/>
      <c r="S283" s="71"/>
      <c r="T283" s="72"/>
      <c r="U283" s="73"/>
      <c r="V283" s="12"/>
    </row>
    <row r="284" s="1" customFormat="1" ht="29.1" customHeight="1" spans="1:22">
      <c r="A284" s="62">
        <v>46196</v>
      </c>
      <c r="B284" s="63" t="s">
        <v>415</v>
      </c>
      <c r="C284" s="64" t="s">
        <v>1581</v>
      </c>
      <c r="D284" s="65"/>
      <c r="E284" s="67">
        <v>87084082</v>
      </c>
      <c r="F284" s="67">
        <v>46919</v>
      </c>
      <c r="G284" s="67" t="s">
        <v>1570</v>
      </c>
      <c r="H284" s="87">
        <v>623</v>
      </c>
      <c r="I284" s="68">
        <f t="shared" si="63"/>
        <v>1246</v>
      </c>
      <c r="J284" s="45" t="s">
        <v>47</v>
      </c>
      <c r="K284" s="68" t="s">
        <v>33</v>
      </c>
      <c r="L284" s="69">
        <v>623</v>
      </c>
      <c r="M284" s="65"/>
      <c r="N284" s="69"/>
      <c r="O284" s="67" t="s">
        <v>1569</v>
      </c>
      <c r="P284" s="91"/>
      <c r="Q284" s="71"/>
      <c r="R284" s="71"/>
      <c r="S284" s="71"/>
      <c r="T284" s="72"/>
      <c r="U284" s="73"/>
      <c r="V284" s="12"/>
    </row>
    <row r="285" s="1" customFormat="1" ht="29.1" customHeight="1" spans="1:22">
      <c r="A285" s="62">
        <v>46196</v>
      </c>
      <c r="B285" s="63" t="s">
        <v>415</v>
      </c>
      <c r="C285" s="64" t="s">
        <v>1582</v>
      </c>
      <c r="D285" s="65"/>
      <c r="E285" s="67">
        <v>87084187</v>
      </c>
      <c r="F285" s="67">
        <v>46918</v>
      </c>
      <c r="G285" s="67" t="s">
        <v>1568</v>
      </c>
      <c r="H285" s="87">
        <v>489</v>
      </c>
      <c r="I285" s="68">
        <f t="shared" si="63"/>
        <v>978</v>
      </c>
      <c r="J285" s="45" t="s">
        <v>47</v>
      </c>
      <c r="K285" s="68" t="s">
        <v>33</v>
      </c>
      <c r="L285" s="69">
        <v>489</v>
      </c>
      <c r="M285" s="65"/>
      <c r="N285" s="69"/>
      <c r="O285" s="67" t="s">
        <v>1569</v>
      </c>
      <c r="P285" s="91"/>
      <c r="Q285" s="71"/>
      <c r="R285" s="71"/>
      <c r="S285" s="71"/>
      <c r="T285" s="72"/>
      <c r="U285" s="73"/>
      <c r="V285" s="12"/>
    </row>
    <row r="286" s="1" customFormat="1" ht="29.1" customHeight="1" spans="1:22">
      <c r="A286" s="62">
        <v>46196</v>
      </c>
      <c r="B286" s="63" t="s">
        <v>415</v>
      </c>
      <c r="C286" s="64" t="s">
        <v>1582</v>
      </c>
      <c r="D286" s="65"/>
      <c r="E286" s="67">
        <v>87084082</v>
      </c>
      <c r="F286" s="67">
        <v>46919</v>
      </c>
      <c r="G286" s="67" t="s">
        <v>1570</v>
      </c>
      <c r="H286" s="87">
        <v>384</v>
      </c>
      <c r="I286" s="68">
        <f t="shared" si="63"/>
        <v>768</v>
      </c>
      <c r="J286" s="45" t="s">
        <v>47</v>
      </c>
      <c r="K286" s="68" t="s">
        <v>33</v>
      </c>
      <c r="L286" s="69">
        <v>384</v>
      </c>
      <c r="M286" s="65"/>
      <c r="N286" s="69"/>
      <c r="O286" s="67" t="s">
        <v>1569</v>
      </c>
      <c r="P286" s="91"/>
      <c r="Q286" s="71"/>
      <c r="R286" s="71"/>
      <c r="S286" s="71"/>
      <c r="T286" s="72"/>
      <c r="U286" s="73"/>
      <c r="V286" s="12"/>
    </row>
    <row r="287" s="1" customFormat="1" ht="29.1" customHeight="1" spans="1:22">
      <c r="A287" s="62">
        <v>46196</v>
      </c>
      <c r="B287" s="63" t="s">
        <v>415</v>
      </c>
      <c r="C287" s="64" t="s">
        <v>1583</v>
      </c>
      <c r="D287" s="65"/>
      <c r="E287" s="67">
        <v>87085223</v>
      </c>
      <c r="F287" s="67">
        <v>11369</v>
      </c>
      <c r="G287" s="67" t="s">
        <v>1572</v>
      </c>
      <c r="H287" s="87">
        <v>204</v>
      </c>
      <c r="I287" s="68">
        <f>H287*4</f>
        <v>816</v>
      </c>
      <c r="J287" s="68" t="s">
        <v>32</v>
      </c>
      <c r="K287" s="68" t="s">
        <v>33</v>
      </c>
      <c r="L287" s="69">
        <v>204</v>
      </c>
      <c r="M287" s="65"/>
      <c r="N287" s="69"/>
      <c r="O287" s="67" t="s">
        <v>1569</v>
      </c>
      <c r="P287" s="91"/>
      <c r="Q287" s="71"/>
      <c r="R287" s="71"/>
      <c r="S287" s="71"/>
      <c r="T287" s="72"/>
      <c r="U287" s="73"/>
      <c r="V287" s="12"/>
    </row>
    <row r="288" s="1" customFormat="1" ht="29.1" customHeight="1" spans="1:22">
      <c r="A288" s="62">
        <v>46186</v>
      </c>
      <c r="B288" s="63" t="s">
        <v>415</v>
      </c>
      <c r="C288" s="64" t="s">
        <v>1578</v>
      </c>
      <c r="D288" s="65"/>
      <c r="E288" s="67">
        <v>87264303</v>
      </c>
      <c r="F288" s="67">
        <v>46092</v>
      </c>
      <c r="G288" s="67" t="s">
        <v>1584</v>
      </c>
      <c r="H288" s="87">
        <v>1952</v>
      </c>
      <c r="I288" s="68">
        <f t="shared" ref="I288:I310" si="64">H288*2</f>
        <v>3904</v>
      </c>
      <c r="J288" s="45" t="s">
        <v>47</v>
      </c>
      <c r="K288" s="68" t="s">
        <v>33</v>
      </c>
      <c r="L288" s="69">
        <v>1952</v>
      </c>
      <c r="M288" s="65"/>
      <c r="N288" s="69"/>
      <c r="O288" s="67" t="s">
        <v>1569</v>
      </c>
      <c r="P288" s="91"/>
      <c r="Q288" s="71"/>
      <c r="R288" s="71"/>
      <c r="S288" s="71"/>
      <c r="T288" s="72"/>
      <c r="U288" s="73"/>
      <c r="V288" s="12"/>
    </row>
    <row r="289" s="1" customFormat="1" ht="29.1" customHeight="1" spans="1:22">
      <c r="A289" s="62">
        <v>46186</v>
      </c>
      <c r="B289" s="63" t="s">
        <v>415</v>
      </c>
      <c r="C289" s="64" t="s">
        <v>1578</v>
      </c>
      <c r="D289" s="65"/>
      <c r="E289" s="67">
        <v>87269074</v>
      </c>
      <c r="F289" s="67">
        <v>46094</v>
      </c>
      <c r="G289" s="67" t="s">
        <v>1585</v>
      </c>
      <c r="H289" s="87">
        <v>1000</v>
      </c>
      <c r="I289" s="68">
        <f t="shared" si="64"/>
        <v>2000</v>
      </c>
      <c r="J289" s="45" t="s">
        <v>47</v>
      </c>
      <c r="K289" s="68" t="s">
        <v>33</v>
      </c>
      <c r="L289" s="69">
        <v>1000</v>
      </c>
      <c r="M289" s="65"/>
      <c r="N289" s="69"/>
      <c r="O289" s="67" t="s">
        <v>1569</v>
      </c>
      <c r="P289" s="91"/>
      <c r="Q289" s="71"/>
      <c r="R289" s="71"/>
      <c r="S289" s="71"/>
      <c r="T289" s="72"/>
      <c r="U289" s="73"/>
      <c r="V289" s="12"/>
    </row>
    <row r="290" s="1" customFormat="1" ht="29.1" customHeight="1" spans="1:22">
      <c r="A290" s="62">
        <v>46186</v>
      </c>
      <c r="B290" s="63" t="s">
        <v>415</v>
      </c>
      <c r="C290" s="64" t="s">
        <v>1578</v>
      </c>
      <c r="D290" s="65"/>
      <c r="E290" s="67">
        <v>87264569</v>
      </c>
      <c r="F290" s="67">
        <v>46099</v>
      </c>
      <c r="G290" s="67" t="s">
        <v>1568</v>
      </c>
      <c r="H290" s="87">
        <v>2500</v>
      </c>
      <c r="I290" s="68">
        <f t="shared" si="64"/>
        <v>5000</v>
      </c>
      <c r="J290" s="45" t="s">
        <v>47</v>
      </c>
      <c r="K290" s="68" t="s">
        <v>33</v>
      </c>
      <c r="L290" s="69">
        <v>2500</v>
      </c>
      <c r="M290" s="65"/>
      <c r="N290" s="69"/>
      <c r="O290" s="67" t="s">
        <v>1569</v>
      </c>
      <c r="P290" s="91"/>
      <c r="Q290" s="71"/>
      <c r="R290" s="71"/>
      <c r="S290" s="71"/>
      <c r="T290" s="72"/>
      <c r="U290" s="73"/>
      <c r="V290" s="12"/>
    </row>
    <row r="291" s="1" customFormat="1" ht="29.1" customHeight="1" spans="1:22">
      <c r="A291" s="62">
        <v>46186</v>
      </c>
      <c r="B291" s="63" t="s">
        <v>415</v>
      </c>
      <c r="C291" s="64" t="s">
        <v>1578</v>
      </c>
      <c r="D291" s="65"/>
      <c r="E291" s="67">
        <v>87268164</v>
      </c>
      <c r="F291" s="67">
        <v>46133</v>
      </c>
      <c r="G291" s="67" t="s">
        <v>1580</v>
      </c>
      <c r="H291" s="87">
        <v>404</v>
      </c>
      <c r="I291" s="68">
        <f t="shared" si="64"/>
        <v>808</v>
      </c>
      <c r="J291" s="45" t="s">
        <v>47</v>
      </c>
      <c r="K291" s="68" t="s">
        <v>33</v>
      </c>
      <c r="L291" s="69">
        <v>404</v>
      </c>
      <c r="M291" s="65"/>
      <c r="N291" s="69"/>
      <c r="O291" s="67" t="s">
        <v>1569</v>
      </c>
      <c r="P291" s="91"/>
      <c r="Q291" s="71"/>
      <c r="R291" s="71"/>
      <c r="S291" s="71"/>
      <c r="T291" s="72"/>
      <c r="U291" s="73"/>
      <c r="V291" s="12"/>
    </row>
    <row r="292" s="1" customFormat="1" ht="29.1" customHeight="1" spans="1:22">
      <c r="A292" s="62">
        <v>46186</v>
      </c>
      <c r="B292" s="63" t="s">
        <v>415</v>
      </c>
      <c r="C292" s="64" t="s">
        <v>1578</v>
      </c>
      <c r="D292" s="65"/>
      <c r="E292" s="67">
        <v>87264303</v>
      </c>
      <c r="F292" s="67">
        <v>46092</v>
      </c>
      <c r="G292" s="67" t="s">
        <v>1584</v>
      </c>
      <c r="H292" s="87">
        <v>48</v>
      </c>
      <c r="I292" s="68">
        <f t="shared" si="64"/>
        <v>96</v>
      </c>
      <c r="J292" s="45" t="s">
        <v>47</v>
      </c>
      <c r="K292" s="68" t="s">
        <v>33</v>
      </c>
      <c r="L292" s="69">
        <v>48</v>
      </c>
      <c r="M292" s="65"/>
      <c r="N292" s="69"/>
      <c r="O292" s="67" t="s">
        <v>1569</v>
      </c>
      <c r="P292" s="91"/>
      <c r="Q292" s="71"/>
      <c r="R292" s="71"/>
      <c r="S292" s="71"/>
      <c r="T292" s="72"/>
      <c r="U292" s="73"/>
      <c r="V292" s="12"/>
    </row>
    <row r="293" s="1" customFormat="1" ht="29.1" customHeight="1" spans="1:22">
      <c r="A293" s="62">
        <v>46195</v>
      </c>
      <c r="B293" s="63" t="s">
        <v>415</v>
      </c>
      <c r="C293" s="64" t="s">
        <v>1586</v>
      </c>
      <c r="D293" s="65"/>
      <c r="E293" s="67">
        <v>87262984</v>
      </c>
      <c r="F293" s="67">
        <v>46462</v>
      </c>
      <c r="G293" s="67" t="s">
        <v>1196</v>
      </c>
      <c r="H293" s="87">
        <v>964</v>
      </c>
      <c r="I293" s="68">
        <f t="shared" si="64"/>
        <v>1928</v>
      </c>
      <c r="J293" s="45" t="s">
        <v>47</v>
      </c>
      <c r="K293" s="68" t="s">
        <v>33</v>
      </c>
      <c r="L293" s="69">
        <v>964</v>
      </c>
      <c r="M293" s="65"/>
      <c r="N293" s="69"/>
      <c r="O293" s="67" t="s">
        <v>1569</v>
      </c>
      <c r="P293" s="91"/>
      <c r="Q293" s="71"/>
      <c r="R293" s="71"/>
      <c r="S293" s="71"/>
      <c r="T293" s="72"/>
      <c r="U293" s="73"/>
      <c r="V293" s="12"/>
    </row>
    <row r="294" s="1" customFormat="1" ht="29.1" customHeight="1" spans="1:22">
      <c r="A294" s="62">
        <v>46195</v>
      </c>
      <c r="B294" s="63" t="s">
        <v>415</v>
      </c>
      <c r="C294" s="64" t="s">
        <v>1586</v>
      </c>
      <c r="D294" s="65"/>
      <c r="E294" s="67">
        <v>87268187</v>
      </c>
      <c r="F294" s="67">
        <v>46911</v>
      </c>
      <c r="G294" s="67" t="s">
        <v>1575</v>
      </c>
      <c r="H294" s="87">
        <v>964</v>
      </c>
      <c r="I294" s="68">
        <f t="shared" si="64"/>
        <v>1928</v>
      </c>
      <c r="J294" s="45" t="s">
        <v>47</v>
      </c>
      <c r="K294" s="68" t="s">
        <v>33</v>
      </c>
      <c r="L294" s="69">
        <v>964</v>
      </c>
      <c r="M294" s="65"/>
      <c r="N294" s="69"/>
      <c r="O294" s="67" t="s">
        <v>1569</v>
      </c>
      <c r="P294" s="91"/>
      <c r="Q294" s="71"/>
      <c r="R294" s="71"/>
      <c r="S294" s="71"/>
      <c r="T294" s="72"/>
      <c r="U294" s="73"/>
      <c r="V294" s="12"/>
    </row>
    <row r="295" s="1" customFormat="1" ht="29.1" customHeight="1" spans="1:22">
      <c r="A295" s="62">
        <v>46195</v>
      </c>
      <c r="B295" s="63" t="s">
        <v>415</v>
      </c>
      <c r="C295" s="64" t="s">
        <v>1586</v>
      </c>
      <c r="D295" s="65"/>
      <c r="E295" s="67">
        <v>87263260</v>
      </c>
      <c r="F295" s="67">
        <v>46496</v>
      </c>
      <c r="G295" s="67" t="s">
        <v>1570</v>
      </c>
      <c r="H295" s="87">
        <v>1024</v>
      </c>
      <c r="I295" s="68">
        <f t="shared" si="64"/>
        <v>2048</v>
      </c>
      <c r="J295" s="45" t="s">
        <v>47</v>
      </c>
      <c r="K295" s="68" t="s">
        <v>33</v>
      </c>
      <c r="L295" s="69">
        <v>1024</v>
      </c>
      <c r="M295" s="65"/>
      <c r="N295" s="69"/>
      <c r="O295" s="67" t="s">
        <v>1569</v>
      </c>
      <c r="P295" s="91"/>
      <c r="Q295" s="71"/>
      <c r="R295" s="71"/>
      <c r="S295" s="71"/>
      <c r="T295" s="72"/>
      <c r="U295" s="73"/>
      <c r="V295" s="12"/>
    </row>
    <row r="296" s="1" customFormat="1" ht="29.1" customHeight="1" spans="1:22">
      <c r="A296" s="62">
        <v>46196</v>
      </c>
      <c r="B296" s="63" t="s">
        <v>415</v>
      </c>
      <c r="C296" s="64" t="s">
        <v>1587</v>
      </c>
      <c r="D296" s="65"/>
      <c r="E296" s="67">
        <v>87261194</v>
      </c>
      <c r="F296" s="67">
        <v>46097</v>
      </c>
      <c r="G296" s="67" t="s">
        <v>1579</v>
      </c>
      <c r="H296" s="87">
        <v>160</v>
      </c>
      <c r="I296" s="68">
        <f t="shared" si="64"/>
        <v>320</v>
      </c>
      <c r="J296" s="45" t="s">
        <v>47</v>
      </c>
      <c r="K296" s="68" t="s">
        <v>33</v>
      </c>
      <c r="L296" s="69">
        <v>160</v>
      </c>
      <c r="M296" s="65"/>
      <c r="N296" s="69"/>
      <c r="O296" s="67" t="s">
        <v>1569</v>
      </c>
      <c r="P296" s="91"/>
      <c r="Q296" s="71"/>
      <c r="R296" s="71"/>
      <c r="S296" s="71"/>
      <c r="T296" s="72"/>
      <c r="U296" s="73"/>
      <c r="V296" s="12"/>
    </row>
    <row r="297" s="1" customFormat="1" ht="29.1" customHeight="1" spans="1:22">
      <c r="A297" s="62">
        <v>46196</v>
      </c>
      <c r="B297" s="63" t="s">
        <v>415</v>
      </c>
      <c r="C297" s="64" t="s">
        <v>1587</v>
      </c>
      <c r="D297" s="65"/>
      <c r="E297" s="67">
        <v>87263071</v>
      </c>
      <c r="F297" s="67">
        <v>46132</v>
      </c>
      <c r="G297" s="67" t="s">
        <v>1588</v>
      </c>
      <c r="H297" s="87">
        <v>600</v>
      </c>
      <c r="I297" s="68">
        <f t="shared" si="64"/>
        <v>1200</v>
      </c>
      <c r="J297" s="45" t="s">
        <v>47</v>
      </c>
      <c r="K297" s="68" t="s">
        <v>33</v>
      </c>
      <c r="L297" s="69">
        <v>600</v>
      </c>
      <c r="M297" s="65"/>
      <c r="N297" s="69"/>
      <c r="O297" s="67" t="s">
        <v>1569</v>
      </c>
      <c r="P297" s="91"/>
      <c r="Q297" s="71"/>
      <c r="R297" s="71"/>
      <c r="S297" s="71"/>
      <c r="T297" s="72"/>
      <c r="U297" s="73"/>
      <c r="V297" s="12"/>
    </row>
    <row r="298" s="1" customFormat="1" ht="29.1" customHeight="1" spans="1:22">
      <c r="A298" s="62">
        <v>46196</v>
      </c>
      <c r="B298" s="63" t="s">
        <v>415</v>
      </c>
      <c r="C298" s="64" t="s">
        <v>1587</v>
      </c>
      <c r="D298" s="65"/>
      <c r="E298" s="67">
        <v>87264569</v>
      </c>
      <c r="F298" s="67">
        <v>46099</v>
      </c>
      <c r="G298" s="67" t="s">
        <v>1568</v>
      </c>
      <c r="H298" s="87">
        <v>440</v>
      </c>
      <c r="I298" s="68">
        <f t="shared" si="64"/>
        <v>880</v>
      </c>
      <c r="J298" s="45" t="s">
        <v>47</v>
      </c>
      <c r="K298" s="68" t="s">
        <v>33</v>
      </c>
      <c r="L298" s="69">
        <v>440</v>
      </c>
      <c r="M298" s="65"/>
      <c r="N298" s="69"/>
      <c r="O298" s="67" t="s">
        <v>1569</v>
      </c>
      <c r="P298" s="91"/>
      <c r="Q298" s="71"/>
      <c r="R298" s="71"/>
      <c r="S298" s="71"/>
      <c r="T298" s="72"/>
      <c r="U298" s="73"/>
      <c r="V298" s="12"/>
    </row>
    <row r="299" s="1" customFormat="1" ht="29.1" customHeight="1" spans="1:22">
      <c r="A299" s="62">
        <v>46196</v>
      </c>
      <c r="B299" s="63" t="s">
        <v>415</v>
      </c>
      <c r="C299" s="64" t="s">
        <v>1587</v>
      </c>
      <c r="D299" s="65"/>
      <c r="E299" s="67">
        <v>87264303</v>
      </c>
      <c r="F299" s="67">
        <v>46092</v>
      </c>
      <c r="G299" s="67" t="s">
        <v>1584</v>
      </c>
      <c r="H299" s="87">
        <v>420</v>
      </c>
      <c r="I299" s="68">
        <f t="shared" si="64"/>
        <v>840</v>
      </c>
      <c r="J299" s="45" t="s">
        <v>47</v>
      </c>
      <c r="K299" s="68" t="s">
        <v>33</v>
      </c>
      <c r="L299" s="69">
        <v>420</v>
      </c>
      <c r="M299" s="65"/>
      <c r="N299" s="69"/>
      <c r="O299" s="67" t="s">
        <v>1569</v>
      </c>
      <c r="P299" s="91"/>
      <c r="Q299" s="71"/>
      <c r="R299" s="71"/>
      <c r="S299" s="71"/>
      <c r="T299" s="72"/>
      <c r="U299" s="73"/>
      <c r="V299" s="12"/>
    </row>
    <row r="300" s="1" customFormat="1" ht="29.1" customHeight="1" spans="1:22">
      <c r="A300" s="62">
        <v>46196</v>
      </c>
      <c r="B300" s="63" t="s">
        <v>415</v>
      </c>
      <c r="C300" s="64" t="s">
        <v>1587</v>
      </c>
      <c r="D300" s="65"/>
      <c r="E300" s="67">
        <v>87268164</v>
      </c>
      <c r="F300" s="67">
        <v>46133</v>
      </c>
      <c r="G300" s="67" t="s">
        <v>1580</v>
      </c>
      <c r="H300" s="87">
        <v>160</v>
      </c>
      <c r="I300" s="68">
        <f t="shared" si="64"/>
        <v>320</v>
      </c>
      <c r="J300" s="45" t="s">
        <v>47</v>
      </c>
      <c r="K300" s="68" t="s">
        <v>33</v>
      </c>
      <c r="L300" s="69">
        <v>160</v>
      </c>
      <c r="M300" s="65"/>
      <c r="N300" s="69"/>
      <c r="O300" s="67" t="s">
        <v>1569</v>
      </c>
      <c r="P300" s="91"/>
      <c r="Q300" s="71"/>
      <c r="R300" s="71"/>
      <c r="S300" s="71"/>
      <c r="T300" s="72"/>
      <c r="U300" s="73"/>
      <c r="V300" s="12"/>
    </row>
    <row r="301" s="1" customFormat="1" ht="29.1" customHeight="1" spans="1:22">
      <c r="A301" s="62">
        <v>46196</v>
      </c>
      <c r="B301" s="63" t="s">
        <v>415</v>
      </c>
      <c r="C301" s="64" t="s">
        <v>1587</v>
      </c>
      <c r="D301" s="65"/>
      <c r="E301" s="67">
        <v>87268508</v>
      </c>
      <c r="F301" s="67">
        <v>46134</v>
      </c>
      <c r="G301" s="67" t="s">
        <v>1589</v>
      </c>
      <c r="H301" s="87">
        <v>200</v>
      </c>
      <c r="I301" s="68">
        <f t="shared" si="64"/>
        <v>400</v>
      </c>
      <c r="J301" s="45" t="s">
        <v>47</v>
      </c>
      <c r="K301" s="68" t="s">
        <v>33</v>
      </c>
      <c r="L301" s="69">
        <v>200</v>
      </c>
      <c r="M301" s="65"/>
      <c r="N301" s="69"/>
      <c r="O301" s="67" t="s">
        <v>1569</v>
      </c>
      <c r="P301" s="91"/>
      <c r="Q301" s="71"/>
      <c r="R301" s="71"/>
      <c r="S301" s="71"/>
      <c r="T301" s="72"/>
      <c r="U301" s="73"/>
      <c r="V301" s="12"/>
    </row>
    <row r="302" s="1" customFormat="1" ht="29.1" customHeight="1" spans="1:22">
      <c r="A302" s="62">
        <v>46196</v>
      </c>
      <c r="B302" s="63" t="s">
        <v>415</v>
      </c>
      <c r="C302" s="64" t="s">
        <v>1587</v>
      </c>
      <c r="D302" s="65"/>
      <c r="E302" s="67">
        <v>87269074</v>
      </c>
      <c r="F302" s="67">
        <v>46094</v>
      </c>
      <c r="G302" s="67" t="s">
        <v>1585</v>
      </c>
      <c r="H302" s="87">
        <v>180</v>
      </c>
      <c r="I302" s="68">
        <f t="shared" si="64"/>
        <v>360</v>
      </c>
      <c r="J302" s="45" t="s">
        <v>47</v>
      </c>
      <c r="K302" s="68" t="s">
        <v>33</v>
      </c>
      <c r="L302" s="69">
        <v>180</v>
      </c>
      <c r="M302" s="65"/>
      <c r="N302" s="69"/>
      <c r="O302" s="67" t="s">
        <v>1569</v>
      </c>
      <c r="P302" s="91"/>
      <c r="Q302" s="71"/>
      <c r="R302" s="71"/>
      <c r="S302" s="71"/>
      <c r="T302" s="72"/>
      <c r="U302" s="73"/>
      <c r="V302" s="12"/>
    </row>
    <row r="303" s="1" customFormat="1" ht="29.1" customHeight="1" spans="1:22">
      <c r="A303" s="62">
        <v>46196</v>
      </c>
      <c r="B303" s="63" t="s">
        <v>415</v>
      </c>
      <c r="C303" s="64" t="s">
        <v>1587</v>
      </c>
      <c r="D303" s="65"/>
      <c r="E303" s="67">
        <v>87262984</v>
      </c>
      <c r="F303" s="67">
        <v>46462</v>
      </c>
      <c r="G303" s="67" t="s">
        <v>1196</v>
      </c>
      <c r="H303" s="87">
        <v>320</v>
      </c>
      <c r="I303" s="68">
        <f t="shared" si="64"/>
        <v>640</v>
      </c>
      <c r="J303" s="45" t="s">
        <v>47</v>
      </c>
      <c r="K303" s="68" t="s">
        <v>33</v>
      </c>
      <c r="L303" s="69">
        <v>320</v>
      </c>
      <c r="M303" s="65"/>
      <c r="N303" s="69"/>
      <c r="O303" s="67" t="s">
        <v>1569</v>
      </c>
      <c r="P303" s="91"/>
      <c r="Q303" s="71"/>
      <c r="R303" s="71"/>
      <c r="S303" s="71"/>
      <c r="T303" s="72"/>
      <c r="U303" s="73"/>
      <c r="V303" s="12"/>
    </row>
    <row r="304" s="1" customFormat="1" ht="29.1" customHeight="1" spans="1:22">
      <c r="A304" s="62">
        <v>46196</v>
      </c>
      <c r="B304" s="63" t="s">
        <v>415</v>
      </c>
      <c r="C304" s="64" t="s">
        <v>1587</v>
      </c>
      <c r="D304" s="65"/>
      <c r="E304" s="67">
        <v>87263260</v>
      </c>
      <c r="F304" s="67">
        <v>46496</v>
      </c>
      <c r="G304" s="67" t="s">
        <v>1570</v>
      </c>
      <c r="H304" s="87">
        <v>440</v>
      </c>
      <c r="I304" s="68">
        <f t="shared" si="64"/>
        <v>880</v>
      </c>
      <c r="J304" s="45" t="s">
        <v>47</v>
      </c>
      <c r="K304" s="68" t="s">
        <v>33</v>
      </c>
      <c r="L304" s="69">
        <v>440</v>
      </c>
      <c r="M304" s="65"/>
      <c r="N304" s="69"/>
      <c r="O304" s="67" t="s">
        <v>1569</v>
      </c>
      <c r="P304" s="91"/>
      <c r="Q304" s="71"/>
      <c r="R304" s="71"/>
      <c r="S304" s="71"/>
      <c r="T304" s="72"/>
      <c r="U304" s="73"/>
      <c r="V304" s="12"/>
    </row>
    <row r="305" s="1" customFormat="1" ht="29.1" customHeight="1" spans="1:22">
      <c r="A305" s="62">
        <v>46196</v>
      </c>
      <c r="B305" s="63" t="s">
        <v>415</v>
      </c>
      <c r="C305" s="64" t="s">
        <v>1587</v>
      </c>
      <c r="D305" s="65"/>
      <c r="E305" s="67">
        <v>87268187</v>
      </c>
      <c r="F305" s="67">
        <v>46911</v>
      </c>
      <c r="G305" s="67" t="s">
        <v>1575</v>
      </c>
      <c r="H305" s="87">
        <v>32</v>
      </c>
      <c r="I305" s="68">
        <f t="shared" si="64"/>
        <v>64</v>
      </c>
      <c r="J305" s="45" t="s">
        <v>47</v>
      </c>
      <c r="K305" s="68" t="s">
        <v>33</v>
      </c>
      <c r="L305" s="69">
        <v>32</v>
      </c>
      <c r="M305" s="65"/>
      <c r="N305" s="69"/>
      <c r="O305" s="67" t="s">
        <v>1569</v>
      </c>
      <c r="P305" s="91"/>
      <c r="Q305" s="71"/>
      <c r="R305" s="71"/>
      <c r="S305" s="71"/>
      <c r="T305" s="72"/>
      <c r="U305" s="73"/>
      <c r="V305" s="12"/>
    </row>
    <row r="306" s="1" customFormat="1" ht="29.1" customHeight="1" spans="1:22">
      <c r="A306" s="62">
        <v>46195</v>
      </c>
      <c r="B306" s="63" t="s">
        <v>415</v>
      </c>
      <c r="C306" s="64" t="s">
        <v>1586</v>
      </c>
      <c r="D306" s="65"/>
      <c r="E306" s="67">
        <v>87263260</v>
      </c>
      <c r="F306" s="67">
        <v>46496</v>
      </c>
      <c r="G306" s="67" t="s">
        <v>1570</v>
      </c>
      <c r="H306" s="87">
        <v>287</v>
      </c>
      <c r="I306" s="68">
        <f t="shared" si="64"/>
        <v>574</v>
      </c>
      <c r="J306" s="45" t="s">
        <v>47</v>
      </c>
      <c r="K306" s="68" t="s">
        <v>33</v>
      </c>
      <c r="L306" s="69">
        <v>287</v>
      </c>
      <c r="M306" s="65"/>
      <c r="N306" s="69"/>
      <c r="O306" s="67" t="s">
        <v>1569</v>
      </c>
      <c r="P306" s="91"/>
      <c r="Q306" s="71"/>
      <c r="R306" s="71"/>
      <c r="S306" s="71"/>
      <c r="T306" s="72"/>
      <c r="U306" s="73"/>
      <c r="V306" s="12"/>
    </row>
    <row r="307" s="1" customFormat="1" ht="29.1" customHeight="1" spans="1:22">
      <c r="A307" s="62">
        <v>46195</v>
      </c>
      <c r="B307" s="63" t="s">
        <v>415</v>
      </c>
      <c r="C307" s="64" t="s">
        <v>1587</v>
      </c>
      <c r="D307" s="65"/>
      <c r="E307" s="67">
        <v>87268187</v>
      </c>
      <c r="F307" s="67">
        <v>46911</v>
      </c>
      <c r="G307" s="67" t="s">
        <v>1575</v>
      </c>
      <c r="H307" s="87">
        <v>288</v>
      </c>
      <c r="I307" s="68">
        <f t="shared" si="64"/>
        <v>576</v>
      </c>
      <c r="J307" s="45" t="s">
        <v>47</v>
      </c>
      <c r="K307" s="68" t="s">
        <v>33</v>
      </c>
      <c r="L307" s="69">
        <v>288</v>
      </c>
      <c r="M307" s="65"/>
      <c r="N307" s="69"/>
      <c r="O307" s="67" t="s">
        <v>1569</v>
      </c>
      <c r="P307" s="91"/>
      <c r="Q307" s="71"/>
      <c r="R307" s="71"/>
      <c r="S307" s="71"/>
      <c r="T307" s="72"/>
      <c r="U307" s="73"/>
      <c r="V307" s="12"/>
    </row>
    <row r="308" s="1" customFormat="1" ht="29.1" customHeight="1" spans="1:22">
      <c r="A308" s="62">
        <v>46203</v>
      </c>
      <c r="B308" s="63" t="s">
        <v>415</v>
      </c>
      <c r="C308" s="64" t="s">
        <v>1590</v>
      </c>
      <c r="D308" s="65"/>
      <c r="E308" s="67">
        <v>87084187</v>
      </c>
      <c r="F308" s="67">
        <v>46918</v>
      </c>
      <c r="G308" s="67" t="s">
        <v>1568</v>
      </c>
      <c r="H308" s="87">
        <v>351</v>
      </c>
      <c r="I308" s="68">
        <f t="shared" si="64"/>
        <v>702</v>
      </c>
      <c r="J308" s="45" t="s">
        <v>47</v>
      </c>
      <c r="K308" s="68" t="s">
        <v>33</v>
      </c>
      <c r="L308" s="69">
        <v>351</v>
      </c>
      <c r="M308" s="65"/>
      <c r="N308" s="69"/>
      <c r="O308" s="67" t="s">
        <v>1569</v>
      </c>
      <c r="P308" s="91"/>
      <c r="Q308" s="71"/>
      <c r="R308" s="71"/>
      <c r="S308" s="71"/>
      <c r="T308" s="72"/>
      <c r="U308" s="73"/>
      <c r="V308" s="12"/>
    </row>
    <row r="309" s="1" customFormat="1" ht="29.1" customHeight="1" spans="1:22">
      <c r="A309" s="62">
        <v>46203</v>
      </c>
      <c r="B309" s="63" t="s">
        <v>415</v>
      </c>
      <c r="C309" s="64" t="s">
        <v>1590</v>
      </c>
      <c r="D309" s="65"/>
      <c r="E309" s="67">
        <v>87084082</v>
      </c>
      <c r="F309" s="67">
        <v>46919</v>
      </c>
      <c r="G309" s="67" t="s">
        <v>1570</v>
      </c>
      <c r="H309" s="87">
        <v>276</v>
      </c>
      <c r="I309" s="68">
        <f t="shared" si="64"/>
        <v>552</v>
      </c>
      <c r="J309" s="45" t="s">
        <v>47</v>
      </c>
      <c r="K309" s="68" t="s">
        <v>33</v>
      </c>
      <c r="L309" s="69">
        <v>276</v>
      </c>
      <c r="M309" s="65"/>
      <c r="N309" s="69"/>
      <c r="O309" s="67" t="s">
        <v>1569</v>
      </c>
      <c r="P309" s="91"/>
      <c r="Q309" s="71"/>
      <c r="R309" s="71"/>
      <c r="S309" s="71"/>
      <c r="T309" s="72"/>
      <c r="U309" s="73"/>
      <c r="V309" s="12"/>
    </row>
    <row r="310" s="1" customFormat="1" ht="29.1" customHeight="1" spans="1:22">
      <c r="A310" s="62">
        <v>46203</v>
      </c>
      <c r="B310" s="63" t="s">
        <v>415</v>
      </c>
      <c r="C310" s="64" t="s">
        <v>1591</v>
      </c>
      <c r="D310" s="65"/>
      <c r="E310" s="67">
        <v>87085223</v>
      </c>
      <c r="F310" s="67">
        <v>11369</v>
      </c>
      <c r="G310" s="67" t="s">
        <v>1572</v>
      </c>
      <c r="H310" s="87">
        <v>175</v>
      </c>
      <c r="I310" s="68">
        <f t="shared" si="64"/>
        <v>350</v>
      </c>
      <c r="J310" s="68" t="s">
        <v>32</v>
      </c>
      <c r="K310" s="68" t="s">
        <v>33</v>
      </c>
      <c r="L310" s="69">
        <v>175</v>
      </c>
      <c r="M310" s="65"/>
      <c r="N310" s="69"/>
      <c r="O310" s="67" t="s">
        <v>1569</v>
      </c>
      <c r="P310" s="87"/>
      <c r="Q310" s="71"/>
      <c r="R310" s="71"/>
      <c r="S310" s="71"/>
      <c r="T310" s="72"/>
      <c r="U310" s="73"/>
      <c r="V310" s="12"/>
    </row>
    <row r="311" s="1" customFormat="1" ht="29.1" customHeight="1" spans="1:22">
      <c r="A311" s="62">
        <v>46202</v>
      </c>
      <c r="B311" s="63" t="s">
        <v>1283</v>
      </c>
      <c r="C311" s="64" t="s">
        <v>1510</v>
      </c>
      <c r="D311" s="66" t="s">
        <v>1511</v>
      </c>
      <c r="E311" s="67" t="s">
        <v>1592</v>
      </c>
      <c r="F311" s="67" t="s">
        <v>51</v>
      </c>
      <c r="G311" s="67" t="str">
        <f>VLOOKUP(F311,[4]装箱单!$A:$C,3,0)</f>
        <v>鸭子</v>
      </c>
      <c r="H311" s="67">
        <v>288</v>
      </c>
      <c r="I311" s="68">
        <f t="shared" ref="I311:I317" si="65">+L311*48</f>
        <v>13824</v>
      </c>
      <c r="J311" s="68" t="s">
        <v>32</v>
      </c>
      <c r="K311" s="68" t="s">
        <v>33</v>
      </c>
      <c r="L311" s="69">
        <v>288</v>
      </c>
      <c r="M311" s="65">
        <f t="shared" ref="M311:M332" si="66">+U311</f>
        <v>11.771473824</v>
      </c>
      <c r="N311" s="69" t="s">
        <v>34</v>
      </c>
      <c r="O311" s="67"/>
      <c r="P311" s="70" t="s">
        <v>1593</v>
      </c>
      <c r="Q311" s="71">
        <f>VLOOKUP($F311,[4]装箱单!$A:$E,5,0)</f>
        <v>37.15</v>
      </c>
      <c r="R311" s="71">
        <f>VLOOKUP($F311,[4]装箱单!$A:$F,6,0)</f>
        <v>33</v>
      </c>
      <c r="S311" s="71">
        <f>VLOOKUP($F311,[4]装箱单!$A:$G,7,0)</f>
        <v>33.34</v>
      </c>
      <c r="T311" s="72">
        <f>VLOOKUP($F311,[4]装箱单!$A:$J,10,0)</f>
        <v>0.040873173</v>
      </c>
      <c r="U311" s="73">
        <f t="shared" ref="U311:U332" si="67">+T311*L311</f>
        <v>11.771473824</v>
      </c>
      <c r="V311" s="12"/>
    </row>
    <row r="312" s="1" customFormat="1" ht="29.1" customHeight="1" spans="1:22">
      <c r="A312" s="62">
        <v>46202</v>
      </c>
      <c r="B312" s="63" t="s">
        <v>1594</v>
      </c>
      <c r="C312" s="64" t="s">
        <v>1595</v>
      </c>
      <c r="D312" s="66" t="s">
        <v>1596</v>
      </c>
      <c r="E312" s="67" t="s">
        <v>1597</v>
      </c>
      <c r="F312" s="67" t="s">
        <v>51</v>
      </c>
      <c r="G312" s="67" t="str">
        <f>VLOOKUP(F312,[4]装箱单!$A:$C,3,0)</f>
        <v>鸭子</v>
      </c>
      <c r="H312" s="67">
        <v>60</v>
      </c>
      <c r="I312" s="68">
        <f t="shared" si="65"/>
        <v>2880</v>
      </c>
      <c r="J312" s="68" t="s">
        <v>32</v>
      </c>
      <c r="K312" s="68" t="s">
        <v>33</v>
      </c>
      <c r="L312" s="69">
        <v>60</v>
      </c>
      <c r="M312" s="65">
        <f t="shared" si="66"/>
        <v>2.45239038</v>
      </c>
      <c r="N312" s="69" t="s">
        <v>34</v>
      </c>
      <c r="O312" s="67"/>
      <c r="P312" s="74"/>
      <c r="Q312" s="71">
        <f>VLOOKUP($F312,[4]装箱单!$A:$E,5,0)</f>
        <v>37.15</v>
      </c>
      <c r="R312" s="71">
        <f>VLOOKUP($F312,[4]装箱单!$A:$F,6,0)</f>
        <v>33</v>
      </c>
      <c r="S312" s="71">
        <f>VLOOKUP($F312,[4]装箱单!$A:$G,7,0)</f>
        <v>33.34</v>
      </c>
      <c r="T312" s="72">
        <f>VLOOKUP($F312,[4]装箱单!$A:$J,10,0)</f>
        <v>0.040873173</v>
      </c>
      <c r="U312" s="73">
        <f t="shared" si="67"/>
        <v>2.45239038</v>
      </c>
      <c r="V312" s="12"/>
    </row>
    <row r="313" s="1" customFormat="1" ht="29.1" customHeight="1" spans="1:22">
      <c r="A313" s="62">
        <v>46202</v>
      </c>
      <c r="B313" s="63" t="s">
        <v>1594</v>
      </c>
      <c r="C313" s="64" t="s">
        <v>1598</v>
      </c>
      <c r="D313" s="66" t="s">
        <v>1599</v>
      </c>
      <c r="E313" s="67" t="s">
        <v>1600</v>
      </c>
      <c r="F313" s="67" t="s">
        <v>51</v>
      </c>
      <c r="G313" s="67" t="str">
        <f>VLOOKUP(F313,[4]装箱单!$A:$C,3,0)</f>
        <v>鸭子</v>
      </c>
      <c r="H313" s="67">
        <v>80</v>
      </c>
      <c r="I313" s="68">
        <f t="shared" si="65"/>
        <v>3840</v>
      </c>
      <c r="J313" s="68" t="s">
        <v>32</v>
      </c>
      <c r="K313" s="68" t="s">
        <v>33</v>
      </c>
      <c r="L313" s="69">
        <v>80</v>
      </c>
      <c r="M313" s="65">
        <f t="shared" si="66"/>
        <v>3.26985384</v>
      </c>
      <c r="N313" s="69" t="s">
        <v>34</v>
      </c>
      <c r="O313" s="67"/>
      <c r="P313" s="74"/>
      <c r="Q313" s="71">
        <f>VLOOKUP($F313,[4]装箱单!$A:$E,5,0)</f>
        <v>37.15</v>
      </c>
      <c r="R313" s="71">
        <f>VLOOKUP($F313,[4]装箱单!$A:$F,6,0)</f>
        <v>33</v>
      </c>
      <c r="S313" s="71">
        <f>VLOOKUP($F313,[4]装箱单!$A:$G,7,0)</f>
        <v>33.34</v>
      </c>
      <c r="T313" s="72">
        <f>VLOOKUP($F313,[4]装箱单!$A:$J,10,0)</f>
        <v>0.040873173</v>
      </c>
      <c r="U313" s="73">
        <f t="shared" si="67"/>
        <v>3.26985384</v>
      </c>
      <c r="V313" s="12"/>
    </row>
    <row r="314" s="1" customFormat="1" ht="29.1" customHeight="1" spans="1:22">
      <c r="A314" s="62">
        <v>46202</v>
      </c>
      <c r="B314" s="63" t="s">
        <v>1594</v>
      </c>
      <c r="C314" s="64" t="s">
        <v>1601</v>
      </c>
      <c r="D314" s="66" t="s">
        <v>1602</v>
      </c>
      <c r="E314" s="67" t="s">
        <v>1603</v>
      </c>
      <c r="F314" s="67" t="s">
        <v>51</v>
      </c>
      <c r="G314" s="67" t="str">
        <f>VLOOKUP(F314,[4]装箱单!$A:$C,3,0)</f>
        <v>鸭子</v>
      </c>
      <c r="H314" s="67">
        <v>90</v>
      </c>
      <c r="I314" s="68">
        <f t="shared" si="65"/>
        <v>4320</v>
      </c>
      <c r="J314" s="68" t="s">
        <v>32</v>
      </c>
      <c r="K314" s="68" t="s">
        <v>33</v>
      </c>
      <c r="L314" s="69">
        <v>90</v>
      </c>
      <c r="M314" s="65">
        <f t="shared" si="66"/>
        <v>3.67858557</v>
      </c>
      <c r="N314" s="69" t="s">
        <v>34</v>
      </c>
      <c r="O314" s="67"/>
      <c r="P314" s="74"/>
      <c r="Q314" s="71">
        <f>VLOOKUP($F314,[4]装箱单!$A:$E,5,0)</f>
        <v>37.15</v>
      </c>
      <c r="R314" s="71">
        <f>VLOOKUP($F314,[4]装箱单!$A:$F,6,0)</f>
        <v>33</v>
      </c>
      <c r="S314" s="71">
        <f>VLOOKUP($F314,[4]装箱单!$A:$G,7,0)</f>
        <v>33.34</v>
      </c>
      <c r="T314" s="72">
        <f>VLOOKUP($F314,[4]装箱单!$A:$J,10,0)</f>
        <v>0.040873173</v>
      </c>
      <c r="U314" s="73">
        <f t="shared" si="67"/>
        <v>3.67858557</v>
      </c>
      <c r="V314" s="12"/>
    </row>
    <row r="315" s="1" customFormat="1" ht="29.1" customHeight="1" spans="1:22">
      <c r="A315" s="62">
        <v>46202</v>
      </c>
      <c r="B315" s="63" t="s">
        <v>1594</v>
      </c>
      <c r="C315" s="64" t="s">
        <v>1604</v>
      </c>
      <c r="D315" s="66" t="s">
        <v>1605</v>
      </c>
      <c r="E315" s="67" t="s">
        <v>1606</v>
      </c>
      <c r="F315" s="67" t="s">
        <v>51</v>
      </c>
      <c r="G315" s="67" t="str">
        <f>VLOOKUP(F315,[4]装箱单!$A:$C,3,0)</f>
        <v>鸭子</v>
      </c>
      <c r="H315" s="67">
        <v>60</v>
      </c>
      <c r="I315" s="68">
        <f t="shared" si="65"/>
        <v>2880</v>
      </c>
      <c r="J315" s="68" t="s">
        <v>32</v>
      </c>
      <c r="K315" s="68" t="s">
        <v>33</v>
      </c>
      <c r="L315" s="69">
        <v>60</v>
      </c>
      <c r="M315" s="65">
        <f t="shared" si="66"/>
        <v>2.45239038</v>
      </c>
      <c r="N315" s="69" t="s">
        <v>34</v>
      </c>
      <c r="O315" s="67"/>
      <c r="P315" s="74"/>
      <c r="Q315" s="71">
        <f>VLOOKUP($F315,[4]装箱单!$A:$E,5,0)</f>
        <v>37.15</v>
      </c>
      <c r="R315" s="71">
        <f>VLOOKUP($F315,[4]装箱单!$A:$F,6,0)</f>
        <v>33</v>
      </c>
      <c r="S315" s="71">
        <f>VLOOKUP($F315,[4]装箱单!$A:$G,7,0)</f>
        <v>33.34</v>
      </c>
      <c r="T315" s="72">
        <f>VLOOKUP($F315,[4]装箱单!$A:$J,10,0)</f>
        <v>0.040873173</v>
      </c>
      <c r="U315" s="73">
        <f t="shared" si="67"/>
        <v>2.45239038</v>
      </c>
      <c r="V315" s="12"/>
    </row>
    <row r="316" s="1" customFormat="1" ht="29.1" customHeight="1" spans="1:22">
      <c r="A316" s="62">
        <v>46202</v>
      </c>
      <c r="B316" s="63" t="s">
        <v>1594</v>
      </c>
      <c r="C316" s="64" t="s">
        <v>1607</v>
      </c>
      <c r="D316" s="66" t="s">
        <v>1608</v>
      </c>
      <c r="E316" s="67" t="s">
        <v>1609</v>
      </c>
      <c r="F316" s="67" t="s">
        <v>51</v>
      </c>
      <c r="G316" s="67" t="str">
        <f>VLOOKUP(F316,[4]装箱单!$A:$C,3,0)</f>
        <v>鸭子</v>
      </c>
      <c r="H316" s="67">
        <v>80</v>
      </c>
      <c r="I316" s="68">
        <f t="shared" si="65"/>
        <v>3840</v>
      </c>
      <c r="J316" s="68" t="s">
        <v>32</v>
      </c>
      <c r="K316" s="68" t="s">
        <v>33</v>
      </c>
      <c r="L316" s="69">
        <v>80</v>
      </c>
      <c r="M316" s="65">
        <f t="shared" si="66"/>
        <v>3.26985384</v>
      </c>
      <c r="N316" s="69" t="s">
        <v>34</v>
      </c>
      <c r="O316" s="67"/>
      <c r="P316" s="74"/>
      <c r="Q316" s="71">
        <f>VLOOKUP($F316,[4]装箱单!$A:$E,5,0)</f>
        <v>37.15</v>
      </c>
      <c r="R316" s="71">
        <f>VLOOKUP($F316,[4]装箱单!$A:$F,6,0)</f>
        <v>33</v>
      </c>
      <c r="S316" s="71">
        <f>VLOOKUP($F316,[4]装箱单!$A:$G,7,0)</f>
        <v>33.34</v>
      </c>
      <c r="T316" s="72">
        <f>VLOOKUP($F316,[4]装箱单!$A:$J,10,0)</f>
        <v>0.040873173</v>
      </c>
      <c r="U316" s="73">
        <f t="shared" si="67"/>
        <v>3.26985384</v>
      </c>
      <c r="V316" s="12"/>
    </row>
    <row r="317" s="1" customFormat="1" ht="29.1" customHeight="1" spans="1:22">
      <c r="A317" s="62">
        <v>46202</v>
      </c>
      <c r="B317" s="63" t="s">
        <v>1594</v>
      </c>
      <c r="C317" s="64" t="s">
        <v>1610</v>
      </c>
      <c r="D317" s="66" t="s">
        <v>1611</v>
      </c>
      <c r="E317" s="67" t="s">
        <v>1612</v>
      </c>
      <c r="F317" s="67" t="s">
        <v>51</v>
      </c>
      <c r="G317" s="67" t="str">
        <f>VLOOKUP(F317,[4]装箱单!$A:$C,3,0)</f>
        <v>鸭子</v>
      </c>
      <c r="H317" s="67">
        <v>90</v>
      </c>
      <c r="I317" s="68">
        <f t="shared" si="65"/>
        <v>4320</v>
      </c>
      <c r="J317" s="68" t="s">
        <v>32</v>
      </c>
      <c r="K317" s="68" t="s">
        <v>33</v>
      </c>
      <c r="L317" s="69">
        <v>90</v>
      </c>
      <c r="M317" s="65">
        <f t="shared" si="66"/>
        <v>3.67858557</v>
      </c>
      <c r="N317" s="69" t="s">
        <v>34</v>
      </c>
      <c r="O317" s="67"/>
      <c r="P317" s="74"/>
      <c r="Q317" s="71">
        <f>VLOOKUP($F317,[4]装箱单!$A:$E,5,0)</f>
        <v>37.15</v>
      </c>
      <c r="R317" s="71">
        <f>VLOOKUP($F317,[4]装箱单!$A:$F,6,0)</f>
        <v>33</v>
      </c>
      <c r="S317" s="71">
        <f>VLOOKUP($F317,[4]装箱单!$A:$G,7,0)</f>
        <v>33.34</v>
      </c>
      <c r="T317" s="72">
        <f>VLOOKUP($F317,[4]装箱单!$A:$J,10,0)</f>
        <v>0.040873173</v>
      </c>
      <c r="U317" s="73">
        <f t="shared" si="67"/>
        <v>3.67858557</v>
      </c>
      <c r="V317" s="12"/>
    </row>
    <row r="318" s="1" customFormat="1" ht="29.1" customHeight="1" spans="1:22">
      <c r="A318" s="62">
        <v>46202</v>
      </c>
      <c r="B318" s="63" t="s">
        <v>1613</v>
      </c>
      <c r="C318" s="64" t="s">
        <v>1614</v>
      </c>
      <c r="D318" s="66" t="s">
        <v>1615</v>
      </c>
      <c r="E318" s="67"/>
      <c r="F318" s="67" t="s">
        <v>279</v>
      </c>
      <c r="G318" s="67" t="str">
        <f>VLOOKUP(F318,[4]装箱单!$A:$C,3,0)</f>
        <v>假日小鸭</v>
      </c>
      <c r="H318" s="67">
        <v>417</v>
      </c>
      <c r="I318" s="68">
        <f t="shared" ref="I318:I326" si="68">+L318*18</f>
        <v>7506</v>
      </c>
      <c r="J318" s="68" t="s">
        <v>32</v>
      </c>
      <c r="K318" s="68" t="s">
        <v>33</v>
      </c>
      <c r="L318" s="69">
        <v>417</v>
      </c>
      <c r="M318" s="65">
        <f t="shared" si="66"/>
        <v>2.4156862573275</v>
      </c>
      <c r="N318" s="69" t="s">
        <v>34</v>
      </c>
      <c r="O318" s="67"/>
      <c r="P318" s="74"/>
      <c r="Q318" s="71">
        <f>VLOOKUP($F318,[4]装箱单!$A:$E,5,0)</f>
        <v>32.385</v>
      </c>
      <c r="R318" s="71">
        <f>VLOOKUP($F318,[4]装箱单!$A:$F,6,0)</f>
        <v>18.78</v>
      </c>
      <c r="S318" s="71">
        <f>VLOOKUP($F318,[4]装箱单!$A:$G,7,0)</f>
        <v>9.525</v>
      </c>
      <c r="T318" s="72">
        <f>VLOOKUP($F318,[4]装箱单!$A:$J,10,0)</f>
        <v>0.0057930126075</v>
      </c>
      <c r="U318" s="73">
        <f t="shared" si="67"/>
        <v>2.4156862573275</v>
      </c>
      <c r="V318" s="12"/>
    </row>
    <row r="319" s="1" customFormat="1" ht="29.1" customHeight="1" spans="1:22">
      <c r="A319" s="62">
        <v>46202</v>
      </c>
      <c r="B319" s="63" t="s">
        <v>1613</v>
      </c>
      <c r="C319" s="64" t="s">
        <v>1614</v>
      </c>
      <c r="D319" s="66" t="s">
        <v>1615</v>
      </c>
      <c r="E319" s="67"/>
      <c r="F319" s="67" t="s">
        <v>280</v>
      </c>
      <c r="G319" s="67" t="str">
        <f>VLOOKUP(F319,[4]装箱单!$A:$C,3,0)</f>
        <v>鸭子</v>
      </c>
      <c r="H319" s="67">
        <v>417</v>
      </c>
      <c r="I319" s="68">
        <f t="shared" si="68"/>
        <v>7506</v>
      </c>
      <c r="J319" s="68" t="s">
        <v>32</v>
      </c>
      <c r="K319" s="68" t="s">
        <v>33</v>
      </c>
      <c r="L319" s="69">
        <v>417</v>
      </c>
      <c r="M319" s="65">
        <f t="shared" si="66"/>
        <v>2.4156862573275</v>
      </c>
      <c r="N319" s="69" t="s">
        <v>34</v>
      </c>
      <c r="O319" s="67"/>
      <c r="P319" s="74"/>
      <c r="Q319" s="71">
        <f>VLOOKUP($F319,[4]装箱单!$A:$E,5,0)</f>
        <v>32.385</v>
      </c>
      <c r="R319" s="71">
        <f>VLOOKUP($F319,[4]装箱单!$A:$F,6,0)</f>
        <v>18.78</v>
      </c>
      <c r="S319" s="71">
        <f>VLOOKUP($F319,[4]装箱单!$A:$G,7,0)</f>
        <v>9.525</v>
      </c>
      <c r="T319" s="72">
        <f>VLOOKUP($F319,[4]装箱单!$A:$J,10,0)</f>
        <v>0.0057930126075</v>
      </c>
      <c r="U319" s="73">
        <f t="shared" si="67"/>
        <v>2.4156862573275</v>
      </c>
      <c r="V319" s="12"/>
    </row>
    <row r="320" s="1" customFormat="1" ht="29.1" customHeight="1" spans="1:22">
      <c r="A320" s="62">
        <v>46202</v>
      </c>
      <c r="B320" s="63" t="s">
        <v>40</v>
      </c>
      <c r="C320" s="64" t="s">
        <v>1616</v>
      </c>
      <c r="D320" s="66" t="s">
        <v>1617</v>
      </c>
      <c r="E320" s="66">
        <v>994928897</v>
      </c>
      <c r="F320" s="67">
        <v>28483</v>
      </c>
      <c r="G320" s="67" t="str">
        <f>VLOOKUP(F320,[4]装箱单!$A:$C,3,0)</f>
        <v>振动球</v>
      </c>
      <c r="H320" s="67">
        <v>3060</v>
      </c>
      <c r="I320" s="68">
        <f t="shared" ref="I320:I322" si="69">+L320</f>
        <v>3060</v>
      </c>
      <c r="J320" s="68" t="s">
        <v>32</v>
      </c>
      <c r="K320" s="68" t="s">
        <v>33</v>
      </c>
      <c r="L320" s="69">
        <v>3060</v>
      </c>
      <c r="M320" s="65">
        <f t="shared" si="66"/>
        <v>17.6644314</v>
      </c>
      <c r="N320" s="69" t="s">
        <v>34</v>
      </c>
      <c r="O320" s="67"/>
      <c r="P320" s="74"/>
      <c r="Q320" s="71">
        <f>VLOOKUP($F320,[4]装箱单!$A:$E,5,0)</f>
        <v>16.83</v>
      </c>
      <c r="R320" s="71">
        <f>VLOOKUP($F320,[4]装箱单!$A:$F,6,0)</f>
        <v>17.15</v>
      </c>
      <c r="S320" s="71">
        <f>VLOOKUP($F320,[4]装箱单!$A:$G,7,0)</f>
        <v>20</v>
      </c>
      <c r="T320" s="72">
        <f>VLOOKUP($F320,[4]装箱单!$A:$J,10,0)</f>
        <v>0.00577269</v>
      </c>
      <c r="U320" s="73">
        <f t="shared" si="67"/>
        <v>17.6644314</v>
      </c>
      <c r="V320" s="12"/>
    </row>
    <row r="321" s="1" customFormat="1" ht="29.1" customHeight="1" spans="1:22">
      <c r="A321" s="62">
        <v>46202</v>
      </c>
      <c r="B321" s="63" t="s">
        <v>40</v>
      </c>
      <c r="C321" s="64" t="s">
        <v>1618</v>
      </c>
      <c r="D321" s="66" t="s">
        <v>1619</v>
      </c>
      <c r="E321" s="66">
        <v>994928922</v>
      </c>
      <c r="F321" s="67">
        <v>28483</v>
      </c>
      <c r="G321" s="67" t="str">
        <f>VLOOKUP(F321,[4]装箱单!$A:$C,3,0)</f>
        <v>振动球</v>
      </c>
      <c r="H321" s="67">
        <v>2520</v>
      </c>
      <c r="I321" s="68">
        <f t="shared" si="69"/>
        <v>1980</v>
      </c>
      <c r="J321" s="68" t="s">
        <v>32</v>
      </c>
      <c r="K321" s="68" t="s">
        <v>33</v>
      </c>
      <c r="L321" s="69">
        <v>1980</v>
      </c>
      <c r="M321" s="65">
        <f t="shared" si="66"/>
        <v>11.4299262</v>
      </c>
      <c r="N321" s="69" t="s">
        <v>34</v>
      </c>
      <c r="O321" s="67"/>
      <c r="P321" s="74"/>
      <c r="Q321" s="71">
        <f>VLOOKUP($F321,[4]装箱单!$A:$E,5,0)</f>
        <v>16.83</v>
      </c>
      <c r="R321" s="71">
        <f>VLOOKUP($F321,[4]装箱单!$A:$F,6,0)</f>
        <v>17.15</v>
      </c>
      <c r="S321" s="71">
        <f>VLOOKUP($F321,[4]装箱单!$A:$G,7,0)</f>
        <v>20</v>
      </c>
      <c r="T321" s="72">
        <f>VLOOKUP($F321,[4]装箱单!$A:$J,10,0)</f>
        <v>0.00577269</v>
      </c>
      <c r="U321" s="73">
        <f t="shared" si="67"/>
        <v>11.4299262</v>
      </c>
      <c r="V321" s="12"/>
    </row>
    <row r="322" s="1" customFormat="1" ht="29.1" customHeight="1" spans="1:22">
      <c r="A322" s="62">
        <v>46202</v>
      </c>
      <c r="B322" s="63" t="s">
        <v>415</v>
      </c>
      <c r="C322" s="64" t="s">
        <v>1420</v>
      </c>
      <c r="D322" s="66" t="s">
        <v>1338</v>
      </c>
      <c r="E322" s="67"/>
      <c r="F322" s="67">
        <v>470764</v>
      </c>
      <c r="G322" s="67" t="str">
        <f>VLOOKUP(F322,[4]装箱单!$A:$C,3,0)</f>
        <v>大型自卸车</v>
      </c>
      <c r="H322" s="67">
        <v>2494</v>
      </c>
      <c r="I322" s="68">
        <f t="shared" si="69"/>
        <v>400</v>
      </c>
      <c r="J322" s="68" t="s">
        <v>32</v>
      </c>
      <c r="K322" s="68" t="s">
        <v>33</v>
      </c>
      <c r="L322" s="69">
        <v>400</v>
      </c>
      <c r="M322" s="65">
        <f t="shared" si="66"/>
        <v>10.7184</v>
      </c>
      <c r="N322" s="69" t="s">
        <v>34</v>
      </c>
      <c r="O322" s="67"/>
      <c r="P322" s="74"/>
      <c r="Q322" s="71">
        <f>VLOOKUP($F322,[4]装箱单!$A:$E,5,0)</f>
        <v>42</v>
      </c>
      <c r="R322" s="71">
        <f>VLOOKUP($F322,[4]装箱单!$A:$F,6,0)</f>
        <v>22</v>
      </c>
      <c r="S322" s="71">
        <f>VLOOKUP($F322,[4]装箱单!$A:$G,7,0)</f>
        <v>29</v>
      </c>
      <c r="T322" s="72">
        <f>VLOOKUP($F322,[4]装箱单!$A:$J,10,0)</f>
        <v>0.026796</v>
      </c>
      <c r="U322" s="73">
        <f t="shared" si="67"/>
        <v>10.7184</v>
      </c>
      <c r="V322" s="12"/>
    </row>
    <row r="323" s="1" customFormat="1" ht="29.1" customHeight="1" spans="1:22">
      <c r="A323" s="62">
        <v>46202</v>
      </c>
      <c r="B323" s="63" t="s">
        <v>1620</v>
      </c>
      <c r="C323" s="64" t="s">
        <v>1621</v>
      </c>
      <c r="D323" s="66" t="s">
        <v>1622</v>
      </c>
      <c r="E323" s="67" t="s">
        <v>1623</v>
      </c>
      <c r="F323" s="67" t="s">
        <v>111</v>
      </c>
      <c r="G323" s="67" t="str">
        <f>VLOOKUP(F323,[4]装箱单!$A:$C,3,0)</f>
        <v>鸭子</v>
      </c>
      <c r="H323" s="67">
        <v>556</v>
      </c>
      <c r="I323" s="68">
        <f t="shared" si="68"/>
        <v>10008</v>
      </c>
      <c r="J323" s="68" t="s">
        <v>32</v>
      </c>
      <c r="K323" s="68" t="s">
        <v>33</v>
      </c>
      <c r="L323" s="69">
        <v>556</v>
      </c>
      <c r="M323" s="65">
        <f t="shared" si="66"/>
        <v>3.22091500977</v>
      </c>
      <c r="N323" s="69" t="s">
        <v>34</v>
      </c>
      <c r="O323" s="67"/>
      <c r="P323" s="74"/>
      <c r="Q323" s="71">
        <f>VLOOKUP($F323,[4]装箱单!$A:$E,5,0)</f>
        <v>32.385</v>
      </c>
      <c r="R323" s="71">
        <f>VLOOKUP($F323,[4]装箱单!$A:$F,6,0)</f>
        <v>18.78</v>
      </c>
      <c r="S323" s="71">
        <f>VLOOKUP($F323,[4]装箱单!$A:$G,7,0)</f>
        <v>9.525</v>
      </c>
      <c r="T323" s="72">
        <f>VLOOKUP($F323,[4]装箱单!$A:$J,10,0)</f>
        <v>0.0057930126075</v>
      </c>
      <c r="U323" s="73">
        <f t="shared" si="67"/>
        <v>3.22091500977</v>
      </c>
      <c r="V323" s="12"/>
    </row>
    <row r="324" s="1" customFormat="1" ht="29.1" customHeight="1" spans="1:22">
      <c r="A324" s="62">
        <v>46202</v>
      </c>
      <c r="B324" s="63" t="s">
        <v>1620</v>
      </c>
      <c r="C324" s="64" t="s">
        <v>1621</v>
      </c>
      <c r="D324" s="66" t="s">
        <v>1622</v>
      </c>
      <c r="E324" s="67" t="s">
        <v>1623</v>
      </c>
      <c r="F324" s="67" t="s">
        <v>45</v>
      </c>
      <c r="G324" s="67" t="str">
        <f>VLOOKUP(F324,[4]装箱单!$A:$C,3,0)</f>
        <v>鸭子</v>
      </c>
      <c r="H324" s="67">
        <v>556</v>
      </c>
      <c r="I324" s="68">
        <f t="shared" si="68"/>
        <v>10008</v>
      </c>
      <c r="J324" s="68" t="s">
        <v>32</v>
      </c>
      <c r="K324" s="68" t="s">
        <v>33</v>
      </c>
      <c r="L324" s="69">
        <v>556</v>
      </c>
      <c r="M324" s="65">
        <f t="shared" si="66"/>
        <v>3.22091500977</v>
      </c>
      <c r="N324" s="69" t="s">
        <v>34</v>
      </c>
      <c r="O324" s="67"/>
      <c r="P324" s="74"/>
      <c r="Q324" s="71">
        <f>VLOOKUP($F324,[4]装箱单!$A:$E,5,0)</f>
        <v>32.385</v>
      </c>
      <c r="R324" s="71">
        <f>VLOOKUP($F324,[4]装箱单!$A:$F,6,0)</f>
        <v>18.78</v>
      </c>
      <c r="S324" s="71">
        <f>VLOOKUP($F324,[4]装箱单!$A:$G,7,0)</f>
        <v>9.525</v>
      </c>
      <c r="T324" s="72">
        <f>VLOOKUP($F324,[4]装箱单!$A:$J,10,0)</f>
        <v>0.0057930126075</v>
      </c>
      <c r="U324" s="73">
        <f t="shared" si="67"/>
        <v>3.22091500977</v>
      </c>
      <c r="V324" s="12"/>
    </row>
    <row r="325" s="1" customFormat="1" ht="29.1" customHeight="1" spans="1:22">
      <c r="A325" s="62">
        <v>46202</v>
      </c>
      <c r="B325" s="63" t="s">
        <v>1624</v>
      </c>
      <c r="C325" s="64" t="s">
        <v>1614</v>
      </c>
      <c r="D325" s="66" t="s">
        <v>1615</v>
      </c>
      <c r="E325" s="67"/>
      <c r="F325" s="67" t="s">
        <v>45</v>
      </c>
      <c r="G325" s="67" t="str">
        <f>VLOOKUP(F325,[4]装箱单!$A:$C,3,0)</f>
        <v>鸭子</v>
      </c>
      <c r="H325" s="67">
        <v>556</v>
      </c>
      <c r="I325" s="68">
        <f t="shared" si="68"/>
        <v>10008</v>
      </c>
      <c r="J325" s="68" t="s">
        <v>32</v>
      </c>
      <c r="K325" s="68" t="s">
        <v>33</v>
      </c>
      <c r="L325" s="69">
        <v>556</v>
      </c>
      <c r="M325" s="65">
        <f t="shared" si="66"/>
        <v>3.22091500977</v>
      </c>
      <c r="N325" s="69" t="s">
        <v>34</v>
      </c>
      <c r="O325" s="67"/>
      <c r="P325" s="74"/>
      <c r="Q325" s="71">
        <f>VLOOKUP($F325,[4]装箱单!$A:$E,5,0)</f>
        <v>32.385</v>
      </c>
      <c r="R325" s="71">
        <f>VLOOKUP($F325,[4]装箱单!$A:$F,6,0)</f>
        <v>18.78</v>
      </c>
      <c r="S325" s="71">
        <f>VLOOKUP($F325,[4]装箱单!$A:$G,7,0)</f>
        <v>9.525</v>
      </c>
      <c r="T325" s="72">
        <f>VLOOKUP($F325,[4]装箱单!$A:$J,10,0)</f>
        <v>0.0057930126075</v>
      </c>
      <c r="U325" s="73">
        <f t="shared" si="67"/>
        <v>3.22091500977</v>
      </c>
      <c r="V325" s="12"/>
    </row>
    <row r="326" s="1" customFormat="1" ht="29.1" customHeight="1" spans="1:22">
      <c r="A326" s="62">
        <v>46202</v>
      </c>
      <c r="B326" s="63" t="s">
        <v>1625</v>
      </c>
      <c r="C326" s="64" t="s">
        <v>1626</v>
      </c>
      <c r="D326" s="66" t="s">
        <v>1627</v>
      </c>
      <c r="E326" s="67" t="s">
        <v>1628</v>
      </c>
      <c r="F326" s="67" t="s">
        <v>1161</v>
      </c>
      <c r="G326" s="67" t="str">
        <f>VLOOKUP(F326,[4]装箱单!$A:$C,3,0)</f>
        <v>搪胶小鸭</v>
      </c>
      <c r="H326" s="67">
        <v>150</v>
      </c>
      <c r="I326" s="68">
        <f t="shared" si="68"/>
        <v>2700</v>
      </c>
      <c r="J326" s="68" t="s">
        <v>32</v>
      </c>
      <c r="K326" s="68" t="s">
        <v>33</v>
      </c>
      <c r="L326" s="69">
        <v>150</v>
      </c>
      <c r="M326" s="65">
        <f t="shared" si="66"/>
        <v>0.8775272772</v>
      </c>
      <c r="N326" s="69" t="s">
        <v>34</v>
      </c>
      <c r="O326" s="67"/>
      <c r="P326" s="74"/>
      <c r="Q326" s="71">
        <f>VLOOKUP($F326,[4]装箱单!$A:$E,5,0)</f>
        <v>32.385</v>
      </c>
      <c r="R326" s="71">
        <f>VLOOKUP($F326,[4]装箱单!$A:$F,6,0)</f>
        <v>17.78</v>
      </c>
      <c r="S326" s="71">
        <f>VLOOKUP($F326,[4]装箱单!$A:$G,7,0)</f>
        <v>10.16</v>
      </c>
      <c r="T326" s="72">
        <f>VLOOKUP($F326,[4]装箱单!$A:$J,10,0)</f>
        <v>0.005850181848</v>
      </c>
      <c r="U326" s="73">
        <f t="shared" si="67"/>
        <v>0.8775272772</v>
      </c>
      <c r="V326" s="12"/>
    </row>
    <row r="327" s="1" customFormat="1" ht="29.1" customHeight="1" spans="1:22">
      <c r="A327" s="62">
        <v>46202</v>
      </c>
      <c r="B327" s="63" t="s">
        <v>1629</v>
      </c>
      <c r="C327" s="64" t="s">
        <v>1630</v>
      </c>
      <c r="D327" s="66" t="s">
        <v>1631</v>
      </c>
      <c r="E327" s="67">
        <v>4504222790</v>
      </c>
      <c r="F327" s="67">
        <v>46496</v>
      </c>
      <c r="G327" s="67" t="str">
        <f>VLOOKUP(F327,[4]装箱单!$A:$C,3,0)</f>
        <v>米妮系列</v>
      </c>
      <c r="H327" s="67">
        <v>390</v>
      </c>
      <c r="I327" s="68">
        <f t="shared" ref="I327:I332" si="70">+L327*2</f>
        <v>780</v>
      </c>
      <c r="J327" s="45" t="s">
        <v>47</v>
      </c>
      <c r="K327" s="68" t="s">
        <v>33</v>
      </c>
      <c r="L327" s="69">
        <v>390</v>
      </c>
      <c r="M327" s="65">
        <f t="shared" si="66"/>
        <v>8.72263003248</v>
      </c>
      <c r="N327" s="69" t="s">
        <v>34</v>
      </c>
      <c r="O327" s="67"/>
      <c r="P327" s="74"/>
      <c r="Q327" s="71">
        <f>VLOOKUP($F327,[4]装箱单!$A:$E,5,0)</f>
        <v>40.01</v>
      </c>
      <c r="R327" s="71">
        <f>VLOOKUP($F327,[4]装箱单!$A:$F,6,0)</f>
        <v>26.67</v>
      </c>
      <c r="S327" s="71">
        <f>VLOOKUP($F327,[4]装箱单!$A:$G,7,0)</f>
        <v>20.96</v>
      </c>
      <c r="T327" s="72">
        <f>VLOOKUP($F327,[4]装箱单!$A:$J,10,0)</f>
        <v>0.022365718032</v>
      </c>
      <c r="U327" s="73">
        <f t="shared" si="67"/>
        <v>8.72263003248</v>
      </c>
      <c r="V327" s="12"/>
    </row>
    <row r="328" s="1" customFormat="1" ht="29.1" customHeight="1" spans="1:22">
      <c r="A328" s="62">
        <v>46202</v>
      </c>
      <c r="B328" s="63" t="s">
        <v>1629</v>
      </c>
      <c r="C328" s="64" t="s">
        <v>1630</v>
      </c>
      <c r="D328" s="66" t="s">
        <v>1631</v>
      </c>
      <c r="E328" s="67">
        <v>4504222790</v>
      </c>
      <c r="F328" s="67">
        <v>46462</v>
      </c>
      <c r="G328" s="67" t="str">
        <f>VLOOKUP(F328,[4]装箱单!$A:$C,3,0)</f>
        <v>史迪仔系列</v>
      </c>
      <c r="H328" s="67">
        <v>350</v>
      </c>
      <c r="I328" s="68">
        <f t="shared" si="70"/>
        <v>700</v>
      </c>
      <c r="J328" s="45" t="s">
        <v>47</v>
      </c>
      <c r="K328" s="68" t="s">
        <v>33</v>
      </c>
      <c r="L328" s="69">
        <v>350</v>
      </c>
      <c r="M328" s="65">
        <f t="shared" si="66"/>
        <v>7.8280013112</v>
      </c>
      <c r="N328" s="69" t="s">
        <v>34</v>
      </c>
      <c r="O328" s="67"/>
      <c r="P328" s="74"/>
      <c r="Q328" s="71">
        <f>VLOOKUP($F328,[4]装箱单!$A:$E,5,0)</f>
        <v>40.01</v>
      </c>
      <c r="R328" s="71">
        <f>VLOOKUP($F328,[4]装箱单!$A:$F,6,0)</f>
        <v>26.67</v>
      </c>
      <c r="S328" s="71">
        <f>VLOOKUP($F328,[4]装箱单!$A:$G,7,0)</f>
        <v>20.96</v>
      </c>
      <c r="T328" s="72">
        <f>VLOOKUP($F328,[4]装箱单!$A:$J,10,0)</f>
        <v>0.022365718032</v>
      </c>
      <c r="U328" s="73">
        <f t="shared" si="67"/>
        <v>7.8280013112</v>
      </c>
      <c r="V328" s="12"/>
    </row>
    <row r="329" s="1" customFormat="1" ht="29.1" customHeight="1" spans="1:22">
      <c r="A329" s="62">
        <v>46202</v>
      </c>
      <c r="B329" s="63" t="s">
        <v>1632</v>
      </c>
      <c r="C329" s="64" t="s">
        <v>1626</v>
      </c>
      <c r="D329" s="66" t="s">
        <v>1627</v>
      </c>
      <c r="E329" s="67" t="s">
        <v>1628</v>
      </c>
      <c r="F329" s="67">
        <v>46462</v>
      </c>
      <c r="G329" s="67" t="str">
        <f>VLOOKUP(F329,[4]装箱单!$A:$C,3,0)</f>
        <v>史迪仔系列</v>
      </c>
      <c r="H329" s="67">
        <v>120</v>
      </c>
      <c r="I329" s="68">
        <f t="shared" si="70"/>
        <v>240</v>
      </c>
      <c r="J329" s="45" t="s">
        <v>47</v>
      </c>
      <c r="K329" s="68" t="s">
        <v>33</v>
      </c>
      <c r="L329" s="69">
        <v>120</v>
      </c>
      <c r="M329" s="65">
        <f t="shared" si="66"/>
        <v>2.68388616384</v>
      </c>
      <c r="N329" s="69" t="s">
        <v>34</v>
      </c>
      <c r="O329" s="67"/>
      <c r="P329" s="74"/>
      <c r="Q329" s="71">
        <f>VLOOKUP($F329,[4]装箱单!$A:$E,5,0)</f>
        <v>40.01</v>
      </c>
      <c r="R329" s="71">
        <f>VLOOKUP($F329,[4]装箱单!$A:$F,6,0)</f>
        <v>26.67</v>
      </c>
      <c r="S329" s="71">
        <f>VLOOKUP($F329,[4]装箱单!$A:$G,7,0)</f>
        <v>20.96</v>
      </c>
      <c r="T329" s="72">
        <f>VLOOKUP($F329,[4]装箱单!$A:$J,10,0)</f>
        <v>0.022365718032</v>
      </c>
      <c r="U329" s="73">
        <f t="shared" si="67"/>
        <v>2.68388616384</v>
      </c>
      <c r="V329" s="12"/>
    </row>
    <row r="330" s="1" customFormat="1" ht="29.1" customHeight="1" spans="1:22">
      <c r="A330" s="62">
        <v>46202</v>
      </c>
      <c r="B330" s="63" t="s">
        <v>1629</v>
      </c>
      <c r="C330" s="64" t="s">
        <v>1630</v>
      </c>
      <c r="D330" s="66" t="s">
        <v>1631</v>
      </c>
      <c r="E330" s="67">
        <v>4504222790</v>
      </c>
      <c r="F330" s="67">
        <v>46134</v>
      </c>
      <c r="G330" s="67" t="str">
        <f>VLOOKUP(F330,[4]装箱单!$A:$C,3,0)</f>
        <v>海洋奇缘系列</v>
      </c>
      <c r="H330" s="67">
        <v>300</v>
      </c>
      <c r="I330" s="68">
        <f t="shared" si="70"/>
        <v>600</v>
      </c>
      <c r="J330" s="45" t="s">
        <v>47</v>
      </c>
      <c r="K330" s="68" t="s">
        <v>33</v>
      </c>
      <c r="L330" s="69">
        <v>300</v>
      </c>
      <c r="M330" s="65">
        <f t="shared" si="66"/>
        <v>6.7097154096</v>
      </c>
      <c r="N330" s="69" t="s">
        <v>34</v>
      </c>
      <c r="O330" s="67"/>
      <c r="P330" s="74"/>
      <c r="Q330" s="71">
        <f>VLOOKUP($F330,[4]装箱单!$A:$E,5,0)</f>
        <v>40.01</v>
      </c>
      <c r="R330" s="71">
        <f>VLOOKUP($F330,[4]装箱单!$A:$F,6,0)</f>
        <v>26.67</v>
      </c>
      <c r="S330" s="71">
        <f>VLOOKUP($F330,[4]装箱单!$A:$G,7,0)</f>
        <v>20.96</v>
      </c>
      <c r="T330" s="72">
        <f>VLOOKUP($F330,[4]装箱单!$A:$J,10,0)</f>
        <v>0.022365718032</v>
      </c>
      <c r="U330" s="73">
        <f t="shared" si="67"/>
        <v>6.7097154096</v>
      </c>
      <c r="V330" s="12"/>
    </row>
    <row r="331" s="1" customFormat="1" ht="29.1" customHeight="1" spans="1:22">
      <c r="A331" s="62">
        <v>46202</v>
      </c>
      <c r="B331" s="63" t="s">
        <v>1190</v>
      </c>
      <c r="C331" s="64" t="s">
        <v>1633</v>
      </c>
      <c r="D331" s="66" t="s">
        <v>1634</v>
      </c>
      <c r="E331" s="67" t="s">
        <v>1635</v>
      </c>
      <c r="F331" s="67">
        <v>46133</v>
      </c>
      <c r="G331" s="67" t="str">
        <f>VLOOKUP(F331,[4]装箱单!$A:$C,3,0)</f>
        <v>小美人鱼系列</v>
      </c>
      <c r="H331" s="67">
        <v>500</v>
      </c>
      <c r="I331" s="68">
        <f t="shared" si="70"/>
        <v>1000</v>
      </c>
      <c r="J331" s="45" t="s">
        <v>47</v>
      </c>
      <c r="K331" s="68" t="s">
        <v>33</v>
      </c>
      <c r="L331" s="69">
        <v>500</v>
      </c>
      <c r="M331" s="65">
        <f t="shared" si="66"/>
        <v>11.182859016</v>
      </c>
      <c r="N331" s="69" t="s">
        <v>34</v>
      </c>
      <c r="O331" s="67"/>
      <c r="P331" s="74"/>
      <c r="Q331" s="71">
        <f>VLOOKUP($F331,[4]装箱单!$A:$E,5,0)</f>
        <v>40.01</v>
      </c>
      <c r="R331" s="71">
        <f>VLOOKUP($F331,[4]装箱单!$A:$F,6,0)</f>
        <v>26.67</v>
      </c>
      <c r="S331" s="71">
        <f>VLOOKUP($F331,[4]装箱单!$A:$G,7,0)</f>
        <v>20.96</v>
      </c>
      <c r="T331" s="72">
        <f>VLOOKUP($F331,[4]装箱单!$A:$J,10,0)</f>
        <v>0.022365718032</v>
      </c>
      <c r="U331" s="73">
        <f t="shared" si="67"/>
        <v>11.182859016</v>
      </c>
      <c r="V331" s="12"/>
    </row>
    <row r="332" s="1" customFormat="1" ht="29.1" customHeight="1" spans="1:22">
      <c r="A332" s="62">
        <v>46202</v>
      </c>
      <c r="B332" s="63" t="s">
        <v>1629</v>
      </c>
      <c r="C332" s="64" t="s">
        <v>1630</v>
      </c>
      <c r="D332" s="66" t="s">
        <v>1631</v>
      </c>
      <c r="E332" s="67">
        <v>4504222790</v>
      </c>
      <c r="F332" s="67">
        <v>46133</v>
      </c>
      <c r="G332" s="67" t="str">
        <f>VLOOKUP(F332,[4]装箱单!$A:$C,3,0)</f>
        <v>小美人鱼系列</v>
      </c>
      <c r="H332" s="67">
        <v>280</v>
      </c>
      <c r="I332" s="68">
        <f t="shared" si="70"/>
        <v>560</v>
      </c>
      <c r="J332" s="45" t="s">
        <v>47</v>
      </c>
      <c r="K332" s="68" t="s">
        <v>33</v>
      </c>
      <c r="L332" s="69">
        <v>280</v>
      </c>
      <c r="M332" s="65">
        <f t="shared" si="66"/>
        <v>6.26240104896</v>
      </c>
      <c r="N332" s="69" t="s">
        <v>34</v>
      </c>
      <c r="O332" s="67"/>
      <c r="P332" s="74"/>
      <c r="Q332" s="71">
        <f>VLOOKUP($F332,[4]装箱单!$A:$E,5,0)</f>
        <v>40.01</v>
      </c>
      <c r="R332" s="71">
        <f>VLOOKUP($F332,[4]装箱单!$A:$F,6,0)</f>
        <v>26.67</v>
      </c>
      <c r="S332" s="71">
        <f>VLOOKUP($F332,[4]装箱单!$A:$G,7,0)</f>
        <v>20.96</v>
      </c>
      <c r="T332" s="72">
        <f>VLOOKUP($F332,[4]装箱单!$A:$J,10,0)</f>
        <v>0.022365718032</v>
      </c>
      <c r="U332" s="73">
        <f t="shared" si="67"/>
        <v>6.26240104896</v>
      </c>
      <c r="V332" s="12"/>
    </row>
    <row r="333" s="1" customFormat="1" ht="29.1" customHeight="1" spans="1:22">
      <c r="A333" s="62"/>
      <c r="B333" s="63"/>
      <c r="C333" s="64"/>
      <c r="D333" s="66"/>
      <c r="E333" s="67"/>
      <c r="F333" s="67"/>
      <c r="G333" s="67"/>
      <c r="H333" s="67"/>
      <c r="I333" s="68"/>
      <c r="J333" s="68"/>
      <c r="K333" s="68"/>
      <c r="L333" s="69"/>
      <c r="M333" s="65">
        <f>SUM(M311:M332)</f>
        <v>129.147028807245</v>
      </c>
      <c r="N333" s="69"/>
      <c r="O333" s="67"/>
      <c r="P333" s="75"/>
      <c r="Q333" s="71"/>
      <c r="R333" s="71"/>
      <c r="S333" s="71"/>
      <c r="T333" s="72"/>
      <c r="U333" s="73"/>
      <c r="V333" s="12"/>
    </row>
    <row r="334" s="1" customFormat="1" ht="29.1" customHeight="1" spans="1:22">
      <c r="A334" s="62">
        <v>46203</v>
      </c>
      <c r="B334" s="63" t="s">
        <v>415</v>
      </c>
      <c r="C334" s="64" t="s">
        <v>1494</v>
      </c>
      <c r="D334" s="66" t="s">
        <v>1338</v>
      </c>
      <c r="E334" s="66" t="s">
        <v>1495</v>
      </c>
      <c r="F334" s="67">
        <v>470764</v>
      </c>
      <c r="G334" s="67" t="str">
        <f>VLOOKUP(F334,[4]装箱单!$A:$C,3,0)</f>
        <v>大型自卸车</v>
      </c>
      <c r="H334" s="67">
        <v>1461</v>
      </c>
      <c r="I334" s="68">
        <f>+L334*1</f>
        <v>17</v>
      </c>
      <c r="J334" s="68" t="s">
        <v>32</v>
      </c>
      <c r="K334" s="68" t="s">
        <v>33</v>
      </c>
      <c r="L334" s="69">
        <v>17</v>
      </c>
      <c r="M334" s="65">
        <f t="shared" ref="M334:M341" si="71">+U334</f>
        <v>0.455532</v>
      </c>
      <c r="N334" s="69" t="s">
        <v>34</v>
      </c>
      <c r="O334" s="67"/>
      <c r="P334" s="70" t="s">
        <v>128</v>
      </c>
      <c r="Q334" s="71">
        <f>VLOOKUP($F334,[4]装箱单!$A:$E,5,0)</f>
        <v>42</v>
      </c>
      <c r="R334" s="71">
        <f>VLOOKUP($F334,[4]装箱单!$A:$F,6,0)</f>
        <v>22</v>
      </c>
      <c r="S334" s="71">
        <f>VLOOKUP($F334,[4]装箱单!$A:$G,7,0)</f>
        <v>29</v>
      </c>
      <c r="T334" s="72">
        <f>VLOOKUP($F334,[4]装箱单!$A:$J,10,0)</f>
        <v>0.026796</v>
      </c>
      <c r="U334" s="73">
        <f t="shared" ref="U334:U341" si="72">+T334*L334</f>
        <v>0.455532</v>
      </c>
      <c r="V334" s="12"/>
    </row>
    <row r="335" s="1" customFormat="1" ht="29.1" customHeight="1" spans="1:22">
      <c r="A335" s="62">
        <v>46203</v>
      </c>
      <c r="B335" s="63" t="s">
        <v>415</v>
      </c>
      <c r="C335" s="64" t="s">
        <v>1636</v>
      </c>
      <c r="D335" s="66" t="s">
        <v>1338</v>
      </c>
      <c r="E335" s="66" t="s">
        <v>1637</v>
      </c>
      <c r="F335" s="67">
        <v>470764</v>
      </c>
      <c r="G335" s="67" t="str">
        <f>VLOOKUP(F335,[4]装箱单!$A:$C,3,0)</f>
        <v>大型自卸车</v>
      </c>
      <c r="H335" s="67">
        <v>1039</v>
      </c>
      <c r="I335" s="68">
        <f>+L335*1</f>
        <v>1039</v>
      </c>
      <c r="J335" s="68" t="s">
        <v>32</v>
      </c>
      <c r="K335" s="68" t="s">
        <v>33</v>
      </c>
      <c r="L335" s="69">
        <v>1039</v>
      </c>
      <c r="M335" s="65">
        <f t="shared" si="71"/>
        <v>27.841044</v>
      </c>
      <c r="N335" s="69" t="s">
        <v>34</v>
      </c>
      <c r="O335" s="67"/>
      <c r="P335" s="74"/>
      <c r="Q335" s="71">
        <f>VLOOKUP($F335,[4]装箱单!$A:$E,5,0)</f>
        <v>42</v>
      </c>
      <c r="R335" s="71">
        <f>VLOOKUP($F335,[4]装箱单!$A:$F,6,0)</f>
        <v>22</v>
      </c>
      <c r="S335" s="71">
        <f>VLOOKUP($F335,[4]装箱单!$A:$G,7,0)</f>
        <v>29</v>
      </c>
      <c r="T335" s="72">
        <f>VLOOKUP($F335,[4]装箱单!$A:$J,10,0)</f>
        <v>0.026796</v>
      </c>
      <c r="U335" s="73">
        <f t="shared" si="72"/>
        <v>27.841044</v>
      </c>
      <c r="V335" s="12"/>
    </row>
    <row r="336" s="1" customFormat="1" ht="29.1" customHeight="1" spans="1:22">
      <c r="A336" s="62">
        <v>46203</v>
      </c>
      <c r="B336" s="63" t="s">
        <v>415</v>
      </c>
      <c r="C336" s="64" t="s">
        <v>1420</v>
      </c>
      <c r="D336" s="66" t="s">
        <v>1338</v>
      </c>
      <c r="E336" s="67"/>
      <c r="F336" s="67">
        <v>470764</v>
      </c>
      <c r="G336" s="67" t="str">
        <f>VLOOKUP(F336,[4]装箱单!$A:$C,3,0)</f>
        <v>大型自卸车</v>
      </c>
      <c r="H336" s="67">
        <v>2494</v>
      </c>
      <c r="I336" s="68">
        <f t="shared" ref="I336:I341" si="73">+L336</f>
        <v>572</v>
      </c>
      <c r="J336" s="68" t="s">
        <v>32</v>
      </c>
      <c r="K336" s="68" t="s">
        <v>33</v>
      </c>
      <c r="L336" s="69">
        <f>2494-1522-400</f>
        <v>572</v>
      </c>
      <c r="M336" s="65">
        <f t="shared" si="71"/>
        <v>15.327312</v>
      </c>
      <c r="N336" s="69" t="s">
        <v>34</v>
      </c>
      <c r="O336" s="67"/>
      <c r="P336" s="74"/>
      <c r="Q336" s="71">
        <f>VLOOKUP($F336,[4]装箱单!$A:$E,5,0)</f>
        <v>42</v>
      </c>
      <c r="R336" s="71">
        <f>VLOOKUP($F336,[4]装箱单!$A:$F,6,0)</f>
        <v>22</v>
      </c>
      <c r="S336" s="71">
        <f>VLOOKUP($F336,[4]装箱单!$A:$G,7,0)</f>
        <v>29</v>
      </c>
      <c r="T336" s="72">
        <f>VLOOKUP($F336,[4]装箱单!$A:$J,10,0)</f>
        <v>0.026796</v>
      </c>
      <c r="U336" s="73">
        <f t="shared" si="72"/>
        <v>15.327312</v>
      </c>
      <c r="V336" s="12"/>
    </row>
    <row r="337" s="1" customFormat="1" ht="29.1" customHeight="1" spans="1:22">
      <c r="A337" s="62">
        <v>46203</v>
      </c>
      <c r="B337" s="63" t="s">
        <v>40</v>
      </c>
      <c r="C337" s="64" t="s">
        <v>1638</v>
      </c>
      <c r="D337" s="66" t="s">
        <v>1639</v>
      </c>
      <c r="E337" s="66">
        <v>994928894</v>
      </c>
      <c r="F337" s="67">
        <v>28483</v>
      </c>
      <c r="G337" s="67" t="str">
        <f>VLOOKUP(F337,[4]装箱单!$A:$C,3,0)</f>
        <v>振动球</v>
      </c>
      <c r="H337" s="67">
        <v>3960</v>
      </c>
      <c r="I337" s="68">
        <f t="shared" si="73"/>
        <v>3960</v>
      </c>
      <c r="J337" s="68" t="s">
        <v>32</v>
      </c>
      <c r="K337" s="68" t="s">
        <v>33</v>
      </c>
      <c r="L337" s="69">
        <v>3960</v>
      </c>
      <c r="M337" s="65">
        <f t="shared" si="71"/>
        <v>22.8598524</v>
      </c>
      <c r="N337" s="69" t="s">
        <v>34</v>
      </c>
      <c r="O337" s="67"/>
      <c r="P337" s="74"/>
      <c r="Q337" s="71">
        <f>VLOOKUP($F337,[4]装箱单!$A:$E,5,0)</f>
        <v>16.83</v>
      </c>
      <c r="R337" s="71">
        <f>VLOOKUP($F337,[4]装箱单!$A:$F,6,0)</f>
        <v>17.15</v>
      </c>
      <c r="S337" s="71">
        <f>VLOOKUP($F337,[4]装箱单!$A:$G,7,0)</f>
        <v>20</v>
      </c>
      <c r="T337" s="72">
        <f>VLOOKUP($F337,[4]装箱单!$A:$J,10,0)</f>
        <v>0.00577269</v>
      </c>
      <c r="U337" s="73">
        <f t="shared" si="72"/>
        <v>22.8598524</v>
      </c>
      <c r="V337" s="12"/>
    </row>
    <row r="338" s="1" customFormat="1" ht="29.1" customHeight="1" spans="1:22">
      <c r="A338" s="62">
        <v>46203</v>
      </c>
      <c r="B338" s="63" t="s">
        <v>40</v>
      </c>
      <c r="C338" s="64" t="s">
        <v>1640</v>
      </c>
      <c r="D338" s="66" t="s">
        <v>1641</v>
      </c>
      <c r="E338" s="66">
        <v>994928930</v>
      </c>
      <c r="F338" s="67">
        <v>28483</v>
      </c>
      <c r="G338" s="67" t="str">
        <f>VLOOKUP(F338,[4]装箱单!$A:$C,3,0)</f>
        <v>振动球</v>
      </c>
      <c r="H338" s="67">
        <v>2340</v>
      </c>
      <c r="I338" s="68">
        <f t="shared" si="73"/>
        <v>2340</v>
      </c>
      <c r="J338" s="68" t="s">
        <v>32</v>
      </c>
      <c r="K338" s="68" t="s">
        <v>33</v>
      </c>
      <c r="L338" s="69">
        <v>2340</v>
      </c>
      <c r="M338" s="65">
        <f t="shared" si="71"/>
        <v>13.5080946</v>
      </c>
      <c r="N338" s="69" t="s">
        <v>34</v>
      </c>
      <c r="O338" s="67"/>
      <c r="P338" s="74"/>
      <c r="Q338" s="71">
        <f>VLOOKUP($F338,[4]装箱单!$A:$E,5,0)</f>
        <v>16.83</v>
      </c>
      <c r="R338" s="71">
        <f>VLOOKUP($F338,[4]装箱单!$A:$F,6,0)</f>
        <v>17.15</v>
      </c>
      <c r="S338" s="71">
        <f>VLOOKUP($F338,[4]装箱单!$A:$G,7,0)</f>
        <v>20</v>
      </c>
      <c r="T338" s="72">
        <f>VLOOKUP($F338,[4]装箱单!$A:$J,10,0)</f>
        <v>0.00577269</v>
      </c>
      <c r="U338" s="73">
        <f t="shared" si="72"/>
        <v>13.5080946</v>
      </c>
      <c r="V338" s="12"/>
    </row>
    <row r="339" s="1" customFormat="1" ht="29.1" customHeight="1" spans="1:22">
      <c r="A339" s="62">
        <v>46203</v>
      </c>
      <c r="B339" s="63" t="s">
        <v>40</v>
      </c>
      <c r="C339" s="64" t="s">
        <v>1642</v>
      </c>
      <c r="D339" s="66" t="s">
        <v>1643</v>
      </c>
      <c r="E339" s="66">
        <v>994928903</v>
      </c>
      <c r="F339" s="67">
        <v>28483</v>
      </c>
      <c r="G339" s="67" t="str">
        <f>VLOOKUP(F339,[4]装箱单!$A:$C,3,0)</f>
        <v>振动球</v>
      </c>
      <c r="H339" s="67">
        <v>3060</v>
      </c>
      <c r="I339" s="68">
        <f t="shared" si="73"/>
        <v>1980</v>
      </c>
      <c r="J339" s="68" t="s">
        <v>32</v>
      </c>
      <c r="K339" s="68" t="s">
        <v>33</v>
      </c>
      <c r="L339" s="69">
        <v>1980</v>
      </c>
      <c r="M339" s="65">
        <f t="shared" si="71"/>
        <v>11.4299262</v>
      </c>
      <c r="N339" s="69" t="s">
        <v>34</v>
      </c>
      <c r="O339" s="67"/>
      <c r="P339" s="74"/>
      <c r="Q339" s="71">
        <f>VLOOKUP($F339,[4]装箱单!$A:$E,5,0)</f>
        <v>16.83</v>
      </c>
      <c r="R339" s="71">
        <f>VLOOKUP($F339,[4]装箱单!$A:$F,6,0)</f>
        <v>17.15</v>
      </c>
      <c r="S339" s="71">
        <f>VLOOKUP($F339,[4]装箱单!$A:$G,7,0)</f>
        <v>20</v>
      </c>
      <c r="T339" s="72">
        <f>VLOOKUP($F339,[4]装箱单!$A:$J,10,0)</f>
        <v>0.00577269</v>
      </c>
      <c r="U339" s="73">
        <f t="shared" si="72"/>
        <v>11.4299262</v>
      </c>
      <c r="V339" s="12"/>
    </row>
    <row r="340" s="1" customFormat="1" ht="29.1" customHeight="1" spans="1:22">
      <c r="A340" s="62">
        <v>46203</v>
      </c>
      <c r="B340" s="63" t="s">
        <v>40</v>
      </c>
      <c r="C340" s="64" t="s">
        <v>1644</v>
      </c>
      <c r="D340" s="66" t="s">
        <v>1645</v>
      </c>
      <c r="E340" s="66">
        <v>994928917</v>
      </c>
      <c r="F340" s="67">
        <v>28483</v>
      </c>
      <c r="G340" s="67" t="str">
        <f>VLOOKUP(F340,[4]装箱单!$A:$C,3,0)</f>
        <v>振动球</v>
      </c>
      <c r="H340" s="67">
        <v>2340</v>
      </c>
      <c r="I340" s="68">
        <f t="shared" si="73"/>
        <v>2340</v>
      </c>
      <c r="J340" s="68" t="s">
        <v>32</v>
      </c>
      <c r="K340" s="68" t="s">
        <v>33</v>
      </c>
      <c r="L340" s="69">
        <v>2340</v>
      </c>
      <c r="M340" s="65">
        <f t="shared" si="71"/>
        <v>13.5080946</v>
      </c>
      <c r="N340" s="69" t="s">
        <v>34</v>
      </c>
      <c r="O340" s="67"/>
      <c r="P340" s="74"/>
      <c r="Q340" s="71">
        <f>VLOOKUP($F340,[4]装箱单!$A:$E,5,0)</f>
        <v>16.83</v>
      </c>
      <c r="R340" s="71">
        <f>VLOOKUP($F340,[4]装箱单!$A:$F,6,0)</f>
        <v>17.15</v>
      </c>
      <c r="S340" s="71">
        <f>VLOOKUP($F340,[4]装箱单!$A:$G,7,0)</f>
        <v>20</v>
      </c>
      <c r="T340" s="72">
        <f>VLOOKUP($F340,[4]装箱单!$A:$J,10,0)</f>
        <v>0.00577269</v>
      </c>
      <c r="U340" s="73">
        <f t="shared" si="72"/>
        <v>13.5080946</v>
      </c>
      <c r="V340" s="12"/>
    </row>
    <row r="341" s="1" customFormat="1" ht="29.1" customHeight="1" spans="1:22">
      <c r="A341" s="62">
        <v>46203</v>
      </c>
      <c r="B341" s="63" t="s">
        <v>40</v>
      </c>
      <c r="C341" s="64" t="s">
        <v>1646</v>
      </c>
      <c r="D341" s="66" t="s">
        <v>1647</v>
      </c>
      <c r="E341" s="66">
        <v>994928919</v>
      </c>
      <c r="F341" s="67">
        <v>28483</v>
      </c>
      <c r="G341" s="67" t="str">
        <f>VLOOKUP(F341,[4]装箱单!$A:$C,3,0)</f>
        <v>振动球</v>
      </c>
      <c r="H341" s="67">
        <v>3420</v>
      </c>
      <c r="I341" s="68">
        <f t="shared" si="73"/>
        <v>3420</v>
      </c>
      <c r="J341" s="68" t="s">
        <v>32</v>
      </c>
      <c r="K341" s="68" t="s">
        <v>33</v>
      </c>
      <c r="L341" s="69">
        <v>3420</v>
      </c>
      <c r="M341" s="65">
        <f t="shared" si="71"/>
        <v>19.7425998</v>
      </c>
      <c r="N341" s="69" t="s">
        <v>34</v>
      </c>
      <c r="O341" s="67"/>
      <c r="P341" s="74"/>
      <c r="Q341" s="71">
        <f>VLOOKUP($F341,[4]装箱单!$A:$E,5,0)</f>
        <v>16.83</v>
      </c>
      <c r="R341" s="71">
        <f>VLOOKUP($F341,[4]装箱单!$A:$F,6,0)</f>
        <v>17.15</v>
      </c>
      <c r="S341" s="71">
        <f>VLOOKUP($F341,[4]装箱单!$A:$G,7,0)</f>
        <v>20</v>
      </c>
      <c r="T341" s="72">
        <f>VLOOKUP($F341,[4]装箱单!$A:$J,10,0)</f>
        <v>0.00577269</v>
      </c>
      <c r="U341" s="73">
        <f t="shared" si="72"/>
        <v>19.7425998</v>
      </c>
      <c r="V341" s="12"/>
    </row>
    <row r="342" s="1" customFormat="1" ht="29.1" customHeight="1" spans="1:22">
      <c r="A342" s="62">
        <v>46203</v>
      </c>
      <c r="B342" s="63"/>
      <c r="C342" s="64"/>
      <c r="D342" s="66"/>
      <c r="E342" s="66"/>
      <c r="F342" s="67">
        <v>470764</v>
      </c>
      <c r="G342" s="67" t="s">
        <v>1648</v>
      </c>
      <c r="H342" s="67">
        <v>75</v>
      </c>
      <c r="I342" s="68">
        <v>75</v>
      </c>
      <c r="J342" s="68" t="s">
        <v>270</v>
      </c>
      <c r="K342" s="68" t="s">
        <v>218</v>
      </c>
      <c r="L342" s="69"/>
      <c r="M342" s="65"/>
      <c r="N342" s="69"/>
      <c r="O342" s="67"/>
      <c r="P342" s="74"/>
      <c r="Q342" s="71"/>
      <c r="R342" s="71"/>
      <c r="S342" s="71"/>
      <c r="T342" s="72"/>
      <c r="U342" s="73"/>
      <c r="V342" s="12"/>
    </row>
    <row r="343" s="1" customFormat="1" ht="29.1" customHeight="1" spans="1:22">
      <c r="A343" s="62"/>
      <c r="B343" s="63"/>
      <c r="C343" s="64"/>
      <c r="D343" s="66"/>
      <c r="E343" s="66"/>
      <c r="F343" s="67"/>
      <c r="G343" s="67"/>
      <c r="H343" s="67"/>
      <c r="I343" s="68"/>
      <c r="J343" s="68"/>
      <c r="K343" s="68"/>
      <c r="L343" s="69"/>
      <c r="M343" s="65">
        <f>SUM(M334:M341)</f>
        <v>124.6724556</v>
      </c>
      <c r="N343" s="69"/>
      <c r="O343" s="67"/>
      <c r="P343" s="75"/>
      <c r="Q343" s="71"/>
      <c r="R343" s="71"/>
      <c r="S343" s="71"/>
      <c r="T343" s="72"/>
      <c r="U343" s="73"/>
      <c r="V343" s="12"/>
    </row>
    <row r="344" s="1" customFormat="1" ht="29.1" customHeight="1" spans="1:22">
      <c r="A344" s="62">
        <v>46205</v>
      </c>
      <c r="B344" s="63" t="s">
        <v>40</v>
      </c>
      <c r="C344" s="64" t="s">
        <v>1642</v>
      </c>
      <c r="D344" s="66" t="s">
        <v>1643</v>
      </c>
      <c r="E344" s="66">
        <v>994928903</v>
      </c>
      <c r="F344" s="67">
        <v>28483</v>
      </c>
      <c r="G344" s="67" t="str">
        <f>VLOOKUP(F344,[4]装箱单!$A:$C,3,0)</f>
        <v>振动球</v>
      </c>
      <c r="H344" s="67">
        <v>3060</v>
      </c>
      <c r="I344" s="68">
        <f>+L344</f>
        <v>1080</v>
      </c>
      <c r="J344" s="68" t="s">
        <v>32</v>
      </c>
      <c r="K344" s="68" t="s">
        <v>33</v>
      </c>
      <c r="L344" s="69">
        <f>3060-1980</f>
        <v>1080</v>
      </c>
      <c r="M344" s="65">
        <f t="shared" ref="M344:M360" si="74">+U344</f>
        <v>6.2345052</v>
      </c>
      <c r="N344" s="69" t="s">
        <v>34</v>
      </c>
      <c r="O344" s="67"/>
      <c r="P344" s="70" t="s">
        <v>1451</v>
      </c>
      <c r="Q344" s="71">
        <f>VLOOKUP($F344,[4]装箱单!$A:$E,5,0)</f>
        <v>16.83</v>
      </c>
      <c r="R344" s="71">
        <f>VLOOKUP($F344,[4]装箱单!$A:$F,6,0)</f>
        <v>17.15</v>
      </c>
      <c r="S344" s="71">
        <f>VLOOKUP($F344,[4]装箱单!$A:$G,7,0)</f>
        <v>20</v>
      </c>
      <c r="T344" s="72">
        <f>VLOOKUP($F344,[4]装箱单!$A:$J,10,0)</f>
        <v>0.00577269</v>
      </c>
      <c r="U344" s="73">
        <f t="shared" ref="U344:U360" si="75">+T344*L344</f>
        <v>6.2345052</v>
      </c>
      <c r="V344" s="12"/>
    </row>
    <row r="345" s="1" customFormat="1" ht="29.1" customHeight="1" spans="1:22">
      <c r="A345" s="62">
        <v>46205</v>
      </c>
      <c r="B345" s="63" t="s">
        <v>40</v>
      </c>
      <c r="C345" s="64" t="s">
        <v>1618</v>
      </c>
      <c r="D345" s="66" t="s">
        <v>1619</v>
      </c>
      <c r="E345" s="66">
        <v>994928922</v>
      </c>
      <c r="F345" s="67">
        <v>28483</v>
      </c>
      <c r="G345" s="67" t="str">
        <f>VLOOKUP(F345,[4]装箱单!$A:$C,3,0)</f>
        <v>振动球</v>
      </c>
      <c r="H345" s="67">
        <v>2520</v>
      </c>
      <c r="I345" s="68">
        <f>+L345</f>
        <v>540</v>
      </c>
      <c r="J345" s="68" t="s">
        <v>32</v>
      </c>
      <c r="K345" s="68" t="s">
        <v>33</v>
      </c>
      <c r="L345" s="69">
        <f>2520-1980</f>
        <v>540</v>
      </c>
      <c r="M345" s="65">
        <f t="shared" si="74"/>
        <v>3.1172526</v>
      </c>
      <c r="N345" s="69" t="s">
        <v>34</v>
      </c>
      <c r="O345" s="67"/>
      <c r="P345" s="74"/>
      <c r="Q345" s="71">
        <f>VLOOKUP($F345,[4]装箱单!$A:$E,5,0)</f>
        <v>16.83</v>
      </c>
      <c r="R345" s="71">
        <f>VLOOKUP($F345,[4]装箱单!$A:$F,6,0)</f>
        <v>17.15</v>
      </c>
      <c r="S345" s="71">
        <f>VLOOKUP($F345,[4]装箱单!$A:$G,7,0)</f>
        <v>20</v>
      </c>
      <c r="T345" s="72">
        <f>VLOOKUP($F345,[4]装箱单!$A:$J,10,0)</f>
        <v>0.00577269</v>
      </c>
      <c r="U345" s="73">
        <f t="shared" si="75"/>
        <v>3.1172526</v>
      </c>
      <c r="V345" s="12"/>
    </row>
    <row r="346" s="1" customFormat="1" ht="29.1" customHeight="1" spans="1:22">
      <c r="A346" s="62">
        <v>46205</v>
      </c>
      <c r="B346" s="63" t="s">
        <v>54</v>
      </c>
      <c r="C346" s="64" t="s">
        <v>1649</v>
      </c>
      <c r="D346" s="66" t="s">
        <v>1650</v>
      </c>
      <c r="E346" s="66">
        <v>999932066</v>
      </c>
      <c r="F346" s="67">
        <v>570989</v>
      </c>
      <c r="G346" s="67" t="str">
        <f>VLOOKUP(F346,[4]装箱单!$A:$C,3,0)</f>
        <v>盲盒系列</v>
      </c>
      <c r="H346" s="67">
        <v>120</v>
      </c>
      <c r="I346" s="68">
        <f t="shared" ref="I346:I349" si="76">+L346*27</f>
        <v>3240</v>
      </c>
      <c r="J346" s="68" t="s">
        <v>32</v>
      </c>
      <c r="K346" s="68" t="s">
        <v>33</v>
      </c>
      <c r="L346" s="69">
        <v>120</v>
      </c>
      <c r="M346" s="65">
        <f t="shared" si="74"/>
        <v>1.33900135425</v>
      </c>
      <c r="N346" s="46" t="s">
        <v>34</v>
      </c>
      <c r="O346" s="67"/>
      <c r="P346" s="74"/>
      <c r="Q346" s="71">
        <f>VLOOKUP($F346,[4]装箱单!$A:$E,5,0)</f>
        <v>31.115</v>
      </c>
      <c r="R346" s="71">
        <f>VLOOKUP($F346,[4]装箱单!$A:$F,6,0)</f>
        <v>22.59</v>
      </c>
      <c r="S346" s="71">
        <f>VLOOKUP($F346,[4]装箱单!$A:$G,7,0)</f>
        <v>15.875</v>
      </c>
      <c r="T346" s="72">
        <f>VLOOKUP($F346,[4]装箱单!$A:$J,10,0)</f>
        <v>0.01115834461875</v>
      </c>
      <c r="U346" s="73">
        <f t="shared" si="75"/>
        <v>1.33900135425</v>
      </c>
      <c r="V346" s="12"/>
    </row>
    <row r="347" s="1" customFormat="1" ht="29.1" customHeight="1" spans="1:22">
      <c r="A347" s="62">
        <v>46205</v>
      </c>
      <c r="B347" s="63" t="s">
        <v>54</v>
      </c>
      <c r="C347" s="64" t="s">
        <v>1651</v>
      </c>
      <c r="D347" s="66" t="s">
        <v>1650</v>
      </c>
      <c r="E347" s="66">
        <v>1000159416</v>
      </c>
      <c r="F347" s="67">
        <v>570989</v>
      </c>
      <c r="G347" s="67" t="str">
        <f>VLOOKUP(F347,[4]装箱单!$A:$C,3,0)</f>
        <v>盲盒系列</v>
      </c>
      <c r="H347" s="67">
        <v>715</v>
      </c>
      <c r="I347" s="68">
        <f t="shared" si="76"/>
        <v>18252</v>
      </c>
      <c r="J347" s="68" t="s">
        <v>32</v>
      </c>
      <c r="K347" s="68" t="s">
        <v>33</v>
      </c>
      <c r="L347" s="69">
        <v>676</v>
      </c>
      <c r="M347" s="65">
        <f t="shared" si="74"/>
        <v>7.543040962275</v>
      </c>
      <c r="N347" s="46" t="s">
        <v>34</v>
      </c>
      <c r="O347" s="67"/>
      <c r="P347" s="74"/>
      <c r="Q347" s="71">
        <f>VLOOKUP($F347,[4]装箱单!$A:$E,5,0)</f>
        <v>31.115</v>
      </c>
      <c r="R347" s="71">
        <f>VLOOKUP($F347,[4]装箱单!$A:$F,6,0)</f>
        <v>22.59</v>
      </c>
      <c r="S347" s="71">
        <f>VLOOKUP($F347,[4]装箱单!$A:$G,7,0)</f>
        <v>15.875</v>
      </c>
      <c r="T347" s="72">
        <f>VLOOKUP($F347,[4]装箱单!$A:$J,10,0)</f>
        <v>0.01115834461875</v>
      </c>
      <c r="U347" s="73">
        <f t="shared" si="75"/>
        <v>7.543040962275</v>
      </c>
      <c r="V347" s="12"/>
    </row>
    <row r="348" s="1" customFormat="1" ht="29.1" customHeight="1" spans="1:22">
      <c r="A348" s="62">
        <v>46205</v>
      </c>
      <c r="B348" s="63" t="s">
        <v>54</v>
      </c>
      <c r="C348" s="64" t="s">
        <v>1652</v>
      </c>
      <c r="D348" s="66" t="s">
        <v>1650</v>
      </c>
      <c r="E348" s="66" t="s">
        <v>1653</v>
      </c>
      <c r="F348" s="67">
        <v>570989</v>
      </c>
      <c r="G348" s="67" t="str">
        <f>VLOOKUP(F348,[4]装箱单!$A:$C,3,0)</f>
        <v>盲盒系列</v>
      </c>
      <c r="H348" s="67">
        <v>401</v>
      </c>
      <c r="I348" s="68">
        <f t="shared" si="76"/>
        <v>10827</v>
      </c>
      <c r="J348" s="68" t="s">
        <v>32</v>
      </c>
      <c r="K348" s="68" t="s">
        <v>33</v>
      </c>
      <c r="L348" s="69">
        <v>401</v>
      </c>
      <c r="M348" s="65">
        <f t="shared" si="74"/>
        <v>4.47449619211875</v>
      </c>
      <c r="N348" s="46" t="s">
        <v>34</v>
      </c>
      <c r="O348" s="67"/>
      <c r="P348" s="74"/>
      <c r="Q348" s="71">
        <f>VLOOKUP($F348,[4]装箱单!$A:$E,5,0)</f>
        <v>31.115</v>
      </c>
      <c r="R348" s="71">
        <f>VLOOKUP($F348,[4]装箱单!$A:$F,6,0)</f>
        <v>22.59</v>
      </c>
      <c r="S348" s="71">
        <f>VLOOKUP($F348,[4]装箱单!$A:$G,7,0)</f>
        <v>15.875</v>
      </c>
      <c r="T348" s="72">
        <f>VLOOKUP($F348,[4]装箱单!$A:$J,10,0)</f>
        <v>0.01115834461875</v>
      </c>
      <c r="U348" s="73">
        <f t="shared" si="75"/>
        <v>4.47449619211875</v>
      </c>
      <c r="V348" s="12"/>
    </row>
    <row r="349" s="1" customFormat="1" ht="29.1" customHeight="1" spans="1:22">
      <c r="A349" s="62">
        <v>46205</v>
      </c>
      <c r="B349" s="63" t="s">
        <v>54</v>
      </c>
      <c r="C349" s="64" t="s">
        <v>1654</v>
      </c>
      <c r="D349" s="66" t="s">
        <v>1650</v>
      </c>
      <c r="E349" s="66">
        <v>1000159417</v>
      </c>
      <c r="F349" s="67">
        <v>570989</v>
      </c>
      <c r="G349" s="67" t="str">
        <f>VLOOKUP(F349,[4]装箱单!$A:$C,3,0)</f>
        <v>盲盒系列</v>
      </c>
      <c r="H349" s="67">
        <v>168</v>
      </c>
      <c r="I349" s="68">
        <f t="shared" si="76"/>
        <v>4536</v>
      </c>
      <c r="J349" s="68" t="s">
        <v>32</v>
      </c>
      <c r="K349" s="68" t="s">
        <v>33</v>
      </c>
      <c r="L349" s="69">
        <v>168</v>
      </c>
      <c r="M349" s="65">
        <f t="shared" si="74"/>
        <v>1.87460189595</v>
      </c>
      <c r="N349" s="46" t="s">
        <v>34</v>
      </c>
      <c r="O349" s="67"/>
      <c r="P349" s="74"/>
      <c r="Q349" s="71">
        <f>VLOOKUP($F349,[4]装箱单!$A:$E,5,0)</f>
        <v>31.115</v>
      </c>
      <c r="R349" s="71">
        <f>VLOOKUP($F349,[4]装箱单!$A:$F,6,0)</f>
        <v>22.59</v>
      </c>
      <c r="S349" s="71">
        <f>VLOOKUP($F349,[4]装箱单!$A:$G,7,0)</f>
        <v>15.875</v>
      </c>
      <c r="T349" s="72">
        <f>VLOOKUP($F349,[4]装箱单!$A:$J,10,0)</f>
        <v>0.01115834461875</v>
      </c>
      <c r="U349" s="73">
        <f t="shared" si="75"/>
        <v>1.87460189595</v>
      </c>
      <c r="V349" s="12"/>
    </row>
    <row r="350" s="1" customFormat="1" ht="29.1" customHeight="1" spans="1:22">
      <c r="A350" s="62">
        <v>46205</v>
      </c>
      <c r="B350" s="63" t="s">
        <v>1620</v>
      </c>
      <c r="C350" s="64" t="s">
        <v>1621</v>
      </c>
      <c r="D350" s="66" t="s">
        <v>1622</v>
      </c>
      <c r="E350" s="67" t="s">
        <v>1623</v>
      </c>
      <c r="F350" s="67" t="s">
        <v>45</v>
      </c>
      <c r="G350" s="67" t="str">
        <f>VLOOKUP(F350,[4]装箱单!$A:$C,3,0)</f>
        <v>鸭子</v>
      </c>
      <c r="H350" s="67">
        <v>556</v>
      </c>
      <c r="I350" s="68">
        <f>+L350*18</f>
        <v>10008</v>
      </c>
      <c r="J350" s="68" t="s">
        <v>32</v>
      </c>
      <c r="K350" s="68" t="s">
        <v>33</v>
      </c>
      <c r="L350" s="69">
        <v>556</v>
      </c>
      <c r="M350" s="65">
        <f t="shared" si="74"/>
        <v>3.22091500977</v>
      </c>
      <c r="N350" s="69" t="s">
        <v>34</v>
      </c>
      <c r="O350" s="67"/>
      <c r="P350" s="74"/>
      <c r="Q350" s="71">
        <f>VLOOKUP($F350,[4]装箱单!$A:$E,5,0)</f>
        <v>32.385</v>
      </c>
      <c r="R350" s="71">
        <f>VLOOKUP($F350,[4]装箱单!$A:$F,6,0)</f>
        <v>18.78</v>
      </c>
      <c r="S350" s="71">
        <f>VLOOKUP($F350,[4]装箱单!$A:$G,7,0)</f>
        <v>9.525</v>
      </c>
      <c r="T350" s="72">
        <f>VLOOKUP($F350,[4]装箱单!$A:$J,10,0)</f>
        <v>0.0057930126075</v>
      </c>
      <c r="U350" s="73">
        <f t="shared" si="75"/>
        <v>3.22091500977</v>
      </c>
      <c r="V350" s="12"/>
    </row>
    <row r="351" s="1" customFormat="1" ht="29.1" customHeight="1" spans="1:22">
      <c r="A351" s="62">
        <v>46205</v>
      </c>
      <c r="B351" s="63" t="s">
        <v>1283</v>
      </c>
      <c r="C351" s="64" t="s">
        <v>1508</v>
      </c>
      <c r="D351" s="66" t="s">
        <v>1509</v>
      </c>
      <c r="E351" s="67" t="s">
        <v>1512</v>
      </c>
      <c r="F351" s="67" t="s">
        <v>51</v>
      </c>
      <c r="G351" s="67" t="str">
        <f>VLOOKUP(F351,[4]装箱单!$A:$C,3,0)</f>
        <v>鸭子</v>
      </c>
      <c r="H351" s="67">
        <v>312</v>
      </c>
      <c r="I351" s="68">
        <f>+L351*48</f>
        <v>10320</v>
      </c>
      <c r="J351" s="68" t="s">
        <v>32</v>
      </c>
      <c r="K351" s="68" t="s">
        <v>33</v>
      </c>
      <c r="L351" s="69">
        <f>312-97</f>
        <v>215</v>
      </c>
      <c r="M351" s="65">
        <f t="shared" si="74"/>
        <v>8.787732195</v>
      </c>
      <c r="N351" s="69" t="s">
        <v>34</v>
      </c>
      <c r="O351" s="67"/>
      <c r="P351" s="74"/>
      <c r="Q351" s="71">
        <f>VLOOKUP($F351,[4]装箱单!$A:$E,5,0)</f>
        <v>37.15</v>
      </c>
      <c r="R351" s="71">
        <f>VLOOKUP($F351,[4]装箱单!$A:$F,6,0)</f>
        <v>33</v>
      </c>
      <c r="S351" s="71">
        <f>VLOOKUP($F351,[4]装箱单!$A:$G,7,0)</f>
        <v>33.34</v>
      </c>
      <c r="T351" s="72">
        <f>VLOOKUP($F351,[4]装箱单!$A:$J,10,0)</f>
        <v>0.040873173</v>
      </c>
      <c r="U351" s="73">
        <f t="shared" si="75"/>
        <v>8.787732195</v>
      </c>
      <c r="V351" s="12"/>
    </row>
    <row r="352" s="1" customFormat="1" ht="29.1" customHeight="1" spans="1:22">
      <c r="A352" s="62">
        <v>46205</v>
      </c>
      <c r="B352" s="63" t="s">
        <v>1190</v>
      </c>
      <c r="C352" s="64" t="s">
        <v>1633</v>
      </c>
      <c r="D352" s="66" t="s">
        <v>1634</v>
      </c>
      <c r="E352" s="67" t="s">
        <v>1635</v>
      </c>
      <c r="F352" s="67">
        <v>46132</v>
      </c>
      <c r="G352" s="67" t="str">
        <f>VLOOKUP(F352,[4]装箱单!$A:$C,3,0)</f>
        <v>赛车总动员系列</v>
      </c>
      <c r="H352" s="67">
        <v>500</v>
      </c>
      <c r="I352" s="68">
        <f t="shared" ref="I352:I359" si="77">+L352*2</f>
        <v>1000</v>
      </c>
      <c r="J352" s="68" t="s">
        <v>32</v>
      </c>
      <c r="K352" s="68" t="s">
        <v>33</v>
      </c>
      <c r="L352" s="69">
        <v>500</v>
      </c>
      <c r="M352" s="65">
        <f t="shared" si="74"/>
        <v>11.182859016</v>
      </c>
      <c r="N352" s="69" t="s">
        <v>34</v>
      </c>
      <c r="O352" s="67"/>
      <c r="P352" s="74"/>
      <c r="Q352" s="71">
        <f>VLOOKUP($F352,[4]装箱单!$A:$E,5,0)</f>
        <v>40.01</v>
      </c>
      <c r="R352" s="71">
        <f>VLOOKUP($F352,[4]装箱单!$A:$F,6,0)</f>
        <v>26.67</v>
      </c>
      <c r="S352" s="71">
        <f>VLOOKUP($F352,[4]装箱单!$A:$G,7,0)</f>
        <v>20.96</v>
      </c>
      <c r="T352" s="72">
        <f>VLOOKUP($F352,[4]装箱单!$A:$J,10,0)</f>
        <v>0.022365718032</v>
      </c>
      <c r="U352" s="73">
        <f t="shared" si="75"/>
        <v>11.182859016</v>
      </c>
      <c r="V352" s="12"/>
    </row>
    <row r="353" s="1" customFormat="1" ht="29.1" customHeight="1" spans="1:22">
      <c r="A353" s="62">
        <v>46205</v>
      </c>
      <c r="B353" s="63" t="s">
        <v>1629</v>
      </c>
      <c r="C353" s="64" t="s">
        <v>1630</v>
      </c>
      <c r="D353" s="66" t="s">
        <v>1631</v>
      </c>
      <c r="E353" s="67">
        <v>4504222790</v>
      </c>
      <c r="F353" s="67">
        <v>46132</v>
      </c>
      <c r="G353" s="67" t="str">
        <f>VLOOKUP(F353,[4]装箱单!$A:$C,3,0)</f>
        <v>赛车总动员系列</v>
      </c>
      <c r="H353" s="67">
        <v>450</v>
      </c>
      <c r="I353" s="68">
        <f t="shared" si="77"/>
        <v>900</v>
      </c>
      <c r="J353" s="68" t="s">
        <v>32</v>
      </c>
      <c r="K353" s="68" t="s">
        <v>33</v>
      </c>
      <c r="L353" s="69">
        <v>450</v>
      </c>
      <c r="M353" s="65">
        <f t="shared" si="74"/>
        <v>10.0645731144</v>
      </c>
      <c r="N353" s="69" t="s">
        <v>34</v>
      </c>
      <c r="O353" s="67"/>
      <c r="P353" s="74"/>
      <c r="Q353" s="71">
        <f>VLOOKUP($F353,[4]装箱单!$A:$E,5,0)</f>
        <v>40.01</v>
      </c>
      <c r="R353" s="71">
        <f>VLOOKUP($F353,[4]装箱单!$A:$F,6,0)</f>
        <v>26.67</v>
      </c>
      <c r="S353" s="71">
        <f>VLOOKUP($F353,[4]装箱单!$A:$G,7,0)</f>
        <v>20.96</v>
      </c>
      <c r="T353" s="72">
        <f>VLOOKUP($F353,[4]装箱单!$A:$J,10,0)</f>
        <v>0.022365718032</v>
      </c>
      <c r="U353" s="73">
        <f t="shared" si="75"/>
        <v>10.0645731144</v>
      </c>
      <c r="V353" s="12"/>
    </row>
    <row r="354" s="1" customFormat="1" ht="29.1" customHeight="1" spans="1:22">
      <c r="A354" s="62">
        <v>46205</v>
      </c>
      <c r="B354" s="63" t="s">
        <v>1190</v>
      </c>
      <c r="C354" s="64" t="s">
        <v>1655</v>
      </c>
      <c r="D354" s="66" t="s">
        <v>1634</v>
      </c>
      <c r="E354" s="67" t="s">
        <v>1635</v>
      </c>
      <c r="F354" s="67">
        <v>46099</v>
      </c>
      <c r="G354" s="67" t="str">
        <f>VLOOKUP(F354,[4]装箱单!$A:$C,3,0)</f>
        <v>米奇老鼠系列</v>
      </c>
      <c r="H354" s="67">
        <v>500</v>
      </c>
      <c r="I354" s="68">
        <f t="shared" si="77"/>
        <v>1000</v>
      </c>
      <c r="J354" s="68" t="s">
        <v>32</v>
      </c>
      <c r="K354" s="68" t="s">
        <v>33</v>
      </c>
      <c r="L354" s="69">
        <v>500</v>
      </c>
      <c r="M354" s="65">
        <f t="shared" si="74"/>
        <v>11.182859016</v>
      </c>
      <c r="N354" s="69" t="s">
        <v>34</v>
      </c>
      <c r="O354" s="67"/>
      <c r="P354" s="74"/>
      <c r="Q354" s="71">
        <f>VLOOKUP($F354,[4]装箱单!$A:$E,5,0)</f>
        <v>40.01</v>
      </c>
      <c r="R354" s="71">
        <f>VLOOKUP($F354,[4]装箱单!$A:$F,6,0)</f>
        <v>26.67</v>
      </c>
      <c r="S354" s="71">
        <f>VLOOKUP($F354,[4]装箱单!$A:$G,7,0)</f>
        <v>20.96</v>
      </c>
      <c r="T354" s="72">
        <f>VLOOKUP($F354,[4]装箱单!$A:$J,10,0)</f>
        <v>0.022365718032</v>
      </c>
      <c r="U354" s="73">
        <f t="shared" si="75"/>
        <v>11.182859016</v>
      </c>
      <c r="V354" s="12"/>
    </row>
    <row r="355" s="1" customFormat="1" ht="29.1" customHeight="1" spans="1:22">
      <c r="A355" s="62">
        <v>46205</v>
      </c>
      <c r="B355" s="63" t="s">
        <v>1190</v>
      </c>
      <c r="C355" s="64" t="s">
        <v>1633</v>
      </c>
      <c r="D355" s="66" t="s">
        <v>1634</v>
      </c>
      <c r="E355" s="67" t="s">
        <v>1635</v>
      </c>
      <c r="F355" s="67">
        <v>46097</v>
      </c>
      <c r="G355" s="67" t="str">
        <f>VLOOKUP(F355,[4]装箱单!$A:$C,3,0)</f>
        <v>小熊维尼历险记系列</v>
      </c>
      <c r="H355" s="67">
        <v>500</v>
      </c>
      <c r="I355" s="68">
        <f t="shared" si="77"/>
        <v>1000</v>
      </c>
      <c r="J355" s="68" t="s">
        <v>32</v>
      </c>
      <c r="K355" s="68" t="s">
        <v>33</v>
      </c>
      <c r="L355" s="69">
        <v>500</v>
      </c>
      <c r="M355" s="65">
        <f t="shared" si="74"/>
        <v>11.182859016</v>
      </c>
      <c r="N355" s="69" t="s">
        <v>34</v>
      </c>
      <c r="O355" s="67"/>
      <c r="P355" s="74"/>
      <c r="Q355" s="71">
        <f>VLOOKUP($F355,[4]装箱单!$A:$E,5,0)</f>
        <v>40.01</v>
      </c>
      <c r="R355" s="71">
        <f>VLOOKUP($F355,[4]装箱单!$A:$F,6,0)</f>
        <v>26.67</v>
      </c>
      <c r="S355" s="71">
        <f>VLOOKUP($F355,[4]装箱单!$A:$G,7,0)</f>
        <v>20.96</v>
      </c>
      <c r="T355" s="72">
        <f>VLOOKUP($F355,[4]装箱单!$A:$J,10,0)</f>
        <v>0.022365718032</v>
      </c>
      <c r="U355" s="73">
        <f t="shared" si="75"/>
        <v>11.182859016</v>
      </c>
      <c r="V355" s="12"/>
    </row>
    <row r="356" s="1" customFormat="1" ht="29.1" customHeight="1" spans="1:22">
      <c r="A356" s="62">
        <v>46205</v>
      </c>
      <c r="B356" s="63" t="s">
        <v>1629</v>
      </c>
      <c r="C356" s="64" t="s">
        <v>1630</v>
      </c>
      <c r="D356" s="66" t="s">
        <v>1631</v>
      </c>
      <c r="E356" s="67">
        <v>4504222790</v>
      </c>
      <c r="F356" s="67">
        <v>46097</v>
      </c>
      <c r="G356" s="67" t="str">
        <f>VLOOKUP(F356,[4]装箱单!$A:$C,3,0)</f>
        <v>小熊维尼历险记系列</v>
      </c>
      <c r="H356" s="67">
        <v>300</v>
      </c>
      <c r="I356" s="68">
        <f t="shared" si="77"/>
        <v>600</v>
      </c>
      <c r="J356" s="68" t="s">
        <v>32</v>
      </c>
      <c r="K356" s="68" t="s">
        <v>33</v>
      </c>
      <c r="L356" s="69">
        <v>300</v>
      </c>
      <c r="M356" s="65">
        <f t="shared" si="74"/>
        <v>6.7097154096</v>
      </c>
      <c r="N356" s="69" t="s">
        <v>34</v>
      </c>
      <c r="O356" s="67"/>
      <c r="P356" s="74"/>
      <c r="Q356" s="71">
        <f>VLOOKUP($F356,[4]装箱单!$A:$E,5,0)</f>
        <v>40.01</v>
      </c>
      <c r="R356" s="71">
        <f>VLOOKUP($F356,[4]装箱单!$A:$F,6,0)</f>
        <v>26.67</v>
      </c>
      <c r="S356" s="71">
        <f>VLOOKUP($F356,[4]装箱单!$A:$G,7,0)</f>
        <v>20.96</v>
      </c>
      <c r="T356" s="72">
        <f>VLOOKUP($F356,[4]装箱单!$A:$J,10,0)</f>
        <v>0.022365718032</v>
      </c>
      <c r="U356" s="73">
        <f t="shared" si="75"/>
        <v>6.7097154096</v>
      </c>
      <c r="V356" s="12"/>
    </row>
    <row r="357" s="1" customFormat="1" ht="29.1" customHeight="1" spans="1:22">
      <c r="A357" s="62">
        <v>46205</v>
      </c>
      <c r="B357" s="63" t="s">
        <v>1629</v>
      </c>
      <c r="C357" s="64" t="s">
        <v>1630</v>
      </c>
      <c r="D357" s="66" t="s">
        <v>1631</v>
      </c>
      <c r="E357" s="67">
        <v>4504222790</v>
      </c>
      <c r="F357" s="67">
        <v>46094</v>
      </c>
      <c r="G357" s="67" t="str">
        <f>VLOOKUP(F357,[4]装箱单!$A:$C,3,0)</f>
        <v>漫威系列</v>
      </c>
      <c r="H357" s="67">
        <v>300</v>
      </c>
      <c r="I357" s="68">
        <f t="shared" si="77"/>
        <v>600</v>
      </c>
      <c r="J357" s="68" t="s">
        <v>32</v>
      </c>
      <c r="K357" s="68" t="s">
        <v>33</v>
      </c>
      <c r="L357" s="69">
        <v>300</v>
      </c>
      <c r="M357" s="65">
        <f t="shared" si="74"/>
        <v>6.7097154096</v>
      </c>
      <c r="N357" s="69" t="s">
        <v>34</v>
      </c>
      <c r="O357" s="67"/>
      <c r="P357" s="74"/>
      <c r="Q357" s="71">
        <f>VLOOKUP($F357,[4]装箱单!$A:$E,5,0)</f>
        <v>40.01</v>
      </c>
      <c r="R357" s="71">
        <f>VLOOKUP($F357,[4]装箱单!$A:$F,6,0)</f>
        <v>26.67</v>
      </c>
      <c r="S357" s="71">
        <f>VLOOKUP($F357,[4]装箱单!$A:$G,7,0)</f>
        <v>20.96</v>
      </c>
      <c r="T357" s="72">
        <f>VLOOKUP($F357,[4]装箱单!$A:$J,10,0)</f>
        <v>0.022365718032</v>
      </c>
      <c r="U357" s="73">
        <f t="shared" si="75"/>
        <v>6.7097154096</v>
      </c>
      <c r="V357" s="12"/>
    </row>
    <row r="358" s="1" customFormat="1" ht="29.1" customHeight="1" spans="1:22">
      <c r="A358" s="62">
        <v>46205</v>
      </c>
      <c r="B358" s="63" t="s">
        <v>1656</v>
      </c>
      <c r="C358" s="64" t="s">
        <v>1630</v>
      </c>
      <c r="D358" s="66" t="s">
        <v>1631</v>
      </c>
      <c r="E358" s="67">
        <v>4504222790</v>
      </c>
      <c r="F358" s="67">
        <v>46092</v>
      </c>
      <c r="G358" s="67" t="str">
        <f>VLOOKUP(F358,[4]装箱单!$A:$C,3,0)</f>
        <v>玩具总动员系列</v>
      </c>
      <c r="H358" s="67">
        <v>180</v>
      </c>
      <c r="I358" s="68">
        <f t="shared" si="77"/>
        <v>360</v>
      </c>
      <c r="J358" s="68" t="s">
        <v>32</v>
      </c>
      <c r="K358" s="68" t="s">
        <v>33</v>
      </c>
      <c r="L358" s="69">
        <v>180</v>
      </c>
      <c r="M358" s="65">
        <f t="shared" si="74"/>
        <v>4.02582924576</v>
      </c>
      <c r="N358" s="69" t="s">
        <v>34</v>
      </c>
      <c r="O358" s="67"/>
      <c r="P358" s="74"/>
      <c r="Q358" s="71">
        <f>VLOOKUP($F358,[4]装箱单!$A:$E,5,0)</f>
        <v>40.01</v>
      </c>
      <c r="R358" s="71">
        <f>VLOOKUP($F358,[4]装箱单!$A:$F,6,0)</f>
        <v>26.67</v>
      </c>
      <c r="S358" s="71">
        <f>VLOOKUP($F358,[4]装箱单!$A:$G,7,0)</f>
        <v>20.96</v>
      </c>
      <c r="T358" s="72">
        <f>VLOOKUP($F358,[4]装箱单!$A:$J,10,0)</f>
        <v>0.022365718032</v>
      </c>
      <c r="U358" s="73">
        <f t="shared" si="75"/>
        <v>4.02582924576</v>
      </c>
      <c r="V358" s="12"/>
    </row>
    <row r="359" s="1" customFormat="1" ht="29.1" customHeight="1" spans="1:22">
      <c r="A359" s="62">
        <v>46205</v>
      </c>
      <c r="B359" s="63" t="s">
        <v>1632</v>
      </c>
      <c r="C359" s="64" t="s">
        <v>1626</v>
      </c>
      <c r="D359" s="66" t="s">
        <v>1627</v>
      </c>
      <c r="E359" s="67" t="s">
        <v>1628</v>
      </c>
      <c r="F359" s="67">
        <v>46092</v>
      </c>
      <c r="G359" s="67" t="str">
        <f>VLOOKUP(F359,[4]装箱单!$A:$C,3,0)</f>
        <v>玩具总动员系列</v>
      </c>
      <c r="H359" s="67">
        <v>120</v>
      </c>
      <c r="I359" s="68">
        <f t="shared" si="77"/>
        <v>240</v>
      </c>
      <c r="J359" s="68" t="s">
        <v>32</v>
      </c>
      <c r="K359" s="68" t="s">
        <v>33</v>
      </c>
      <c r="L359" s="69">
        <v>120</v>
      </c>
      <c r="M359" s="65">
        <f t="shared" si="74"/>
        <v>2.68388616384</v>
      </c>
      <c r="N359" s="69" t="s">
        <v>34</v>
      </c>
      <c r="O359" s="67"/>
      <c r="P359" s="74"/>
      <c r="Q359" s="71">
        <f>VLOOKUP($F359,[4]装箱单!$A:$E,5,0)</f>
        <v>40.01</v>
      </c>
      <c r="R359" s="71">
        <f>VLOOKUP($F359,[4]装箱单!$A:$F,6,0)</f>
        <v>26.67</v>
      </c>
      <c r="S359" s="71">
        <f>VLOOKUP($F359,[4]装箱单!$A:$G,7,0)</f>
        <v>20.96</v>
      </c>
      <c r="T359" s="72">
        <f>VLOOKUP($F359,[4]装箱单!$A:$J,10,0)</f>
        <v>0.022365718032</v>
      </c>
      <c r="U359" s="73">
        <f t="shared" si="75"/>
        <v>2.68388616384</v>
      </c>
      <c r="V359" s="12"/>
    </row>
    <row r="360" s="1" customFormat="1" ht="29.1" customHeight="1" spans="1:22">
      <c r="A360" s="62">
        <v>46205</v>
      </c>
      <c r="B360" s="63" t="s">
        <v>1452</v>
      </c>
      <c r="C360" s="63" t="s">
        <v>1657</v>
      </c>
      <c r="D360" s="64" t="s">
        <v>1658</v>
      </c>
      <c r="E360" s="66" t="s">
        <v>1659</v>
      </c>
      <c r="F360" s="67">
        <v>33776</v>
      </c>
      <c r="G360" s="67" t="str">
        <f>VLOOKUP(F360,[4]装箱单!$A:$C,3,0)</f>
        <v>搪胶小鸭子系列</v>
      </c>
      <c r="H360" s="67">
        <v>1776</v>
      </c>
      <c r="I360" s="68">
        <f>+L360*48</f>
        <v>33360</v>
      </c>
      <c r="J360" s="68" t="s">
        <v>32</v>
      </c>
      <c r="K360" s="68" t="s">
        <v>33</v>
      </c>
      <c r="L360" s="69">
        <v>695</v>
      </c>
      <c r="M360" s="65">
        <f t="shared" si="74"/>
        <v>57.26074228875</v>
      </c>
      <c r="N360" s="69" t="s">
        <v>34</v>
      </c>
      <c r="O360" s="67"/>
      <c r="P360" s="74"/>
      <c r="Q360" s="71">
        <f>VLOOKUP($F360,[4]装箱单!$A:$E,5,0)</f>
        <v>54.95</v>
      </c>
      <c r="R360" s="71">
        <f>VLOOKUP($F360,[4]装箱单!$A:$F,6,0)</f>
        <v>34.95</v>
      </c>
      <c r="S360" s="71">
        <f>VLOOKUP($F360,[4]装箱单!$A:$G,7,0)</f>
        <v>42.9</v>
      </c>
      <c r="T360" s="72">
        <f>VLOOKUP($F360,[4]装箱单!$A:$J,10,0)</f>
        <v>0.08238955725</v>
      </c>
      <c r="U360" s="73">
        <f t="shared" si="75"/>
        <v>57.26074228875</v>
      </c>
      <c r="V360" s="12"/>
    </row>
    <row r="361" s="1" customFormat="1" ht="29.1" customHeight="1" spans="1:22">
      <c r="A361" s="62"/>
      <c r="B361" s="63"/>
      <c r="C361" s="64"/>
      <c r="D361" s="66"/>
      <c r="E361" s="66"/>
      <c r="F361" s="67"/>
      <c r="G361" s="67"/>
      <c r="H361" s="67"/>
      <c r="I361" s="68"/>
      <c r="J361" s="68"/>
      <c r="K361" s="68"/>
      <c r="L361" s="69"/>
      <c r="M361" s="65">
        <f>SUM(M344:M360)</f>
        <v>157.594584089314</v>
      </c>
      <c r="N361" s="69"/>
      <c r="O361" s="67"/>
      <c r="P361" s="75"/>
      <c r="Q361" s="71"/>
      <c r="R361" s="71"/>
      <c r="S361" s="71"/>
      <c r="T361" s="72"/>
      <c r="U361" s="73"/>
      <c r="V361" s="12"/>
    </row>
    <row r="362" s="1" customFormat="1" ht="29.1" customHeight="1" spans="1:22">
      <c r="A362" s="62">
        <v>46210</v>
      </c>
      <c r="B362" s="63" t="s">
        <v>146</v>
      </c>
      <c r="C362" s="65" t="s">
        <v>1660</v>
      </c>
      <c r="D362" s="64" t="s">
        <v>1661</v>
      </c>
      <c r="E362" s="66">
        <v>2592510</v>
      </c>
      <c r="F362" s="67">
        <v>46094</v>
      </c>
      <c r="G362" s="67" t="s">
        <v>1662</v>
      </c>
      <c r="H362" s="67">
        <v>1991</v>
      </c>
      <c r="I362" s="68">
        <v>3982</v>
      </c>
      <c r="J362" s="68" t="s">
        <v>32</v>
      </c>
      <c r="K362" s="68" t="s">
        <v>33</v>
      </c>
      <c r="L362" s="69">
        <v>1991</v>
      </c>
      <c r="M362" s="65">
        <v>44.530144601712</v>
      </c>
      <c r="N362" s="69" t="s">
        <v>34</v>
      </c>
      <c r="O362" s="67"/>
      <c r="P362" s="94" t="s">
        <v>1663</v>
      </c>
      <c r="Q362" s="71">
        <v>40.01</v>
      </c>
      <c r="R362" s="71">
        <v>26.67</v>
      </c>
      <c r="S362" s="71">
        <v>20.96</v>
      </c>
      <c r="T362" s="72">
        <v>0.022365718032</v>
      </c>
      <c r="U362" s="73">
        <v>44.530144601712</v>
      </c>
      <c r="V362" s="12"/>
    </row>
    <row r="363" s="1" customFormat="1" ht="29.1" customHeight="1" spans="1:22">
      <c r="A363" s="62">
        <v>46210</v>
      </c>
      <c r="B363" s="63" t="s">
        <v>52</v>
      </c>
      <c r="C363" s="65">
        <v>46906</v>
      </c>
      <c r="D363" s="64" t="s">
        <v>1664</v>
      </c>
      <c r="E363" s="66"/>
      <c r="F363" s="67">
        <v>320398</v>
      </c>
      <c r="G363" s="67" t="s">
        <v>1665</v>
      </c>
      <c r="H363" s="67">
        <v>750</v>
      </c>
      <c r="I363" s="68">
        <v>3000</v>
      </c>
      <c r="J363" s="68" t="s">
        <v>32</v>
      </c>
      <c r="K363" s="68" t="s">
        <v>33</v>
      </c>
      <c r="L363" s="69">
        <v>750</v>
      </c>
      <c r="M363" s="65">
        <v>7.7175</v>
      </c>
      <c r="N363" s="69" t="s">
        <v>34</v>
      </c>
      <c r="O363" s="67"/>
      <c r="P363" s="94"/>
      <c r="Q363" s="71">
        <v>24.5</v>
      </c>
      <c r="R363" s="71">
        <v>21</v>
      </c>
      <c r="S363" s="71">
        <v>20</v>
      </c>
      <c r="T363" s="72">
        <v>0.01029</v>
      </c>
      <c r="U363" s="73">
        <v>7.7175</v>
      </c>
      <c r="V363" s="12"/>
    </row>
    <row r="364" s="1" customFormat="1" ht="29.1" customHeight="1" spans="1:22">
      <c r="A364" s="62">
        <v>46210</v>
      </c>
      <c r="B364" s="63" t="s">
        <v>52</v>
      </c>
      <c r="C364" s="65">
        <v>47035</v>
      </c>
      <c r="D364" s="64" t="s">
        <v>1666</v>
      </c>
      <c r="E364" s="66"/>
      <c r="F364" s="67">
        <v>320398</v>
      </c>
      <c r="G364" s="67" t="s">
        <v>1665</v>
      </c>
      <c r="H364" s="67">
        <v>750</v>
      </c>
      <c r="I364" s="68">
        <v>3000</v>
      </c>
      <c r="J364" s="68" t="s">
        <v>32</v>
      </c>
      <c r="K364" s="68" t="s">
        <v>33</v>
      </c>
      <c r="L364" s="69">
        <v>750</v>
      </c>
      <c r="M364" s="65">
        <v>7.7175</v>
      </c>
      <c r="N364" s="69" t="s">
        <v>34</v>
      </c>
      <c r="O364" s="67"/>
      <c r="P364" s="94"/>
      <c r="Q364" s="71">
        <v>24.5</v>
      </c>
      <c r="R364" s="71">
        <v>21</v>
      </c>
      <c r="S364" s="71">
        <v>20</v>
      </c>
      <c r="T364" s="72">
        <v>0.01029</v>
      </c>
      <c r="U364" s="73">
        <v>7.7175</v>
      </c>
      <c r="V364" s="12"/>
    </row>
    <row r="365" s="1" customFormat="1" ht="29.1" customHeight="1" spans="1:22">
      <c r="A365" s="62">
        <v>46210</v>
      </c>
      <c r="B365" s="63" t="s">
        <v>52</v>
      </c>
      <c r="C365" s="65">
        <v>46789</v>
      </c>
      <c r="D365" s="64" t="s">
        <v>1667</v>
      </c>
      <c r="E365" s="66"/>
      <c r="F365" s="67">
        <v>320399</v>
      </c>
      <c r="G365" s="67" t="s">
        <v>1668</v>
      </c>
      <c r="H365" s="67">
        <v>1500</v>
      </c>
      <c r="I365" s="68">
        <v>6000</v>
      </c>
      <c r="J365" s="68" t="s">
        <v>32</v>
      </c>
      <c r="K365" s="68" t="s">
        <v>33</v>
      </c>
      <c r="L365" s="69">
        <v>1500</v>
      </c>
      <c r="M365" s="65">
        <v>15.435</v>
      </c>
      <c r="N365" s="69" t="s">
        <v>34</v>
      </c>
      <c r="O365" s="67"/>
      <c r="P365" s="94"/>
      <c r="Q365" s="71">
        <v>24.5</v>
      </c>
      <c r="R365" s="71">
        <v>21</v>
      </c>
      <c r="S365" s="71">
        <v>20</v>
      </c>
      <c r="T365" s="72">
        <v>0.01029</v>
      </c>
      <c r="U365" s="73">
        <v>15.435</v>
      </c>
      <c r="V365" s="12"/>
    </row>
    <row r="366" s="1" customFormat="1" ht="29.1" customHeight="1" spans="1:22">
      <c r="A366" s="62">
        <v>46210</v>
      </c>
      <c r="B366" s="63" t="s">
        <v>54</v>
      </c>
      <c r="C366" s="65" t="s">
        <v>1669</v>
      </c>
      <c r="D366" s="64" t="s">
        <v>1650</v>
      </c>
      <c r="E366" s="66">
        <v>1000159420</v>
      </c>
      <c r="F366" s="67">
        <v>570989</v>
      </c>
      <c r="G366" s="67" t="s">
        <v>1670</v>
      </c>
      <c r="H366" s="67">
        <v>447</v>
      </c>
      <c r="I366" s="68">
        <v>12069</v>
      </c>
      <c r="J366" s="68" t="s">
        <v>32</v>
      </c>
      <c r="K366" s="68" t="s">
        <v>33</v>
      </c>
      <c r="L366" s="69">
        <v>447</v>
      </c>
      <c r="M366" s="65">
        <v>4.98778004458125</v>
      </c>
      <c r="N366" s="69" t="s">
        <v>34</v>
      </c>
      <c r="O366" s="67"/>
      <c r="P366" s="94"/>
      <c r="Q366" s="71">
        <v>31.115</v>
      </c>
      <c r="R366" s="71">
        <v>22.59</v>
      </c>
      <c r="S366" s="71">
        <v>15.875</v>
      </c>
      <c r="T366" s="72">
        <v>0.01115834461875</v>
      </c>
      <c r="U366" s="73">
        <v>4.98778004458125</v>
      </c>
      <c r="V366" s="12"/>
    </row>
    <row r="367" s="1" customFormat="1" ht="29.1" customHeight="1" spans="1:22">
      <c r="A367" s="62">
        <v>46210</v>
      </c>
      <c r="B367" s="63" t="s">
        <v>54</v>
      </c>
      <c r="C367" s="65" t="s">
        <v>1651</v>
      </c>
      <c r="D367" s="64" t="s">
        <v>1650</v>
      </c>
      <c r="E367" s="66">
        <v>1000159416</v>
      </c>
      <c r="F367" s="67">
        <v>570989</v>
      </c>
      <c r="G367" s="67" t="s">
        <v>1670</v>
      </c>
      <c r="H367" s="67">
        <v>715</v>
      </c>
      <c r="I367" s="68">
        <v>1053</v>
      </c>
      <c r="J367" s="68" t="s">
        <v>32</v>
      </c>
      <c r="K367" s="68" t="s">
        <v>33</v>
      </c>
      <c r="L367" s="69">
        <v>39</v>
      </c>
      <c r="M367" s="65">
        <v>0.43517544013125</v>
      </c>
      <c r="N367" s="46" t="s">
        <v>34</v>
      </c>
      <c r="O367" s="67"/>
      <c r="P367" s="94"/>
      <c r="Q367" s="71">
        <v>31.115</v>
      </c>
      <c r="R367" s="71">
        <v>22.59</v>
      </c>
      <c r="S367" s="71">
        <v>15.875</v>
      </c>
      <c r="T367" s="72">
        <v>0.01115834461875</v>
      </c>
      <c r="U367" s="73">
        <v>0.43517544013125</v>
      </c>
      <c r="V367" s="12"/>
    </row>
    <row r="368" s="1" customFormat="1" ht="29.1" customHeight="1" spans="1:22">
      <c r="A368" s="62">
        <v>46210</v>
      </c>
      <c r="B368" s="63" t="s">
        <v>52</v>
      </c>
      <c r="C368" s="65">
        <v>46789</v>
      </c>
      <c r="D368" s="64">
        <v>46789</v>
      </c>
      <c r="E368" s="66"/>
      <c r="F368" s="67">
        <v>470194</v>
      </c>
      <c r="G368" s="67" t="s">
        <v>1671</v>
      </c>
      <c r="H368" s="67">
        <v>1500</v>
      </c>
      <c r="I368" s="68">
        <v>2684</v>
      </c>
      <c r="J368" s="68" t="s">
        <v>32</v>
      </c>
      <c r="K368" s="68" t="s">
        <v>33</v>
      </c>
      <c r="L368" s="69">
        <v>1342</v>
      </c>
      <c r="M368" s="65">
        <v>54.4288137228</v>
      </c>
      <c r="N368" s="69" t="s">
        <v>34</v>
      </c>
      <c r="O368" s="67"/>
      <c r="P368" s="94"/>
      <c r="Q368" s="71">
        <v>41.91</v>
      </c>
      <c r="R368" s="71">
        <v>31.75</v>
      </c>
      <c r="S368" s="71">
        <v>30.48</v>
      </c>
      <c r="T368" s="72">
        <v>0.0405579834</v>
      </c>
      <c r="U368" s="73">
        <v>54.4288137228</v>
      </c>
      <c r="V368" s="12"/>
    </row>
    <row r="369" s="1" customFormat="1" ht="29.1" customHeight="1" spans="1:22">
      <c r="A369" s="62"/>
      <c r="B369" s="63"/>
      <c r="C369" s="63"/>
      <c r="D369" s="64"/>
      <c r="E369" s="66"/>
      <c r="F369" s="67"/>
      <c r="G369" s="67"/>
      <c r="H369" s="67"/>
      <c r="I369" s="68"/>
      <c r="J369" s="68"/>
      <c r="K369" s="68"/>
      <c r="L369" s="69"/>
      <c r="M369" s="65">
        <v>135.251913809224</v>
      </c>
      <c r="N369" s="69"/>
      <c r="O369" s="67"/>
      <c r="P369" s="94"/>
      <c r="Q369" s="71"/>
      <c r="R369" s="71"/>
      <c r="S369" s="71"/>
      <c r="T369" s="72"/>
      <c r="U369" s="73"/>
      <c r="V369" s="12"/>
    </row>
    <row r="370" s="1" customFormat="1" ht="29.1" customHeight="1" spans="1:22">
      <c r="A370" s="62">
        <v>46212</v>
      </c>
      <c r="B370" s="63" t="s">
        <v>1629</v>
      </c>
      <c r="C370" s="64" t="s">
        <v>1630</v>
      </c>
      <c r="D370" s="66" t="s">
        <v>1631</v>
      </c>
      <c r="E370" s="67">
        <v>4504222790</v>
      </c>
      <c r="F370" s="67">
        <v>46099</v>
      </c>
      <c r="G370" s="67" t="s">
        <v>1568</v>
      </c>
      <c r="H370" s="67">
        <v>180</v>
      </c>
      <c r="I370" s="68">
        <v>360</v>
      </c>
      <c r="J370" s="68" t="s">
        <v>32</v>
      </c>
      <c r="K370" s="68" t="s">
        <v>33</v>
      </c>
      <c r="L370" s="69">
        <v>180</v>
      </c>
      <c r="M370" s="65">
        <v>4.02582924576</v>
      </c>
      <c r="N370" s="69" t="s">
        <v>34</v>
      </c>
      <c r="O370" s="67"/>
      <c r="P370" s="70" t="s">
        <v>1672</v>
      </c>
      <c r="Q370" s="71" t="e">
        <f>VLOOKUP($F370,[5]装箱单!$A:$E,5,0)</f>
        <v>#N/A</v>
      </c>
      <c r="R370" s="71" t="e">
        <f>VLOOKUP($F370,[5]装箱单!$A:$F,6,0)</f>
        <v>#N/A</v>
      </c>
      <c r="S370" s="71" t="e">
        <f>VLOOKUP($F370,[5]装箱单!$A:$G,7,0)</f>
        <v>#N/A</v>
      </c>
      <c r="T370" s="72" t="e">
        <f>VLOOKUP($F370,[5]装箱单!$A:$J,10,0)</f>
        <v>#N/A</v>
      </c>
      <c r="U370" s="73" t="e">
        <f t="shared" ref="U370:U389" si="78">+T370*L370</f>
        <v>#N/A</v>
      </c>
      <c r="V370" s="12"/>
    </row>
    <row r="371" s="1" customFormat="1" ht="29.1" customHeight="1" spans="1:22">
      <c r="A371" s="62">
        <v>46212</v>
      </c>
      <c r="B371" s="63" t="s">
        <v>1157</v>
      </c>
      <c r="C371" s="64" t="s">
        <v>1673</v>
      </c>
      <c r="D371" s="66" t="s">
        <v>1674</v>
      </c>
      <c r="E371" s="67" t="s">
        <v>1675</v>
      </c>
      <c r="F371" s="67" t="s">
        <v>1161</v>
      </c>
      <c r="G371" s="67" t="s">
        <v>886</v>
      </c>
      <c r="H371" s="67">
        <v>51</v>
      </c>
      <c r="I371" s="68">
        <v>918</v>
      </c>
      <c r="J371" s="68" t="s">
        <v>32</v>
      </c>
      <c r="K371" s="68" t="s">
        <v>33</v>
      </c>
      <c r="L371" s="69">
        <v>51</v>
      </c>
      <c r="M371" s="65">
        <v>0.298359274248</v>
      </c>
      <c r="N371" s="69" t="s">
        <v>34</v>
      </c>
      <c r="O371" s="67"/>
      <c r="P371" s="74"/>
      <c r="Q371" s="71" t="e">
        <f>VLOOKUP($F371,[5]装箱单!$A:$E,5,0)</f>
        <v>#N/A</v>
      </c>
      <c r="R371" s="71" t="e">
        <f>VLOOKUP($F371,[5]装箱单!$A:$F,6,0)</f>
        <v>#N/A</v>
      </c>
      <c r="S371" s="71" t="e">
        <f>VLOOKUP($F371,[5]装箱单!$A:$G,7,0)</f>
        <v>#N/A</v>
      </c>
      <c r="T371" s="72" t="e">
        <f>VLOOKUP($F371,[5]装箱单!$A:$J,10,0)</f>
        <v>#N/A</v>
      </c>
      <c r="U371" s="73" t="e">
        <f t="shared" si="78"/>
        <v>#N/A</v>
      </c>
      <c r="V371" s="12"/>
    </row>
    <row r="372" s="1" customFormat="1" ht="29.1" customHeight="1" spans="1:22">
      <c r="A372" s="62">
        <v>46212</v>
      </c>
      <c r="B372" s="63" t="s">
        <v>1190</v>
      </c>
      <c r="C372" s="64" t="s">
        <v>1673</v>
      </c>
      <c r="D372" s="66" t="s">
        <v>1674</v>
      </c>
      <c r="E372" s="67" t="s">
        <v>1675</v>
      </c>
      <c r="F372" s="67" t="s">
        <v>279</v>
      </c>
      <c r="G372" s="67" t="s">
        <v>1676</v>
      </c>
      <c r="H372" s="67">
        <v>50</v>
      </c>
      <c r="I372" s="68">
        <v>900</v>
      </c>
      <c r="J372" s="68" t="s">
        <v>32</v>
      </c>
      <c r="K372" s="68" t="s">
        <v>33</v>
      </c>
      <c r="L372" s="69">
        <v>50</v>
      </c>
      <c r="M372" s="65">
        <v>0.289650630375</v>
      </c>
      <c r="N372" s="69" t="s">
        <v>34</v>
      </c>
      <c r="O372" s="67"/>
      <c r="P372" s="74"/>
      <c r="Q372" s="71" t="e">
        <f>VLOOKUP($F372,[5]装箱单!$A:$E,5,0)</f>
        <v>#N/A</v>
      </c>
      <c r="R372" s="71" t="e">
        <f>VLOOKUP($F372,[5]装箱单!$A:$F,6,0)</f>
        <v>#N/A</v>
      </c>
      <c r="S372" s="71" t="e">
        <f>VLOOKUP($F372,[5]装箱单!$A:$G,7,0)</f>
        <v>#N/A</v>
      </c>
      <c r="T372" s="72" t="e">
        <f>VLOOKUP($F372,[5]装箱单!$A:$J,10,0)</f>
        <v>#N/A</v>
      </c>
      <c r="U372" s="73" t="e">
        <f t="shared" si="78"/>
        <v>#N/A</v>
      </c>
      <c r="V372" s="12"/>
    </row>
    <row r="373" s="1" customFormat="1" ht="29.1" customHeight="1" spans="1:22">
      <c r="A373" s="62">
        <v>46212</v>
      </c>
      <c r="B373" s="63" t="s">
        <v>1677</v>
      </c>
      <c r="C373" s="64" t="s">
        <v>1678</v>
      </c>
      <c r="D373" s="66" t="s">
        <v>1679</v>
      </c>
      <c r="E373" s="67" t="s">
        <v>1680</v>
      </c>
      <c r="F373" s="67" t="s">
        <v>280</v>
      </c>
      <c r="G373" s="67" t="s">
        <v>1681</v>
      </c>
      <c r="H373" s="67">
        <v>400</v>
      </c>
      <c r="I373" s="68">
        <v>7200</v>
      </c>
      <c r="J373" s="68" t="s">
        <v>32</v>
      </c>
      <c r="K373" s="68" t="s">
        <v>33</v>
      </c>
      <c r="L373" s="69">
        <v>400</v>
      </c>
      <c r="M373" s="65">
        <v>2.317205043</v>
      </c>
      <c r="N373" s="69" t="s">
        <v>34</v>
      </c>
      <c r="O373" s="67"/>
      <c r="P373" s="74"/>
      <c r="Q373" s="71" t="e">
        <f>VLOOKUP($F373,[5]装箱单!$A:$E,5,0)</f>
        <v>#N/A</v>
      </c>
      <c r="R373" s="71" t="e">
        <f>VLOOKUP($F373,[5]装箱单!$A:$F,6,0)</f>
        <v>#N/A</v>
      </c>
      <c r="S373" s="71" t="e">
        <f>VLOOKUP($F373,[5]装箱单!$A:$G,7,0)</f>
        <v>#N/A</v>
      </c>
      <c r="T373" s="72" t="e">
        <f>VLOOKUP($F373,[5]装箱单!$A:$J,10,0)</f>
        <v>#N/A</v>
      </c>
      <c r="U373" s="73" t="e">
        <f t="shared" si="78"/>
        <v>#N/A</v>
      </c>
      <c r="V373" s="12"/>
    </row>
    <row r="374" s="1" customFormat="1" ht="29.1" customHeight="1" spans="1:22">
      <c r="A374" s="62">
        <v>46212</v>
      </c>
      <c r="B374" s="63" t="s">
        <v>1452</v>
      </c>
      <c r="C374" s="63" t="s">
        <v>1657</v>
      </c>
      <c r="D374" s="64" t="s">
        <v>1658</v>
      </c>
      <c r="E374" s="66" t="s">
        <v>1659</v>
      </c>
      <c r="F374" s="67">
        <v>33776</v>
      </c>
      <c r="G374" s="67" t="s">
        <v>1682</v>
      </c>
      <c r="H374" s="67">
        <v>888</v>
      </c>
      <c r="I374" s="68">
        <v>18528</v>
      </c>
      <c r="J374" s="68" t="s">
        <v>32</v>
      </c>
      <c r="K374" s="68" t="s">
        <v>33</v>
      </c>
      <c r="L374" s="69">
        <v>193</v>
      </c>
      <c r="M374" s="65">
        <v>15.90118454925</v>
      </c>
      <c r="N374" s="69" t="s">
        <v>34</v>
      </c>
      <c r="O374" s="67"/>
      <c r="P374" s="74"/>
      <c r="Q374" s="71" t="e">
        <f>VLOOKUP($F374,[5]装箱单!$A:$E,5,0)</f>
        <v>#N/A</v>
      </c>
      <c r="R374" s="71" t="e">
        <f>VLOOKUP($F374,[5]装箱单!$A:$F,6,0)</f>
        <v>#N/A</v>
      </c>
      <c r="S374" s="71" t="e">
        <f>VLOOKUP($F374,[5]装箱单!$A:$G,7,0)</f>
        <v>#N/A</v>
      </c>
      <c r="T374" s="72" t="e">
        <f>VLOOKUP($F374,[5]装箱单!$A:$J,10,0)</f>
        <v>#N/A</v>
      </c>
      <c r="U374" s="73" t="e">
        <f t="shared" si="78"/>
        <v>#N/A</v>
      </c>
      <c r="V374" s="12"/>
    </row>
    <row r="375" s="1" customFormat="1" ht="29.1" customHeight="1" spans="1:22">
      <c r="A375" s="62">
        <v>46212</v>
      </c>
      <c r="B375" s="63" t="s">
        <v>40</v>
      </c>
      <c r="C375" s="63" t="s">
        <v>1683</v>
      </c>
      <c r="D375" s="64" t="s">
        <v>1684</v>
      </c>
      <c r="E375" s="141" t="s">
        <v>1685</v>
      </c>
      <c r="F375" s="67">
        <v>28481</v>
      </c>
      <c r="G375" s="67" t="s">
        <v>1686</v>
      </c>
      <c r="H375" s="67">
        <v>600</v>
      </c>
      <c r="I375" s="68">
        <v>2400</v>
      </c>
      <c r="J375" s="68" t="s">
        <v>32</v>
      </c>
      <c r="K375" s="68" t="s">
        <v>33</v>
      </c>
      <c r="L375" s="69">
        <v>600</v>
      </c>
      <c r="M375" s="65">
        <v>6.0478609548</v>
      </c>
      <c r="N375" s="69" t="s">
        <v>34</v>
      </c>
      <c r="O375" s="67"/>
      <c r="P375" s="74"/>
      <c r="Q375" s="71" t="e">
        <f>VLOOKUP($F375,[5]装箱单!$A:$E,5,0)</f>
        <v>#N/A</v>
      </c>
      <c r="R375" s="71" t="e">
        <f>VLOOKUP($F375,[5]装箱单!$A:$F,6,0)</f>
        <v>#N/A</v>
      </c>
      <c r="S375" s="71" t="e">
        <f>VLOOKUP($F375,[5]装箱单!$A:$G,7,0)</f>
        <v>#N/A</v>
      </c>
      <c r="T375" s="72" t="e">
        <f>VLOOKUP($F375,[5]装箱单!$A:$J,10,0)</f>
        <v>#N/A</v>
      </c>
      <c r="U375" s="73" t="e">
        <f t="shared" si="78"/>
        <v>#N/A</v>
      </c>
      <c r="V375" s="12"/>
    </row>
    <row r="376" s="1" customFormat="1" ht="29.1" customHeight="1" spans="1:22">
      <c r="A376" s="62">
        <v>46212</v>
      </c>
      <c r="B376" s="63" t="s">
        <v>40</v>
      </c>
      <c r="C376" s="63" t="s">
        <v>1687</v>
      </c>
      <c r="D376" s="64" t="s">
        <v>1688</v>
      </c>
      <c r="E376" s="141" t="s">
        <v>1689</v>
      </c>
      <c r="F376" s="67">
        <v>28481</v>
      </c>
      <c r="G376" s="67" t="s">
        <v>1686</v>
      </c>
      <c r="H376" s="67">
        <v>600</v>
      </c>
      <c r="I376" s="68">
        <v>2400</v>
      </c>
      <c r="J376" s="68" t="s">
        <v>32</v>
      </c>
      <c r="K376" s="68" t="s">
        <v>33</v>
      </c>
      <c r="L376" s="69">
        <v>600</v>
      </c>
      <c r="M376" s="65">
        <v>6.0478609548</v>
      </c>
      <c r="N376" s="69" t="s">
        <v>34</v>
      </c>
      <c r="O376" s="67"/>
      <c r="P376" s="74"/>
      <c r="Q376" s="71" t="e">
        <f>VLOOKUP($F376,[5]装箱单!$A:$E,5,0)</f>
        <v>#N/A</v>
      </c>
      <c r="R376" s="71" t="e">
        <f>VLOOKUP($F376,[5]装箱单!$A:$F,6,0)</f>
        <v>#N/A</v>
      </c>
      <c r="S376" s="71" t="e">
        <f>VLOOKUP($F376,[5]装箱单!$A:$G,7,0)</f>
        <v>#N/A</v>
      </c>
      <c r="T376" s="72" t="e">
        <f>VLOOKUP($F376,[5]装箱单!$A:$J,10,0)</f>
        <v>#N/A</v>
      </c>
      <c r="U376" s="73" t="e">
        <f t="shared" si="78"/>
        <v>#N/A</v>
      </c>
      <c r="V376" s="12"/>
    </row>
    <row r="377" s="1" customFormat="1" ht="29.1" customHeight="1" spans="1:22">
      <c r="A377" s="62">
        <v>46212</v>
      </c>
      <c r="B377" s="63" t="s">
        <v>40</v>
      </c>
      <c r="C377" s="63" t="s">
        <v>1690</v>
      </c>
      <c r="D377" s="64" t="s">
        <v>1691</v>
      </c>
      <c r="E377" s="141" t="s">
        <v>1692</v>
      </c>
      <c r="F377" s="67">
        <v>28481</v>
      </c>
      <c r="G377" s="67" t="s">
        <v>1686</v>
      </c>
      <c r="H377" s="67">
        <v>720</v>
      </c>
      <c r="I377" s="68">
        <v>2880</v>
      </c>
      <c r="J377" s="68" t="s">
        <v>32</v>
      </c>
      <c r="K377" s="68" t="s">
        <v>33</v>
      </c>
      <c r="L377" s="69">
        <v>720</v>
      </c>
      <c r="M377" s="65">
        <v>7.25743314576</v>
      </c>
      <c r="N377" s="69" t="s">
        <v>34</v>
      </c>
      <c r="O377" s="67"/>
      <c r="P377" s="74"/>
      <c r="Q377" s="71" t="e">
        <f>VLOOKUP($F377,[5]装箱单!$A:$E,5,0)</f>
        <v>#N/A</v>
      </c>
      <c r="R377" s="71" t="e">
        <f>VLOOKUP($F377,[5]装箱单!$A:$F,6,0)</f>
        <v>#N/A</v>
      </c>
      <c r="S377" s="71" t="e">
        <f>VLOOKUP($F377,[5]装箱单!$A:$G,7,0)</f>
        <v>#N/A</v>
      </c>
      <c r="T377" s="72" t="e">
        <f>VLOOKUP($F377,[5]装箱单!$A:$J,10,0)</f>
        <v>#N/A</v>
      </c>
      <c r="U377" s="73" t="e">
        <f t="shared" si="78"/>
        <v>#N/A</v>
      </c>
      <c r="V377" s="12"/>
    </row>
    <row r="378" s="1" customFormat="1" ht="29.1" customHeight="1" spans="1:22">
      <c r="A378" s="62">
        <v>46212</v>
      </c>
      <c r="B378" s="63" t="s">
        <v>40</v>
      </c>
      <c r="C378" s="63" t="s">
        <v>1693</v>
      </c>
      <c r="D378" s="64" t="s">
        <v>1694</v>
      </c>
      <c r="E378" s="141" t="s">
        <v>1695</v>
      </c>
      <c r="F378" s="67">
        <v>28481</v>
      </c>
      <c r="G378" s="67" t="s">
        <v>1686</v>
      </c>
      <c r="H378" s="67">
        <v>960</v>
      </c>
      <c r="I378" s="68">
        <v>3840</v>
      </c>
      <c r="J378" s="68" t="s">
        <v>32</v>
      </c>
      <c r="K378" s="68" t="s">
        <v>33</v>
      </c>
      <c r="L378" s="69">
        <v>960</v>
      </c>
      <c r="M378" s="65">
        <v>9.67657752768</v>
      </c>
      <c r="N378" s="69" t="s">
        <v>34</v>
      </c>
      <c r="O378" s="67"/>
      <c r="P378" s="74"/>
      <c r="Q378" s="71" t="e">
        <f>VLOOKUP($F378,[5]装箱单!$A:$E,5,0)</f>
        <v>#N/A</v>
      </c>
      <c r="R378" s="71" t="e">
        <f>VLOOKUP($F378,[5]装箱单!$A:$F,6,0)</f>
        <v>#N/A</v>
      </c>
      <c r="S378" s="71" t="e">
        <f>VLOOKUP($F378,[5]装箱单!$A:$G,7,0)</f>
        <v>#N/A</v>
      </c>
      <c r="T378" s="72" t="e">
        <f>VLOOKUP($F378,[5]装箱单!$A:$J,10,0)</f>
        <v>#N/A</v>
      </c>
      <c r="U378" s="73" t="e">
        <f t="shared" si="78"/>
        <v>#N/A</v>
      </c>
      <c r="V378" s="12"/>
    </row>
    <row r="379" s="1" customFormat="1" ht="29.1" customHeight="1" spans="1:22">
      <c r="A379" s="62">
        <v>46212</v>
      </c>
      <c r="B379" s="63" t="s">
        <v>40</v>
      </c>
      <c r="C379" s="63" t="s">
        <v>1696</v>
      </c>
      <c r="D379" s="64" t="s">
        <v>1697</v>
      </c>
      <c r="E379" s="141" t="s">
        <v>1698</v>
      </c>
      <c r="F379" s="67">
        <v>28481</v>
      </c>
      <c r="G379" s="67" t="s">
        <v>1686</v>
      </c>
      <c r="H379" s="67">
        <v>1080</v>
      </c>
      <c r="I379" s="68">
        <v>4320</v>
      </c>
      <c r="J379" s="68" t="s">
        <v>32</v>
      </c>
      <c r="K379" s="68" t="s">
        <v>33</v>
      </c>
      <c r="L379" s="69">
        <v>1080</v>
      </c>
      <c r="M379" s="65">
        <v>10.88614971864</v>
      </c>
      <c r="N379" s="69" t="s">
        <v>34</v>
      </c>
      <c r="O379" s="67"/>
      <c r="P379" s="74"/>
      <c r="Q379" s="71" t="e">
        <f>VLOOKUP($F379,[5]装箱单!$A:$E,5,0)</f>
        <v>#N/A</v>
      </c>
      <c r="R379" s="71" t="e">
        <f>VLOOKUP($F379,[5]装箱单!$A:$F,6,0)</f>
        <v>#N/A</v>
      </c>
      <c r="S379" s="71" t="e">
        <f>VLOOKUP($F379,[5]装箱单!$A:$G,7,0)</f>
        <v>#N/A</v>
      </c>
      <c r="T379" s="72" t="e">
        <f>VLOOKUP($F379,[5]装箱单!$A:$J,10,0)</f>
        <v>#N/A</v>
      </c>
      <c r="U379" s="73" t="e">
        <f t="shared" si="78"/>
        <v>#N/A</v>
      </c>
      <c r="V379" s="12"/>
    </row>
    <row r="380" s="1" customFormat="1" ht="29.1" customHeight="1" spans="1:22">
      <c r="A380" s="62">
        <v>46212</v>
      </c>
      <c r="B380" s="63" t="s">
        <v>54</v>
      </c>
      <c r="C380" s="64" t="s">
        <v>1699</v>
      </c>
      <c r="D380" s="66" t="s">
        <v>1650</v>
      </c>
      <c r="E380" s="66">
        <v>999932080</v>
      </c>
      <c r="F380" s="67">
        <v>570989</v>
      </c>
      <c r="G380" s="67" t="s">
        <v>1670</v>
      </c>
      <c r="H380" s="67">
        <v>120</v>
      </c>
      <c r="I380" s="68">
        <v>3240</v>
      </c>
      <c r="J380" s="68" t="s">
        <v>32</v>
      </c>
      <c r="K380" s="68" t="s">
        <v>33</v>
      </c>
      <c r="L380" s="69">
        <v>120</v>
      </c>
      <c r="M380" s="65">
        <v>1.33900135425</v>
      </c>
      <c r="N380" s="69" t="s">
        <v>34</v>
      </c>
      <c r="O380" s="67"/>
      <c r="P380" s="74"/>
      <c r="Q380" s="71" t="e">
        <f>VLOOKUP($F380,[5]装箱单!$A:$E,5,0)</f>
        <v>#N/A</v>
      </c>
      <c r="R380" s="71" t="e">
        <f>VLOOKUP($F380,[5]装箱单!$A:$F,6,0)</f>
        <v>#N/A</v>
      </c>
      <c r="S380" s="71" t="e">
        <f>VLOOKUP($F380,[5]装箱单!$A:$G,7,0)</f>
        <v>#N/A</v>
      </c>
      <c r="T380" s="72" t="e">
        <f>VLOOKUP($F380,[5]装箱单!$A:$J,10,0)</f>
        <v>#N/A</v>
      </c>
      <c r="U380" s="73" t="e">
        <f t="shared" si="78"/>
        <v>#N/A</v>
      </c>
      <c r="V380" s="12"/>
    </row>
    <row r="381" s="1" customFormat="1" ht="29.1" customHeight="1" spans="1:22">
      <c r="A381" s="62">
        <v>46212</v>
      </c>
      <c r="B381" s="63" t="s">
        <v>54</v>
      </c>
      <c r="C381" s="64" t="s">
        <v>1700</v>
      </c>
      <c r="D381" s="66" t="s">
        <v>1650</v>
      </c>
      <c r="E381" s="66">
        <v>999932097</v>
      </c>
      <c r="F381" s="67">
        <v>570989</v>
      </c>
      <c r="G381" s="67" t="s">
        <v>1670</v>
      </c>
      <c r="H381" s="67">
        <v>120</v>
      </c>
      <c r="I381" s="68">
        <v>3240</v>
      </c>
      <c r="J381" s="68" t="s">
        <v>32</v>
      </c>
      <c r="K381" s="68" t="s">
        <v>33</v>
      </c>
      <c r="L381" s="69">
        <v>120</v>
      </c>
      <c r="M381" s="65">
        <v>1.33900135425</v>
      </c>
      <c r="N381" s="69" t="s">
        <v>34</v>
      </c>
      <c r="O381" s="67"/>
      <c r="P381" s="74"/>
      <c r="Q381" s="71" t="e">
        <f>VLOOKUP($F381,[5]装箱单!$A:$E,5,0)</f>
        <v>#N/A</v>
      </c>
      <c r="R381" s="71" t="e">
        <f>VLOOKUP($F381,[5]装箱单!$A:$F,6,0)</f>
        <v>#N/A</v>
      </c>
      <c r="S381" s="71" t="e">
        <f>VLOOKUP($F381,[5]装箱单!$A:$G,7,0)</f>
        <v>#N/A</v>
      </c>
      <c r="T381" s="72" t="e">
        <f>VLOOKUP($F381,[5]装箱单!$A:$J,10,0)</f>
        <v>#N/A</v>
      </c>
      <c r="U381" s="73" t="e">
        <f t="shared" si="78"/>
        <v>#N/A</v>
      </c>
      <c r="V381" s="12"/>
    </row>
    <row r="382" s="1" customFormat="1" ht="29.1" customHeight="1" spans="1:22">
      <c r="A382" s="62">
        <v>46212</v>
      </c>
      <c r="B382" s="63" t="s">
        <v>54</v>
      </c>
      <c r="C382" s="64" t="s">
        <v>1701</v>
      </c>
      <c r="D382" s="66" t="s">
        <v>1650</v>
      </c>
      <c r="E382" s="66">
        <v>999932104</v>
      </c>
      <c r="F382" s="67">
        <v>570989</v>
      </c>
      <c r="G382" s="67" t="s">
        <v>1670</v>
      </c>
      <c r="H382" s="67">
        <v>120</v>
      </c>
      <c r="I382" s="68">
        <v>3240</v>
      </c>
      <c r="J382" s="68" t="s">
        <v>32</v>
      </c>
      <c r="K382" s="68" t="s">
        <v>33</v>
      </c>
      <c r="L382" s="69">
        <v>120</v>
      </c>
      <c r="M382" s="65">
        <v>1.33900135425</v>
      </c>
      <c r="N382" s="69" t="s">
        <v>34</v>
      </c>
      <c r="O382" s="67"/>
      <c r="P382" s="74"/>
      <c r="Q382" s="71" t="e">
        <f>VLOOKUP($F382,[5]装箱单!$A:$E,5,0)</f>
        <v>#N/A</v>
      </c>
      <c r="R382" s="71" t="e">
        <f>VLOOKUP($F382,[5]装箱单!$A:$F,6,0)</f>
        <v>#N/A</v>
      </c>
      <c r="S382" s="71" t="e">
        <f>VLOOKUP($F382,[5]装箱单!$A:$G,7,0)</f>
        <v>#N/A</v>
      </c>
      <c r="T382" s="72" t="e">
        <f>VLOOKUP($F382,[5]装箱单!$A:$J,10,0)</f>
        <v>#N/A</v>
      </c>
      <c r="U382" s="73" t="e">
        <f t="shared" si="78"/>
        <v>#N/A</v>
      </c>
      <c r="V382" s="12"/>
    </row>
    <row r="383" s="1" customFormat="1" ht="29.1" customHeight="1" spans="1:22">
      <c r="A383" s="62">
        <v>46212</v>
      </c>
      <c r="B383" s="63" t="s">
        <v>54</v>
      </c>
      <c r="C383" s="64" t="s">
        <v>1702</v>
      </c>
      <c r="D383" s="66" t="s">
        <v>1650</v>
      </c>
      <c r="E383" s="66">
        <v>1000159414</v>
      </c>
      <c r="F383" s="67">
        <v>570989</v>
      </c>
      <c r="G383" s="67" t="s">
        <v>1670</v>
      </c>
      <c r="H383" s="67">
        <v>482</v>
      </c>
      <c r="I383" s="68">
        <v>13014</v>
      </c>
      <c r="J383" s="68" t="s">
        <v>32</v>
      </c>
      <c r="K383" s="68" t="s">
        <v>33</v>
      </c>
      <c r="L383" s="69">
        <v>482</v>
      </c>
      <c r="M383" s="65">
        <v>5.3783221062375</v>
      </c>
      <c r="N383" s="69" t="s">
        <v>34</v>
      </c>
      <c r="O383" s="67"/>
      <c r="P383" s="74"/>
      <c r="Q383" s="71" t="e">
        <f>VLOOKUP($F383,[5]装箱单!$A:$E,5,0)</f>
        <v>#N/A</v>
      </c>
      <c r="R383" s="71" t="e">
        <f>VLOOKUP($F383,[5]装箱单!$A:$F,6,0)</f>
        <v>#N/A</v>
      </c>
      <c r="S383" s="71" t="e">
        <f>VLOOKUP($F383,[5]装箱单!$A:$G,7,0)</f>
        <v>#N/A</v>
      </c>
      <c r="T383" s="72" t="e">
        <f>VLOOKUP($F383,[5]装箱单!$A:$J,10,0)</f>
        <v>#N/A</v>
      </c>
      <c r="U383" s="73" t="e">
        <f t="shared" si="78"/>
        <v>#N/A</v>
      </c>
      <c r="V383" s="12"/>
    </row>
    <row r="384" s="1" customFormat="1" ht="29.1" customHeight="1" spans="1:22">
      <c r="A384" s="62">
        <v>46212</v>
      </c>
      <c r="B384" s="63" t="s">
        <v>54</v>
      </c>
      <c r="C384" s="64" t="s">
        <v>1703</v>
      </c>
      <c r="D384" s="66" t="s">
        <v>1650</v>
      </c>
      <c r="E384" s="66">
        <v>1000159418</v>
      </c>
      <c r="F384" s="67">
        <v>570989</v>
      </c>
      <c r="G384" s="67" t="s">
        <v>1670</v>
      </c>
      <c r="H384" s="67">
        <v>339</v>
      </c>
      <c r="I384" s="68">
        <v>9153</v>
      </c>
      <c r="J384" s="68" t="s">
        <v>32</v>
      </c>
      <c r="K384" s="68" t="s">
        <v>33</v>
      </c>
      <c r="L384" s="69">
        <v>339</v>
      </c>
      <c r="M384" s="65">
        <v>3.78267882575625</v>
      </c>
      <c r="N384" s="69" t="s">
        <v>34</v>
      </c>
      <c r="O384" s="67"/>
      <c r="P384" s="74"/>
      <c r="Q384" s="71" t="e">
        <f>VLOOKUP($F384,[5]装箱单!$A:$E,5,0)</f>
        <v>#N/A</v>
      </c>
      <c r="R384" s="71" t="e">
        <f>VLOOKUP($F384,[5]装箱单!$A:$F,6,0)</f>
        <v>#N/A</v>
      </c>
      <c r="S384" s="71" t="e">
        <f>VLOOKUP($F384,[5]装箱单!$A:$G,7,0)</f>
        <v>#N/A</v>
      </c>
      <c r="T384" s="72" t="e">
        <f>VLOOKUP($F384,[5]装箱单!$A:$J,10,0)</f>
        <v>#N/A</v>
      </c>
      <c r="U384" s="73" t="e">
        <f t="shared" si="78"/>
        <v>#N/A</v>
      </c>
      <c r="V384" s="12"/>
    </row>
    <row r="385" s="1" customFormat="1" ht="29.1" customHeight="1" spans="1:22">
      <c r="A385" s="62">
        <v>46212</v>
      </c>
      <c r="B385" s="63" t="s">
        <v>54</v>
      </c>
      <c r="C385" s="64" t="s">
        <v>1704</v>
      </c>
      <c r="D385" s="66" t="s">
        <v>1650</v>
      </c>
      <c r="E385" s="66">
        <v>1000159419</v>
      </c>
      <c r="F385" s="67">
        <v>570989</v>
      </c>
      <c r="G385" s="67" t="s">
        <v>1670</v>
      </c>
      <c r="H385" s="67">
        <v>672</v>
      </c>
      <c r="I385" s="68">
        <v>18144</v>
      </c>
      <c r="J385" s="68" t="s">
        <v>32</v>
      </c>
      <c r="K385" s="68" t="s">
        <v>33</v>
      </c>
      <c r="L385" s="69">
        <v>672</v>
      </c>
      <c r="M385" s="65">
        <v>7.4984075838</v>
      </c>
      <c r="N385" s="69" t="s">
        <v>34</v>
      </c>
      <c r="O385" s="67"/>
      <c r="P385" s="74"/>
      <c r="Q385" s="71" t="e">
        <f>VLOOKUP($F385,[5]装箱单!$A:$E,5,0)</f>
        <v>#N/A</v>
      </c>
      <c r="R385" s="71" t="e">
        <f>VLOOKUP($F385,[5]装箱单!$A:$F,6,0)</f>
        <v>#N/A</v>
      </c>
      <c r="S385" s="71" t="e">
        <f>VLOOKUP($F385,[5]装箱单!$A:$G,7,0)</f>
        <v>#N/A</v>
      </c>
      <c r="T385" s="72" t="e">
        <f>VLOOKUP($F385,[5]装箱单!$A:$J,10,0)</f>
        <v>#N/A</v>
      </c>
      <c r="U385" s="73" t="e">
        <f t="shared" si="78"/>
        <v>#N/A</v>
      </c>
      <c r="V385" s="12"/>
    </row>
    <row r="386" s="1" customFormat="1" ht="29.1" customHeight="1" spans="1:22">
      <c r="A386" s="62">
        <v>46212</v>
      </c>
      <c r="B386" s="63" t="s">
        <v>52</v>
      </c>
      <c r="C386" s="64">
        <v>46789</v>
      </c>
      <c r="D386" s="66">
        <v>46789</v>
      </c>
      <c r="E386" s="67"/>
      <c r="F386" s="67">
        <v>470194</v>
      </c>
      <c r="G386" s="67" t="s">
        <v>1671</v>
      </c>
      <c r="H386" s="67">
        <v>1500</v>
      </c>
      <c r="I386" s="68">
        <v>316</v>
      </c>
      <c r="J386" s="68" t="s">
        <v>32</v>
      </c>
      <c r="K386" s="68" t="s">
        <v>33</v>
      </c>
      <c r="L386" s="69">
        <v>158</v>
      </c>
      <c r="M386" s="65">
        <v>6.4081613772</v>
      </c>
      <c r="N386" s="69" t="s">
        <v>34</v>
      </c>
      <c r="O386" s="67"/>
      <c r="P386" s="74"/>
      <c r="Q386" s="71" t="e">
        <f>VLOOKUP($F386,[5]装箱单!$A:$E,5,0)</f>
        <v>#N/A</v>
      </c>
      <c r="R386" s="71" t="e">
        <f>VLOOKUP($F386,[5]装箱单!$A:$F,6,0)</f>
        <v>#N/A</v>
      </c>
      <c r="S386" s="71" t="e">
        <f>VLOOKUP($F386,[5]装箱单!$A:$G,7,0)</f>
        <v>#N/A</v>
      </c>
      <c r="T386" s="72" t="e">
        <f>VLOOKUP($F386,[5]装箱单!$A:$J,10,0)</f>
        <v>#N/A</v>
      </c>
      <c r="U386" s="73" t="e">
        <f t="shared" si="78"/>
        <v>#N/A</v>
      </c>
      <c r="V386" s="12"/>
    </row>
    <row r="387" s="1" customFormat="1" ht="29.1" customHeight="1" spans="1:22">
      <c r="A387" s="62">
        <v>46212</v>
      </c>
      <c r="B387" s="63" t="s">
        <v>52</v>
      </c>
      <c r="C387" s="64">
        <v>46789</v>
      </c>
      <c r="D387" s="66" t="s">
        <v>1705</v>
      </c>
      <c r="E387" s="67"/>
      <c r="F387" s="67">
        <v>320635</v>
      </c>
      <c r="G387" s="67" t="s">
        <v>1706</v>
      </c>
      <c r="H387" s="67">
        <v>1080</v>
      </c>
      <c r="I387" s="68">
        <v>6000</v>
      </c>
      <c r="J387" s="68" t="s">
        <v>32</v>
      </c>
      <c r="K387" s="68" t="s">
        <v>33</v>
      </c>
      <c r="L387" s="69">
        <v>1500</v>
      </c>
      <c r="M387" s="65">
        <v>23.680104786</v>
      </c>
      <c r="N387" s="69" t="s">
        <v>34</v>
      </c>
      <c r="O387" s="67"/>
      <c r="P387" s="74"/>
      <c r="Q387" s="71" t="e">
        <f>VLOOKUP($F387,[5]装箱单!$A:$E,5,0)</f>
        <v>#N/A</v>
      </c>
      <c r="R387" s="71" t="e">
        <f>VLOOKUP($F387,[5]装箱单!$A:$F,6,0)</f>
        <v>#N/A</v>
      </c>
      <c r="S387" s="71" t="e">
        <f>VLOOKUP($F387,[5]装箱单!$A:$G,7,0)</f>
        <v>#N/A</v>
      </c>
      <c r="T387" s="72" t="e">
        <f>VLOOKUP($F387,[5]装箱单!$A:$J,10,0)</f>
        <v>#N/A</v>
      </c>
      <c r="U387" s="73" t="e">
        <f t="shared" si="78"/>
        <v>#N/A</v>
      </c>
      <c r="V387" s="12"/>
    </row>
    <row r="388" s="1" customFormat="1" ht="29.1" customHeight="1" spans="1:22">
      <c r="A388" s="62">
        <v>46212</v>
      </c>
      <c r="B388" s="63" t="s">
        <v>415</v>
      </c>
      <c r="C388" s="64" t="s">
        <v>1707</v>
      </c>
      <c r="D388" s="66" t="s">
        <v>1338</v>
      </c>
      <c r="E388" s="67" t="s">
        <v>1495</v>
      </c>
      <c r="F388" s="67">
        <v>470764</v>
      </c>
      <c r="G388" s="67" t="s">
        <v>1708</v>
      </c>
      <c r="H388" s="67">
        <v>1080</v>
      </c>
      <c r="I388" s="68">
        <v>614</v>
      </c>
      <c r="J388" s="68" t="s">
        <v>32</v>
      </c>
      <c r="K388" s="68" t="s">
        <v>33</v>
      </c>
      <c r="L388" s="69">
        <v>614</v>
      </c>
      <c r="M388" s="65">
        <v>16.452744</v>
      </c>
      <c r="N388" s="69" t="s">
        <v>34</v>
      </c>
      <c r="O388" s="67"/>
      <c r="P388" s="74"/>
      <c r="Q388" s="71" t="e">
        <f>VLOOKUP($F388,[5]装箱单!$A:$E,5,0)</f>
        <v>#N/A</v>
      </c>
      <c r="R388" s="71" t="e">
        <f>VLOOKUP($F388,[5]装箱单!$A:$F,6,0)</f>
        <v>#N/A</v>
      </c>
      <c r="S388" s="71" t="e">
        <f>VLOOKUP($F388,[5]装箱单!$A:$G,7,0)</f>
        <v>#N/A</v>
      </c>
      <c r="T388" s="72" t="e">
        <f>VLOOKUP($F388,[5]装箱单!$A:$J,10,0)</f>
        <v>#N/A</v>
      </c>
      <c r="U388" s="73" t="e">
        <f t="shared" si="78"/>
        <v>#N/A</v>
      </c>
      <c r="V388" s="12"/>
    </row>
    <row r="389" s="1" customFormat="1" ht="29.1" customHeight="1" spans="1:22">
      <c r="A389" s="62">
        <v>46212</v>
      </c>
      <c r="B389" s="63" t="s">
        <v>52</v>
      </c>
      <c r="C389" s="67" t="s">
        <v>1709</v>
      </c>
      <c r="D389" s="64"/>
      <c r="E389" s="66"/>
      <c r="F389" s="67">
        <v>570989</v>
      </c>
      <c r="G389" s="67" t="s">
        <v>1670</v>
      </c>
      <c r="H389" s="67">
        <v>1</v>
      </c>
      <c r="I389" s="68">
        <v>27</v>
      </c>
      <c r="J389" s="68" t="s">
        <v>32</v>
      </c>
      <c r="K389" s="68" t="s">
        <v>33</v>
      </c>
      <c r="L389" s="69">
        <v>1</v>
      </c>
      <c r="M389" s="65">
        <v>0.01115834461875</v>
      </c>
      <c r="N389" s="69" t="s">
        <v>34</v>
      </c>
      <c r="O389" s="67" t="s">
        <v>1709</v>
      </c>
      <c r="P389" s="74"/>
      <c r="Q389" s="71" t="e">
        <f>VLOOKUP($F389,[5]装箱单!$A:$E,5,0)</f>
        <v>#N/A</v>
      </c>
      <c r="R389" s="71" t="e">
        <f>VLOOKUP($F389,[5]装箱单!$A:$F,6,0)</f>
        <v>#N/A</v>
      </c>
      <c r="S389" s="71" t="e">
        <f>VLOOKUP($F389,[5]装箱单!$A:$G,7,0)</f>
        <v>#N/A</v>
      </c>
      <c r="T389" s="72" t="e">
        <f>VLOOKUP($F389,[5]装箱单!$A:$J,10,0)</f>
        <v>#N/A</v>
      </c>
      <c r="U389" s="73" t="e">
        <f t="shared" si="78"/>
        <v>#N/A</v>
      </c>
      <c r="V389" s="12"/>
    </row>
    <row r="390" s="1" customFormat="1" ht="29.1" customHeight="1" spans="1:22">
      <c r="A390" s="62">
        <v>46212</v>
      </c>
      <c r="B390" s="63" t="s">
        <v>1710</v>
      </c>
      <c r="C390" s="67" t="s">
        <v>1711</v>
      </c>
      <c r="D390" s="64"/>
      <c r="E390" s="66"/>
      <c r="F390" s="67" t="s">
        <v>1712</v>
      </c>
      <c r="G390" s="67" t="s">
        <v>895</v>
      </c>
      <c r="H390" s="67">
        <v>10</v>
      </c>
      <c r="I390" s="68">
        <v>10</v>
      </c>
      <c r="J390" s="68" t="s">
        <v>32</v>
      </c>
      <c r="K390" s="68" t="s">
        <v>1713</v>
      </c>
      <c r="L390" s="69">
        <v>10</v>
      </c>
      <c r="M390" s="65">
        <v>0</v>
      </c>
      <c r="N390" s="69"/>
      <c r="O390" s="67" t="s">
        <v>1711</v>
      </c>
      <c r="P390" s="74"/>
      <c r="Q390" s="71"/>
      <c r="R390" s="71"/>
      <c r="S390" s="71"/>
      <c r="T390" s="72"/>
      <c r="U390" s="73"/>
      <c r="V390" s="12"/>
    </row>
    <row r="391" s="1" customFormat="1" ht="29.1" customHeight="1" spans="1:22">
      <c r="A391" s="62"/>
      <c r="B391" s="63"/>
      <c r="C391" s="63"/>
      <c r="D391" s="64"/>
      <c r="E391" s="66"/>
      <c r="F391" s="67"/>
      <c r="G391" s="67"/>
      <c r="H391" s="67"/>
      <c r="I391" s="68"/>
      <c r="J391" s="68"/>
      <c r="K391" s="68"/>
      <c r="L391" s="69"/>
      <c r="M391" s="65">
        <f>SUM(M370:M390)</f>
        <v>129.976692130676</v>
      </c>
      <c r="N391" s="69"/>
      <c r="O391" s="67"/>
      <c r="P391" s="75"/>
      <c r="Q391" s="71"/>
      <c r="R391" s="71"/>
      <c r="S391" s="71"/>
      <c r="T391" s="72"/>
      <c r="U391" s="73"/>
      <c r="V391" s="12"/>
    </row>
    <row r="392" customHeight="1" spans="1:22">
      <c r="A392" s="62">
        <v>46213</v>
      </c>
      <c r="B392" s="63" t="s">
        <v>52</v>
      </c>
      <c r="C392" s="64">
        <v>46810</v>
      </c>
      <c r="D392" s="66" t="s">
        <v>1714</v>
      </c>
      <c r="E392" s="67"/>
      <c r="F392" s="67">
        <v>571299</v>
      </c>
      <c r="G392" s="67" t="s">
        <v>1715</v>
      </c>
      <c r="H392" s="67">
        <v>1080</v>
      </c>
      <c r="I392" s="68">
        <v>5600</v>
      </c>
      <c r="J392" s="68" t="s">
        <v>32</v>
      </c>
      <c r="K392" s="68" t="s">
        <v>33</v>
      </c>
      <c r="L392" s="69">
        <v>5600</v>
      </c>
      <c r="M392" s="65">
        <v>150.0576</v>
      </c>
      <c r="N392" s="69" t="s">
        <v>34</v>
      </c>
      <c r="O392" s="67"/>
      <c r="P392" s="70" t="s">
        <v>1716</v>
      </c>
    </row>
    <row r="393" customHeight="1" spans="1:22">
      <c r="A393" s="62"/>
      <c r="B393" s="63"/>
      <c r="C393" s="64"/>
      <c r="D393" s="66"/>
      <c r="E393" s="67"/>
      <c r="F393" s="67"/>
      <c r="G393" s="67"/>
      <c r="H393" s="67"/>
      <c r="I393" s="68"/>
      <c r="J393" s="68"/>
      <c r="K393" s="68"/>
      <c r="L393" s="69"/>
      <c r="M393" s="65">
        <v>150.0576</v>
      </c>
      <c r="N393" s="69"/>
      <c r="O393" s="67"/>
      <c r="P393" s="75"/>
    </row>
    <row r="394" s="1" customFormat="1" ht="29.1" customHeight="1" spans="1:22">
      <c r="A394" s="62">
        <v>46216</v>
      </c>
      <c r="B394" s="63" t="s">
        <v>415</v>
      </c>
      <c r="C394" s="63" t="s">
        <v>1707</v>
      </c>
      <c r="D394" s="64" t="s">
        <v>1338</v>
      </c>
      <c r="E394" s="66" t="s">
        <v>1717</v>
      </c>
      <c r="F394" s="67">
        <v>470764</v>
      </c>
      <c r="G394" s="67" t="s">
        <v>1708</v>
      </c>
      <c r="H394" s="67">
        <v>1461</v>
      </c>
      <c r="I394" s="68">
        <v>847</v>
      </c>
      <c r="J394" s="68" t="s">
        <v>32</v>
      </c>
      <c r="K394" s="68" t="s">
        <v>33</v>
      </c>
      <c r="L394" s="69">
        <v>847</v>
      </c>
      <c r="M394" s="65">
        <v>22.696212</v>
      </c>
      <c r="N394" s="69" t="s">
        <v>34</v>
      </c>
      <c r="O394" s="67"/>
      <c r="P394" s="74" t="s">
        <v>472</v>
      </c>
      <c r="Q394" s="71">
        <v>42</v>
      </c>
      <c r="R394" s="71">
        <v>22</v>
      </c>
      <c r="S394" s="71">
        <v>29</v>
      </c>
      <c r="T394" s="72">
        <v>0.026796</v>
      </c>
      <c r="U394" s="73">
        <v>22.696212</v>
      </c>
      <c r="V394" s="12"/>
    </row>
    <row r="395" s="1" customFormat="1" ht="29.1" customHeight="1" spans="1:22">
      <c r="A395" s="62">
        <v>46216</v>
      </c>
      <c r="B395" s="63" t="s">
        <v>40</v>
      </c>
      <c r="C395" s="63" t="s">
        <v>1690</v>
      </c>
      <c r="D395" s="64" t="s">
        <v>1691</v>
      </c>
      <c r="E395" s="141" t="s">
        <v>1692</v>
      </c>
      <c r="F395" s="67">
        <v>28483</v>
      </c>
      <c r="G395" s="67" t="s">
        <v>1718</v>
      </c>
      <c r="H395" s="67">
        <v>3780</v>
      </c>
      <c r="I395" s="68">
        <v>1260</v>
      </c>
      <c r="J395" s="68" t="s">
        <v>32</v>
      </c>
      <c r="K395" s="68" t="s">
        <v>33</v>
      </c>
      <c r="L395" s="69">
        <f>1440-180</f>
        <v>1260</v>
      </c>
      <c r="M395" s="65">
        <v>8.3126736</v>
      </c>
      <c r="N395" s="69" t="s">
        <v>34</v>
      </c>
      <c r="O395" s="67"/>
      <c r="P395" s="74"/>
      <c r="Q395" s="71">
        <v>16.83</v>
      </c>
      <c r="R395" s="71">
        <v>17.15</v>
      </c>
      <c r="S395" s="71">
        <v>20</v>
      </c>
      <c r="T395" s="72">
        <v>0.00577269</v>
      </c>
      <c r="U395" s="73">
        <v>8.3126736</v>
      </c>
      <c r="V395" s="12"/>
    </row>
    <row r="396" s="1" customFormat="1" ht="29.1" customHeight="1" spans="1:22">
      <c r="A396" s="62">
        <v>46216</v>
      </c>
      <c r="B396" s="63" t="s">
        <v>40</v>
      </c>
      <c r="C396" s="63" t="s">
        <v>1696</v>
      </c>
      <c r="D396" s="64" t="s">
        <v>1697</v>
      </c>
      <c r="E396" s="141" t="s">
        <v>1698</v>
      </c>
      <c r="F396" s="67">
        <v>28483</v>
      </c>
      <c r="G396" s="67" t="s">
        <v>1718</v>
      </c>
      <c r="H396" s="67">
        <v>4140</v>
      </c>
      <c r="I396" s="68">
        <v>4140</v>
      </c>
      <c r="J396" s="68" t="s">
        <v>32</v>
      </c>
      <c r="K396" s="68" t="s">
        <v>33</v>
      </c>
      <c r="L396" s="69">
        <v>4140</v>
      </c>
      <c r="M396" s="65">
        <v>23.8989366</v>
      </c>
      <c r="N396" s="69" t="s">
        <v>34</v>
      </c>
      <c r="O396" s="67"/>
      <c r="P396" s="74"/>
      <c r="Q396" s="71">
        <v>16.83</v>
      </c>
      <c r="R396" s="71">
        <v>17.15</v>
      </c>
      <c r="S396" s="71">
        <v>20</v>
      </c>
      <c r="T396" s="72">
        <v>0.00577269</v>
      </c>
      <c r="U396" s="73">
        <v>23.8989366</v>
      </c>
      <c r="V396" s="12"/>
    </row>
    <row r="397" s="1" customFormat="1" ht="29.1" customHeight="1" spans="1:22">
      <c r="A397" s="62">
        <v>46216</v>
      </c>
      <c r="B397" s="63" t="s">
        <v>77</v>
      </c>
      <c r="C397" s="63" t="s">
        <v>1719</v>
      </c>
      <c r="D397" s="64" t="s">
        <v>1720</v>
      </c>
      <c r="E397" s="66" t="s">
        <v>1721</v>
      </c>
      <c r="F397" s="67" t="s">
        <v>45</v>
      </c>
      <c r="G397" s="67" t="s">
        <v>1681</v>
      </c>
      <c r="H397" s="67">
        <v>786</v>
      </c>
      <c r="I397" s="68">
        <v>14148</v>
      </c>
      <c r="J397" s="68" t="s">
        <v>32</v>
      </c>
      <c r="K397" s="68" t="s">
        <v>33</v>
      </c>
      <c r="L397" s="69">
        <v>786</v>
      </c>
      <c r="M397" s="65">
        <v>4.553307909495</v>
      </c>
      <c r="N397" s="69" t="s">
        <v>34</v>
      </c>
      <c r="O397" s="67" t="s">
        <v>773</v>
      </c>
      <c r="P397" s="74"/>
      <c r="Q397" s="71">
        <v>32.385</v>
      </c>
      <c r="R397" s="71">
        <v>18.78</v>
      </c>
      <c r="S397" s="71">
        <v>9.525</v>
      </c>
      <c r="T397" s="72">
        <v>0.0057930126075</v>
      </c>
      <c r="U397" s="73">
        <v>4.553307909495</v>
      </c>
      <c r="V397" s="12"/>
    </row>
    <row r="398" s="1" customFormat="1" ht="29.1" customHeight="1" spans="1:22">
      <c r="A398" s="62">
        <v>46216</v>
      </c>
      <c r="B398" s="63" t="s">
        <v>77</v>
      </c>
      <c r="C398" s="63" t="s">
        <v>1719</v>
      </c>
      <c r="D398" s="64" t="s">
        <v>1720</v>
      </c>
      <c r="E398" s="66" t="s">
        <v>1721</v>
      </c>
      <c r="F398" s="67" t="s">
        <v>45</v>
      </c>
      <c r="G398" s="67" t="s">
        <v>1681</v>
      </c>
      <c r="H398" s="67">
        <v>872</v>
      </c>
      <c r="I398" s="68">
        <v>15696</v>
      </c>
      <c r="J398" s="68" t="s">
        <v>32</v>
      </c>
      <c r="K398" s="68" t="s">
        <v>33</v>
      </c>
      <c r="L398" s="69">
        <v>872</v>
      </c>
      <c r="M398" s="65">
        <v>5.05150699374</v>
      </c>
      <c r="N398" s="69" t="s">
        <v>34</v>
      </c>
      <c r="O398" s="67" t="s">
        <v>774</v>
      </c>
      <c r="P398" s="74"/>
      <c r="Q398" s="71">
        <v>32.385</v>
      </c>
      <c r="R398" s="71">
        <v>18.78</v>
      </c>
      <c r="S398" s="71">
        <v>9.525</v>
      </c>
      <c r="T398" s="72">
        <v>0.0057930126075</v>
      </c>
      <c r="U398" s="73">
        <v>5.05150699374</v>
      </c>
      <c r="V398" s="12"/>
    </row>
    <row r="399" s="1" customFormat="1" ht="29.1" customHeight="1" spans="1:22">
      <c r="A399" s="62">
        <v>46216</v>
      </c>
      <c r="B399" s="63" t="s">
        <v>77</v>
      </c>
      <c r="C399" s="63" t="s">
        <v>1719</v>
      </c>
      <c r="D399" s="64" t="s">
        <v>1720</v>
      </c>
      <c r="E399" s="66" t="s">
        <v>1721</v>
      </c>
      <c r="F399" s="67" t="s">
        <v>45</v>
      </c>
      <c r="G399" s="67" t="s">
        <v>1681</v>
      </c>
      <c r="H399" s="67">
        <v>538</v>
      </c>
      <c r="I399" s="68">
        <v>9684</v>
      </c>
      <c r="J399" s="68" t="s">
        <v>32</v>
      </c>
      <c r="K399" s="68" t="s">
        <v>33</v>
      </c>
      <c r="L399" s="69">
        <v>538</v>
      </c>
      <c r="M399" s="65">
        <v>3.116640782835</v>
      </c>
      <c r="N399" s="69" t="s">
        <v>34</v>
      </c>
      <c r="O399" s="67" t="s">
        <v>775</v>
      </c>
      <c r="P399" s="74"/>
      <c r="Q399" s="71">
        <v>32.385</v>
      </c>
      <c r="R399" s="71">
        <v>18.78</v>
      </c>
      <c r="S399" s="71">
        <v>9.525</v>
      </c>
      <c r="T399" s="72">
        <v>0.0057930126075</v>
      </c>
      <c r="U399" s="73">
        <v>3.116640782835</v>
      </c>
      <c r="V399" s="12"/>
    </row>
    <row r="400" s="1" customFormat="1" ht="29.1" customHeight="1" spans="1:22">
      <c r="A400" s="62">
        <v>46216</v>
      </c>
      <c r="B400" s="63" t="s">
        <v>77</v>
      </c>
      <c r="C400" s="63" t="s">
        <v>1719</v>
      </c>
      <c r="D400" s="64" t="s">
        <v>1720</v>
      </c>
      <c r="E400" s="66" t="s">
        <v>1721</v>
      </c>
      <c r="F400" s="67" t="s">
        <v>45</v>
      </c>
      <c r="G400" s="67" t="s">
        <v>1681</v>
      </c>
      <c r="H400" s="67">
        <v>393</v>
      </c>
      <c r="I400" s="68">
        <v>7074</v>
      </c>
      <c r="J400" s="68" t="s">
        <v>32</v>
      </c>
      <c r="K400" s="68" t="s">
        <v>33</v>
      </c>
      <c r="L400" s="69">
        <v>393</v>
      </c>
      <c r="M400" s="65">
        <v>2.2766539547475</v>
      </c>
      <c r="N400" s="69" t="s">
        <v>34</v>
      </c>
      <c r="O400" s="67" t="s">
        <v>776</v>
      </c>
      <c r="P400" s="74"/>
      <c r="Q400" s="71">
        <v>32.385</v>
      </c>
      <c r="R400" s="71">
        <v>18.78</v>
      </c>
      <c r="S400" s="71">
        <v>9.525</v>
      </c>
      <c r="T400" s="72">
        <v>0.0057930126075</v>
      </c>
      <c r="U400" s="73">
        <v>2.2766539547475</v>
      </c>
      <c r="V400" s="12"/>
    </row>
    <row r="401" s="1" customFormat="1" ht="29.1" customHeight="1" spans="1:22">
      <c r="A401" s="62">
        <v>46216</v>
      </c>
      <c r="B401" s="63" t="s">
        <v>77</v>
      </c>
      <c r="C401" s="63" t="s">
        <v>1719</v>
      </c>
      <c r="D401" s="64" t="s">
        <v>1720</v>
      </c>
      <c r="E401" s="66" t="s">
        <v>1721</v>
      </c>
      <c r="F401" s="67" t="s">
        <v>45</v>
      </c>
      <c r="G401" s="67" t="s">
        <v>1681</v>
      </c>
      <c r="H401" s="67">
        <v>422</v>
      </c>
      <c r="I401" s="68">
        <v>7596</v>
      </c>
      <c r="J401" s="68" t="s">
        <v>32</v>
      </c>
      <c r="K401" s="68" t="s">
        <v>33</v>
      </c>
      <c r="L401" s="69">
        <v>422</v>
      </c>
      <c r="M401" s="65">
        <v>2.444651320365</v>
      </c>
      <c r="N401" s="69" t="s">
        <v>34</v>
      </c>
      <c r="O401" s="67" t="s">
        <v>777</v>
      </c>
      <c r="P401" s="74"/>
      <c r="Q401" s="71">
        <v>32.385</v>
      </c>
      <c r="R401" s="71">
        <v>18.78</v>
      </c>
      <c r="S401" s="71">
        <v>9.525</v>
      </c>
      <c r="T401" s="72">
        <v>0.0057930126075</v>
      </c>
      <c r="U401" s="73">
        <v>2.444651320365</v>
      </c>
      <c r="V401" s="12"/>
    </row>
    <row r="402" s="1" customFormat="1" ht="29.1" customHeight="1" spans="1:22">
      <c r="A402" s="62">
        <v>46216</v>
      </c>
      <c r="B402" s="63" t="s">
        <v>77</v>
      </c>
      <c r="C402" s="63" t="s">
        <v>1719</v>
      </c>
      <c r="D402" s="64" t="s">
        <v>1720</v>
      </c>
      <c r="E402" s="66" t="s">
        <v>1721</v>
      </c>
      <c r="F402" s="67" t="s">
        <v>45</v>
      </c>
      <c r="G402" s="67" t="s">
        <v>1681</v>
      </c>
      <c r="H402" s="67">
        <v>530</v>
      </c>
      <c r="I402" s="68">
        <v>9540</v>
      </c>
      <c r="J402" s="68" t="s">
        <v>32</v>
      </c>
      <c r="K402" s="68" t="s">
        <v>33</v>
      </c>
      <c r="L402" s="69">
        <v>530</v>
      </c>
      <c r="M402" s="65">
        <v>3.070296681975</v>
      </c>
      <c r="N402" s="69" t="s">
        <v>34</v>
      </c>
      <c r="O402" s="67" t="s">
        <v>778</v>
      </c>
      <c r="P402" s="74"/>
      <c r="Q402" s="71">
        <v>32.385</v>
      </c>
      <c r="R402" s="71">
        <v>18.78</v>
      </c>
      <c r="S402" s="71">
        <v>9.525</v>
      </c>
      <c r="T402" s="72">
        <v>0.0057930126075</v>
      </c>
      <c r="U402" s="73">
        <v>3.070296681975</v>
      </c>
      <c r="V402" s="12"/>
    </row>
    <row r="403" s="1" customFormat="1" ht="29.1" customHeight="1" spans="1:22">
      <c r="A403" s="62">
        <v>46216</v>
      </c>
      <c r="B403" s="63" t="s">
        <v>77</v>
      </c>
      <c r="C403" s="63" t="s">
        <v>1719</v>
      </c>
      <c r="D403" s="64" t="s">
        <v>1720</v>
      </c>
      <c r="E403" s="66" t="s">
        <v>1721</v>
      </c>
      <c r="F403" s="67" t="s">
        <v>45</v>
      </c>
      <c r="G403" s="67" t="s">
        <v>1681</v>
      </c>
      <c r="H403" s="67">
        <v>518</v>
      </c>
      <c r="I403" s="68">
        <v>9324</v>
      </c>
      <c r="J403" s="68" t="s">
        <v>32</v>
      </c>
      <c r="K403" s="68" t="s">
        <v>33</v>
      </c>
      <c r="L403" s="69">
        <v>518</v>
      </c>
      <c r="M403" s="65">
        <v>3.000780530685</v>
      </c>
      <c r="N403" s="69" t="s">
        <v>34</v>
      </c>
      <c r="O403" s="67" t="s">
        <v>779</v>
      </c>
      <c r="P403" s="74"/>
      <c r="Q403" s="71">
        <v>32.385</v>
      </c>
      <c r="R403" s="71">
        <v>18.78</v>
      </c>
      <c r="S403" s="71">
        <v>9.525</v>
      </c>
      <c r="T403" s="72">
        <v>0.0057930126075</v>
      </c>
      <c r="U403" s="73">
        <v>3.000780530685</v>
      </c>
      <c r="V403" s="12"/>
    </row>
    <row r="404" s="1" customFormat="1" ht="29.1" customHeight="1" spans="1:22">
      <c r="A404" s="62">
        <v>46216</v>
      </c>
      <c r="B404" s="63" t="s">
        <v>77</v>
      </c>
      <c r="C404" s="63" t="s">
        <v>1719</v>
      </c>
      <c r="D404" s="64" t="s">
        <v>1720</v>
      </c>
      <c r="E404" s="66" t="s">
        <v>1721</v>
      </c>
      <c r="F404" s="67" t="s">
        <v>45</v>
      </c>
      <c r="G404" s="67" t="s">
        <v>1681</v>
      </c>
      <c r="H404" s="67">
        <v>624</v>
      </c>
      <c r="I404" s="68">
        <v>11232</v>
      </c>
      <c r="J404" s="68" t="s">
        <v>32</v>
      </c>
      <c r="K404" s="68" t="s">
        <v>33</v>
      </c>
      <c r="L404" s="69">
        <v>624</v>
      </c>
      <c r="M404" s="65">
        <v>3.61483986708</v>
      </c>
      <c r="N404" s="69" t="s">
        <v>34</v>
      </c>
      <c r="O404" s="67" t="s">
        <v>780</v>
      </c>
      <c r="P404" s="74"/>
      <c r="Q404" s="71">
        <v>32.385</v>
      </c>
      <c r="R404" s="71">
        <v>18.78</v>
      </c>
      <c r="S404" s="71">
        <v>9.525</v>
      </c>
      <c r="T404" s="72">
        <v>0.0057930126075</v>
      </c>
      <c r="U404" s="73">
        <v>3.61483986708</v>
      </c>
      <c r="V404" s="12"/>
    </row>
    <row r="405" s="1" customFormat="1" ht="29.1" customHeight="1" spans="1:22">
      <c r="A405" s="62">
        <v>46216</v>
      </c>
      <c r="B405" s="63" t="s">
        <v>77</v>
      </c>
      <c r="C405" s="63" t="s">
        <v>1719</v>
      </c>
      <c r="D405" s="64" t="s">
        <v>1720</v>
      </c>
      <c r="E405" s="66" t="s">
        <v>1721</v>
      </c>
      <c r="F405" s="67" t="s">
        <v>45</v>
      </c>
      <c r="G405" s="67" t="s">
        <v>1681</v>
      </c>
      <c r="H405" s="67">
        <v>902</v>
      </c>
      <c r="I405" s="68">
        <v>16236</v>
      </c>
      <c r="J405" s="68" t="s">
        <v>32</v>
      </c>
      <c r="K405" s="68" t="s">
        <v>33</v>
      </c>
      <c r="L405" s="69">
        <v>902</v>
      </c>
      <c r="M405" s="65">
        <v>5.225297371965</v>
      </c>
      <c r="N405" s="69" t="s">
        <v>34</v>
      </c>
      <c r="O405" s="67" t="s">
        <v>781</v>
      </c>
      <c r="P405" s="74"/>
      <c r="Q405" s="71">
        <v>32.385</v>
      </c>
      <c r="R405" s="71">
        <v>18.78</v>
      </c>
      <c r="S405" s="71">
        <v>9.525</v>
      </c>
      <c r="T405" s="72">
        <v>0.0057930126075</v>
      </c>
      <c r="U405" s="73">
        <v>5.225297371965</v>
      </c>
      <c r="V405" s="12"/>
    </row>
    <row r="406" s="1" customFormat="1" ht="29.1" customHeight="1" spans="1:22">
      <c r="A406" s="62">
        <v>46216</v>
      </c>
      <c r="B406" s="63" t="s">
        <v>1722</v>
      </c>
      <c r="C406" s="63" t="s">
        <v>1723</v>
      </c>
      <c r="D406" s="64" t="s">
        <v>1724</v>
      </c>
      <c r="E406" s="66" t="s">
        <v>1315</v>
      </c>
      <c r="F406" s="67">
        <v>46097</v>
      </c>
      <c r="G406" s="67" t="s">
        <v>1579</v>
      </c>
      <c r="H406" s="67">
        <v>200</v>
      </c>
      <c r="I406" s="68">
        <v>400</v>
      </c>
      <c r="J406" s="68" t="s">
        <v>32</v>
      </c>
      <c r="K406" s="68" t="s">
        <v>33</v>
      </c>
      <c r="L406" s="69">
        <v>200</v>
      </c>
      <c r="M406" s="65">
        <v>4.4731436064</v>
      </c>
      <c r="N406" s="69" t="s">
        <v>34</v>
      </c>
      <c r="O406" s="67"/>
      <c r="P406" s="74"/>
      <c r="Q406" s="71">
        <v>40.01</v>
      </c>
      <c r="R406" s="71">
        <v>26.67</v>
      </c>
      <c r="S406" s="71">
        <v>20.96</v>
      </c>
      <c r="T406" s="72">
        <v>0.022365718032</v>
      </c>
      <c r="U406" s="73">
        <v>4.4731436064</v>
      </c>
      <c r="V406" s="12"/>
    </row>
    <row r="407" s="1" customFormat="1" ht="29.1" customHeight="1" spans="1:22">
      <c r="A407" s="62">
        <v>46216</v>
      </c>
      <c r="B407" s="63" t="s">
        <v>1722</v>
      </c>
      <c r="C407" s="63" t="s">
        <v>1723</v>
      </c>
      <c r="D407" s="64" t="s">
        <v>1724</v>
      </c>
      <c r="E407" s="66" t="s">
        <v>1315</v>
      </c>
      <c r="F407" s="67">
        <v>46099</v>
      </c>
      <c r="G407" s="67" t="s">
        <v>1568</v>
      </c>
      <c r="H407" s="67">
        <v>100</v>
      </c>
      <c r="I407" s="68">
        <v>200</v>
      </c>
      <c r="J407" s="68" t="s">
        <v>32</v>
      </c>
      <c r="K407" s="68" t="s">
        <v>33</v>
      </c>
      <c r="L407" s="69">
        <v>100</v>
      </c>
      <c r="M407" s="65">
        <v>2.2365718032</v>
      </c>
      <c r="N407" s="69" t="s">
        <v>34</v>
      </c>
      <c r="O407" s="67"/>
      <c r="P407" s="74"/>
      <c r="Q407" s="71">
        <v>40.01</v>
      </c>
      <c r="R407" s="71">
        <v>26.67</v>
      </c>
      <c r="S407" s="71">
        <v>20.96</v>
      </c>
      <c r="T407" s="72">
        <v>0.022365718032</v>
      </c>
      <c r="U407" s="73">
        <v>2.2365718032</v>
      </c>
      <c r="V407" s="12"/>
    </row>
    <row r="408" s="1" customFormat="1" ht="29.1" customHeight="1" spans="1:22">
      <c r="A408" s="62">
        <v>46216</v>
      </c>
      <c r="B408" s="63" t="s">
        <v>1722</v>
      </c>
      <c r="C408" s="63" t="s">
        <v>1723</v>
      </c>
      <c r="D408" s="64" t="s">
        <v>1724</v>
      </c>
      <c r="E408" s="66" t="s">
        <v>1315</v>
      </c>
      <c r="F408" s="67">
        <v>46132</v>
      </c>
      <c r="G408" s="67" t="s">
        <v>1588</v>
      </c>
      <c r="H408" s="67">
        <v>200</v>
      </c>
      <c r="I408" s="68">
        <v>400</v>
      </c>
      <c r="J408" s="68" t="s">
        <v>32</v>
      </c>
      <c r="K408" s="68" t="s">
        <v>33</v>
      </c>
      <c r="L408" s="69">
        <v>200</v>
      </c>
      <c r="M408" s="65">
        <v>4.4731436064</v>
      </c>
      <c r="N408" s="69" t="s">
        <v>34</v>
      </c>
      <c r="O408" s="67"/>
      <c r="P408" s="74"/>
      <c r="Q408" s="71">
        <v>40.01</v>
      </c>
      <c r="R408" s="71">
        <v>26.67</v>
      </c>
      <c r="S408" s="71">
        <v>20.96</v>
      </c>
      <c r="T408" s="72">
        <v>0.022365718032</v>
      </c>
      <c r="U408" s="73">
        <v>4.4731436064</v>
      </c>
      <c r="V408" s="12"/>
    </row>
    <row r="409" s="1" customFormat="1" ht="29.1" customHeight="1" spans="1:22">
      <c r="A409" s="62">
        <v>46216</v>
      </c>
      <c r="B409" s="63" t="s">
        <v>1722</v>
      </c>
      <c r="C409" s="63" t="s">
        <v>1723</v>
      </c>
      <c r="D409" s="64" t="s">
        <v>1724</v>
      </c>
      <c r="E409" s="66" t="s">
        <v>1315</v>
      </c>
      <c r="F409" s="67">
        <v>46462</v>
      </c>
      <c r="G409" s="67" t="s">
        <v>1725</v>
      </c>
      <c r="H409" s="67">
        <v>150</v>
      </c>
      <c r="I409" s="68">
        <v>300</v>
      </c>
      <c r="J409" s="68" t="s">
        <v>32</v>
      </c>
      <c r="K409" s="68" t="s">
        <v>33</v>
      </c>
      <c r="L409" s="69">
        <v>150</v>
      </c>
      <c r="M409" s="65">
        <v>3.3548577048</v>
      </c>
      <c r="N409" s="69" t="s">
        <v>34</v>
      </c>
      <c r="O409" s="67"/>
      <c r="P409" s="74"/>
      <c r="Q409" s="71">
        <v>40.01</v>
      </c>
      <c r="R409" s="71">
        <v>26.67</v>
      </c>
      <c r="S409" s="71">
        <v>20.96</v>
      </c>
      <c r="T409" s="72">
        <v>0.022365718032</v>
      </c>
      <c r="U409" s="73">
        <v>3.3548577048</v>
      </c>
      <c r="V409" s="12"/>
    </row>
    <row r="410" s="1" customFormat="1" ht="29.1" customHeight="1" spans="1:22">
      <c r="A410" s="62">
        <v>46216</v>
      </c>
      <c r="B410" s="63" t="s">
        <v>77</v>
      </c>
      <c r="C410" s="63" t="s">
        <v>1726</v>
      </c>
      <c r="D410" s="64" t="s">
        <v>1727</v>
      </c>
      <c r="E410" s="66" t="s">
        <v>1728</v>
      </c>
      <c r="F410" s="67" t="s">
        <v>120</v>
      </c>
      <c r="G410" s="67" t="s">
        <v>886</v>
      </c>
      <c r="H410" s="67">
        <v>153</v>
      </c>
      <c r="I410" s="68">
        <v>2754</v>
      </c>
      <c r="J410" s="68" t="s">
        <v>32</v>
      </c>
      <c r="K410" s="68" t="s">
        <v>33</v>
      </c>
      <c r="L410" s="69">
        <v>153</v>
      </c>
      <c r="M410" s="65">
        <v>1.88807101938</v>
      </c>
      <c r="N410" s="69" t="s">
        <v>34</v>
      </c>
      <c r="O410" s="67" t="s">
        <v>1729</v>
      </c>
      <c r="P410" s="74"/>
      <c r="Q410" s="71">
        <v>33.02</v>
      </c>
      <c r="R410" s="71">
        <v>18.41</v>
      </c>
      <c r="S410" s="71">
        <v>20.3</v>
      </c>
      <c r="T410" s="72">
        <v>0.01234033346</v>
      </c>
      <c r="U410" s="73">
        <v>1.88807101938</v>
      </c>
      <c r="V410" s="12"/>
    </row>
    <row r="411" s="1" customFormat="1" ht="29.1" customHeight="1" spans="1:22">
      <c r="A411" s="62">
        <v>46216</v>
      </c>
      <c r="B411" s="63" t="s">
        <v>77</v>
      </c>
      <c r="C411" s="63" t="s">
        <v>1726</v>
      </c>
      <c r="D411" s="64" t="s">
        <v>1727</v>
      </c>
      <c r="E411" s="66" t="s">
        <v>1728</v>
      </c>
      <c r="F411" s="67" t="s">
        <v>120</v>
      </c>
      <c r="G411" s="67" t="s">
        <v>886</v>
      </c>
      <c r="H411" s="67">
        <v>167</v>
      </c>
      <c r="I411" s="68">
        <v>3006</v>
      </c>
      <c r="J411" s="68" t="s">
        <v>32</v>
      </c>
      <c r="K411" s="68" t="s">
        <v>33</v>
      </c>
      <c r="L411" s="69">
        <v>167</v>
      </c>
      <c r="M411" s="65">
        <v>2.06083568782</v>
      </c>
      <c r="N411" s="69" t="s">
        <v>34</v>
      </c>
      <c r="O411" s="67" t="s">
        <v>1730</v>
      </c>
      <c r="P411" s="74"/>
      <c r="Q411" s="71">
        <v>33.02</v>
      </c>
      <c r="R411" s="71">
        <v>18.41</v>
      </c>
      <c r="S411" s="71">
        <v>20.3</v>
      </c>
      <c r="T411" s="72">
        <v>0.01234033346</v>
      </c>
      <c r="U411" s="73">
        <v>2.06083568782</v>
      </c>
      <c r="V411" s="12"/>
    </row>
    <row r="412" s="1" customFormat="1" ht="29.1" customHeight="1" spans="1:22">
      <c r="A412" s="62">
        <v>46216</v>
      </c>
      <c r="B412" s="63" t="s">
        <v>77</v>
      </c>
      <c r="C412" s="63" t="s">
        <v>1726</v>
      </c>
      <c r="D412" s="64" t="s">
        <v>1727</v>
      </c>
      <c r="E412" s="66" t="s">
        <v>1728</v>
      </c>
      <c r="F412" s="67" t="s">
        <v>120</v>
      </c>
      <c r="G412" s="67" t="s">
        <v>886</v>
      </c>
      <c r="H412" s="67">
        <v>139</v>
      </c>
      <c r="I412" s="68">
        <v>2502</v>
      </c>
      <c r="J412" s="68" t="s">
        <v>32</v>
      </c>
      <c r="K412" s="68" t="s">
        <v>33</v>
      </c>
      <c r="L412" s="69">
        <v>139</v>
      </c>
      <c r="M412" s="65">
        <v>1.71530635094</v>
      </c>
      <c r="N412" s="69" t="s">
        <v>34</v>
      </c>
      <c r="O412" s="67" t="s">
        <v>1731</v>
      </c>
      <c r="P412" s="74"/>
      <c r="Q412" s="71">
        <v>33.02</v>
      </c>
      <c r="R412" s="71">
        <v>18.41</v>
      </c>
      <c r="S412" s="71">
        <v>20.3</v>
      </c>
      <c r="T412" s="72">
        <v>0.01234033346</v>
      </c>
      <c r="U412" s="73">
        <v>1.71530635094</v>
      </c>
      <c r="V412" s="12"/>
    </row>
    <row r="413" s="1" customFormat="1" ht="29.1" customHeight="1" spans="1:22">
      <c r="A413" s="62"/>
      <c r="B413" s="63"/>
      <c r="C413" s="63"/>
      <c r="D413" s="64"/>
      <c r="E413" s="66"/>
      <c r="F413" s="67"/>
      <c r="G413" s="67"/>
      <c r="H413" s="67"/>
      <c r="I413" s="68"/>
      <c r="J413" s="68"/>
      <c r="K413" s="68"/>
      <c r="L413" s="69"/>
      <c r="M413" s="65">
        <v>107.463727391828</v>
      </c>
      <c r="N413" s="69"/>
      <c r="O413" s="67"/>
      <c r="P413" s="75"/>
      <c r="Q413" s="71"/>
      <c r="R413" s="71"/>
      <c r="S413" s="71"/>
      <c r="T413" s="72"/>
      <c r="U413" s="73"/>
      <c r="V413" s="12"/>
    </row>
    <row r="414" s="1" customFormat="1" ht="29.1" customHeight="1" spans="1:22">
      <c r="A414" s="62">
        <v>46217</v>
      </c>
      <c r="B414" s="63" t="s">
        <v>40</v>
      </c>
      <c r="C414" s="64" t="s">
        <v>1690</v>
      </c>
      <c r="D414" s="66" t="s">
        <v>1691</v>
      </c>
      <c r="E414" s="140" t="s">
        <v>1692</v>
      </c>
      <c r="F414" s="67">
        <v>28483</v>
      </c>
      <c r="G414" s="67" t="s">
        <v>1718</v>
      </c>
      <c r="H414" s="67">
        <v>3780</v>
      </c>
      <c r="I414" s="68">
        <v>2520</v>
      </c>
      <c r="J414" s="68" t="s">
        <v>32</v>
      </c>
      <c r="K414" s="68" t="s">
        <v>33</v>
      </c>
      <c r="L414" s="69">
        <v>2520</v>
      </c>
      <c r="M414" s="65">
        <v>14.5471788</v>
      </c>
      <c r="N414" s="69" t="s">
        <v>34</v>
      </c>
      <c r="O414" s="67"/>
      <c r="P414" s="70" t="s">
        <v>1732</v>
      </c>
      <c r="Q414" s="71" t="e">
        <f>VLOOKUP($F414,[5]装箱单!$A:$E,5,0)</f>
        <v>#N/A</v>
      </c>
      <c r="R414" s="71" t="e">
        <f>VLOOKUP($F414,[5]装箱单!$A:$F,6,0)</f>
        <v>#N/A</v>
      </c>
      <c r="S414" s="71" t="e">
        <f>VLOOKUP($F414,[5]装箱单!$A:$G,7,0)</f>
        <v>#N/A</v>
      </c>
      <c r="T414" s="72" t="e">
        <f>VLOOKUP($F414,[5]装箱单!$A:$J,10,0)</f>
        <v>#N/A</v>
      </c>
      <c r="U414" s="73" t="e">
        <f t="shared" ref="U414:U422" si="79">+T414*L414</f>
        <v>#N/A</v>
      </c>
      <c r="V414" s="12"/>
    </row>
    <row r="415" s="1" customFormat="1" ht="29.1" customHeight="1" spans="1:22">
      <c r="A415" s="62">
        <v>46217</v>
      </c>
      <c r="B415" s="63" t="s">
        <v>52</v>
      </c>
      <c r="C415" s="64">
        <v>47035</v>
      </c>
      <c r="D415" s="66">
        <v>47035</v>
      </c>
      <c r="E415" s="67" t="s">
        <v>1666</v>
      </c>
      <c r="F415" s="67">
        <v>320399</v>
      </c>
      <c r="G415" s="67" t="s">
        <v>1668</v>
      </c>
      <c r="H415" s="67">
        <v>750</v>
      </c>
      <c r="I415" s="68">
        <v>3000</v>
      </c>
      <c r="J415" s="68" t="s">
        <v>32</v>
      </c>
      <c r="K415" s="68" t="s">
        <v>33</v>
      </c>
      <c r="L415" s="69">
        <v>750</v>
      </c>
      <c r="M415" s="65">
        <v>7.7175</v>
      </c>
      <c r="N415" s="69" t="s">
        <v>34</v>
      </c>
      <c r="O415" s="67"/>
      <c r="P415" s="74"/>
      <c r="Q415" s="71" t="e">
        <f>VLOOKUP($F415,[5]装箱单!$A:$E,5,0)</f>
        <v>#N/A</v>
      </c>
      <c r="R415" s="71" t="e">
        <f>VLOOKUP($F415,[5]装箱单!$A:$F,6,0)</f>
        <v>#N/A</v>
      </c>
      <c r="S415" s="71" t="e">
        <f>VLOOKUP($F415,[5]装箱单!$A:$G,7,0)</f>
        <v>#N/A</v>
      </c>
      <c r="T415" s="72" t="e">
        <f>VLOOKUP($F415,[5]装箱单!$A:$J,10,0)</f>
        <v>#N/A</v>
      </c>
      <c r="U415" s="73" t="e">
        <f t="shared" si="79"/>
        <v>#N/A</v>
      </c>
      <c r="V415" s="12"/>
    </row>
    <row r="416" s="1" customFormat="1" ht="29.1" customHeight="1" spans="1:22">
      <c r="A416" s="62">
        <v>46217</v>
      </c>
      <c r="B416" s="63" t="s">
        <v>52</v>
      </c>
      <c r="C416" s="64">
        <v>46906</v>
      </c>
      <c r="D416" s="66">
        <v>46906</v>
      </c>
      <c r="E416" s="67" t="s">
        <v>1733</v>
      </c>
      <c r="F416" s="67">
        <v>320401</v>
      </c>
      <c r="G416" s="67" t="s">
        <v>1734</v>
      </c>
      <c r="H416" s="67">
        <v>750</v>
      </c>
      <c r="I416" s="68">
        <v>3000</v>
      </c>
      <c r="J416" s="68" t="s">
        <v>32</v>
      </c>
      <c r="K416" s="68" t="s">
        <v>33</v>
      </c>
      <c r="L416" s="69">
        <v>750</v>
      </c>
      <c r="M416" s="65">
        <v>7.7175</v>
      </c>
      <c r="N416" s="69" t="s">
        <v>34</v>
      </c>
      <c r="O416" s="67"/>
      <c r="P416" s="74"/>
      <c r="Q416" s="71" t="e">
        <f>VLOOKUP($F416,[5]装箱单!$A:$E,5,0)</f>
        <v>#N/A</v>
      </c>
      <c r="R416" s="71" t="e">
        <f>VLOOKUP($F416,[5]装箱单!$A:$F,6,0)</f>
        <v>#N/A</v>
      </c>
      <c r="S416" s="71" t="e">
        <f>VLOOKUP($F416,[5]装箱单!$A:$G,7,0)</f>
        <v>#N/A</v>
      </c>
      <c r="T416" s="72" t="e">
        <f>VLOOKUP($F416,[5]装箱单!$A:$J,10,0)</f>
        <v>#N/A</v>
      </c>
      <c r="U416" s="73" t="e">
        <f t="shared" si="79"/>
        <v>#N/A</v>
      </c>
      <c r="V416" s="12"/>
    </row>
    <row r="417" s="1" customFormat="1" ht="29.1" customHeight="1" spans="1:22">
      <c r="A417" s="62">
        <v>46217</v>
      </c>
      <c r="B417" s="63" t="s">
        <v>52</v>
      </c>
      <c r="C417" s="64">
        <v>47035</v>
      </c>
      <c r="D417" s="66">
        <v>47035</v>
      </c>
      <c r="E417" s="67" t="s">
        <v>1666</v>
      </c>
      <c r="F417" s="67">
        <v>320401</v>
      </c>
      <c r="G417" s="67" t="s">
        <v>1734</v>
      </c>
      <c r="H417" s="67">
        <v>750</v>
      </c>
      <c r="I417" s="68">
        <v>3000</v>
      </c>
      <c r="J417" s="68" t="s">
        <v>32</v>
      </c>
      <c r="K417" s="68" t="s">
        <v>33</v>
      </c>
      <c r="L417" s="69">
        <v>750</v>
      </c>
      <c r="M417" s="65">
        <v>7.7175</v>
      </c>
      <c r="N417" s="69" t="s">
        <v>34</v>
      </c>
      <c r="O417" s="67"/>
      <c r="P417" s="74"/>
      <c r="Q417" s="71" t="e">
        <f>VLOOKUP($F417,[5]装箱单!$A:$E,5,0)</f>
        <v>#N/A</v>
      </c>
      <c r="R417" s="71" t="e">
        <f>VLOOKUP($F417,[5]装箱单!$A:$F,6,0)</f>
        <v>#N/A</v>
      </c>
      <c r="S417" s="71" t="e">
        <f>VLOOKUP($F417,[5]装箱单!$A:$G,7,0)</f>
        <v>#N/A</v>
      </c>
      <c r="T417" s="72" t="e">
        <f>VLOOKUP($F417,[5]装箱单!$A:$J,10,0)</f>
        <v>#N/A</v>
      </c>
      <c r="U417" s="73" t="e">
        <f t="shared" si="79"/>
        <v>#N/A</v>
      </c>
      <c r="V417" s="12"/>
    </row>
    <row r="418" s="1" customFormat="1" ht="29.1" customHeight="1" spans="1:22">
      <c r="A418" s="62">
        <v>46217</v>
      </c>
      <c r="B418" s="63" t="s">
        <v>52</v>
      </c>
      <c r="C418" s="64">
        <v>47039</v>
      </c>
      <c r="D418" s="66">
        <v>47039</v>
      </c>
      <c r="E418" s="67" t="s">
        <v>1735</v>
      </c>
      <c r="F418" s="67">
        <v>470725</v>
      </c>
      <c r="G418" s="67" t="s">
        <v>1736</v>
      </c>
      <c r="H418" s="67">
        <v>750</v>
      </c>
      <c r="I418" s="68">
        <v>3000</v>
      </c>
      <c r="J418" s="68" t="s">
        <v>32</v>
      </c>
      <c r="K418" s="68" t="s">
        <v>33</v>
      </c>
      <c r="L418" s="69">
        <v>750</v>
      </c>
      <c r="M418" s="65">
        <v>8.0325</v>
      </c>
      <c r="N418" s="69" t="s">
        <v>34</v>
      </c>
      <c r="O418" s="67"/>
      <c r="P418" s="74"/>
      <c r="Q418" s="71" t="e">
        <f>VLOOKUP($F418,[5]装箱单!$A:$E,5,0)</f>
        <v>#N/A</v>
      </c>
      <c r="R418" s="71" t="e">
        <f>VLOOKUP($F418,[5]装箱单!$A:$F,6,0)</f>
        <v>#N/A</v>
      </c>
      <c r="S418" s="71" t="e">
        <f>VLOOKUP($F418,[5]装箱单!$A:$G,7,0)</f>
        <v>#N/A</v>
      </c>
      <c r="T418" s="72" t="e">
        <f>VLOOKUP($F418,[5]装箱单!$A:$J,10,0)</f>
        <v>#N/A</v>
      </c>
      <c r="U418" s="73" t="e">
        <f t="shared" si="79"/>
        <v>#N/A</v>
      </c>
      <c r="V418" s="12"/>
    </row>
    <row r="419" s="1" customFormat="1" ht="29.1" customHeight="1" spans="1:22">
      <c r="A419" s="62">
        <v>46217</v>
      </c>
      <c r="B419" s="63" t="s">
        <v>52</v>
      </c>
      <c r="C419" s="64">
        <v>46906</v>
      </c>
      <c r="D419" s="66">
        <v>46906</v>
      </c>
      <c r="E419" s="67" t="s">
        <v>1737</v>
      </c>
      <c r="F419" s="67">
        <v>320628</v>
      </c>
      <c r="G419" s="67" t="s">
        <v>1738</v>
      </c>
      <c r="H419" s="67">
        <v>750</v>
      </c>
      <c r="I419" s="68">
        <v>3000</v>
      </c>
      <c r="J419" s="68" t="s">
        <v>32</v>
      </c>
      <c r="K419" s="68" t="s">
        <v>33</v>
      </c>
      <c r="L419" s="69">
        <v>750</v>
      </c>
      <c r="M419" s="65">
        <v>7.0872858</v>
      </c>
      <c r="N419" s="69" t="s">
        <v>34</v>
      </c>
      <c r="O419" s="67"/>
      <c r="P419" s="74"/>
      <c r="Q419" s="71" t="e">
        <f>VLOOKUP($F419,[5]装箱单!$A:$E,5,0)</f>
        <v>#N/A</v>
      </c>
      <c r="R419" s="71" t="e">
        <f>VLOOKUP($F419,[5]装箱单!$A:$F,6,0)</f>
        <v>#N/A</v>
      </c>
      <c r="S419" s="71" t="e">
        <f>VLOOKUP($F419,[5]装箱单!$A:$G,7,0)</f>
        <v>#N/A</v>
      </c>
      <c r="T419" s="72" t="e">
        <f>VLOOKUP($F419,[5]装箱单!$A:$J,10,0)</f>
        <v>#N/A</v>
      </c>
      <c r="U419" s="73" t="e">
        <f t="shared" si="79"/>
        <v>#N/A</v>
      </c>
      <c r="V419" s="12"/>
    </row>
    <row r="420" s="1" customFormat="1" ht="29.1" customHeight="1" spans="1:22">
      <c r="A420" s="62">
        <v>46217</v>
      </c>
      <c r="B420" s="63" t="s">
        <v>52</v>
      </c>
      <c r="C420" s="64">
        <v>47035</v>
      </c>
      <c r="D420" s="66">
        <v>47035</v>
      </c>
      <c r="E420" s="67" t="s">
        <v>1666</v>
      </c>
      <c r="F420" s="67">
        <v>320628</v>
      </c>
      <c r="G420" s="67" t="s">
        <v>1738</v>
      </c>
      <c r="H420" s="67">
        <v>750</v>
      </c>
      <c r="I420" s="68">
        <v>3000</v>
      </c>
      <c r="J420" s="68" t="s">
        <v>32</v>
      </c>
      <c r="K420" s="68" t="s">
        <v>33</v>
      </c>
      <c r="L420" s="69">
        <v>750</v>
      </c>
      <c r="M420" s="65">
        <v>7.0872858</v>
      </c>
      <c r="N420" s="69" t="s">
        <v>34</v>
      </c>
      <c r="O420" s="67"/>
      <c r="P420" s="74"/>
      <c r="Q420" s="71" t="e">
        <f>VLOOKUP($F420,[5]装箱单!$A:$E,5,0)</f>
        <v>#N/A</v>
      </c>
      <c r="R420" s="71" t="e">
        <f>VLOOKUP($F420,[5]装箱单!$A:$F,6,0)</f>
        <v>#N/A</v>
      </c>
      <c r="S420" s="71" t="e">
        <f>VLOOKUP($F420,[5]装箱单!$A:$G,7,0)</f>
        <v>#N/A</v>
      </c>
      <c r="T420" s="72" t="e">
        <f>VLOOKUP($F420,[5]装箱单!$A:$J,10,0)</f>
        <v>#N/A</v>
      </c>
      <c r="U420" s="73" t="e">
        <f t="shared" si="79"/>
        <v>#N/A</v>
      </c>
      <c r="V420" s="12"/>
    </row>
    <row r="421" s="1" customFormat="1" ht="29.1" customHeight="1" spans="1:22">
      <c r="A421" s="62">
        <v>46217</v>
      </c>
      <c r="B421" s="63" t="s">
        <v>52</v>
      </c>
      <c r="C421" s="64">
        <v>47100</v>
      </c>
      <c r="D421" s="64">
        <v>47100</v>
      </c>
      <c r="E421" s="66" t="s">
        <v>1739</v>
      </c>
      <c r="F421" s="66">
        <v>570974</v>
      </c>
      <c r="G421" s="67" t="s">
        <v>896</v>
      </c>
      <c r="H421" s="67">
        <v>2520</v>
      </c>
      <c r="I421" s="68">
        <v>160</v>
      </c>
      <c r="J421" s="68" t="s">
        <v>32</v>
      </c>
      <c r="K421" s="68" t="s">
        <v>33</v>
      </c>
      <c r="L421" s="69">
        <v>160</v>
      </c>
      <c r="M421" s="65">
        <v>13.7479284096</v>
      </c>
      <c r="N421" s="69" t="s">
        <v>34</v>
      </c>
      <c r="O421" s="67"/>
      <c r="P421" s="74"/>
      <c r="Q421" s="71" t="e">
        <f>VLOOKUP($F421,[5]装箱单!$A:$E,5,0)</f>
        <v>#N/A</v>
      </c>
      <c r="R421" s="71" t="e">
        <f>VLOOKUP($F421,[5]装箱单!$A:$F,6,0)</f>
        <v>#N/A</v>
      </c>
      <c r="S421" s="71" t="e">
        <f>VLOOKUP($F421,[5]装箱单!$A:$G,7,0)</f>
        <v>#N/A</v>
      </c>
      <c r="T421" s="72" t="e">
        <f>VLOOKUP($F421,[5]装箱单!$A:$J,10,0)</f>
        <v>#N/A</v>
      </c>
      <c r="U421" s="73" t="e">
        <f t="shared" si="79"/>
        <v>#N/A</v>
      </c>
      <c r="V421" s="12"/>
    </row>
    <row r="422" s="1" customFormat="1" ht="29.1" customHeight="1" spans="1:22">
      <c r="A422" s="62">
        <v>46217</v>
      </c>
      <c r="B422" s="63" t="s">
        <v>1740</v>
      </c>
      <c r="C422" s="64" t="s">
        <v>1741</v>
      </c>
      <c r="D422" s="66" t="s">
        <v>1742</v>
      </c>
      <c r="E422" s="66">
        <v>7000998832</v>
      </c>
      <c r="F422" s="66">
        <v>33410</v>
      </c>
      <c r="G422" s="67" t="s">
        <v>886</v>
      </c>
      <c r="H422" s="67">
        <v>1550</v>
      </c>
      <c r="I422" s="68">
        <f>+L422*400</f>
        <v>64800</v>
      </c>
      <c r="J422" s="68" t="s">
        <v>32</v>
      </c>
      <c r="K422" s="68" t="s">
        <v>33</v>
      </c>
      <c r="L422" s="69">
        <v>162</v>
      </c>
      <c r="M422" s="65">
        <v>49.974306048</v>
      </c>
      <c r="N422" s="69" t="s">
        <v>34</v>
      </c>
      <c r="O422" s="67"/>
      <c r="P422" s="74"/>
      <c r="Q422" s="71" t="e">
        <f>VLOOKUP($F422,[5]装箱单!$A:$E,5,0)</f>
        <v>#N/A</v>
      </c>
      <c r="R422" s="71" t="e">
        <f>VLOOKUP($F422,[5]装箱单!$A:$F,6,0)</f>
        <v>#N/A</v>
      </c>
      <c r="S422" s="71" t="e">
        <f>VLOOKUP($F422,[5]装箱单!$A:$G,7,0)</f>
        <v>#N/A</v>
      </c>
      <c r="T422" s="72" t="e">
        <f>VLOOKUP($F422,[5]装箱单!$A:$J,10,0)</f>
        <v>#N/A</v>
      </c>
      <c r="U422" s="73" t="e">
        <f t="shared" si="79"/>
        <v>#N/A</v>
      </c>
      <c r="V422" s="12"/>
    </row>
    <row r="423" s="1" customFormat="1" ht="29.1" customHeight="1" spans="1:22">
      <c r="A423" s="62">
        <v>46217</v>
      </c>
      <c r="B423" s="63" t="s">
        <v>1743</v>
      </c>
      <c r="C423" s="64"/>
      <c r="D423" s="66"/>
      <c r="E423" s="66"/>
      <c r="F423" s="66">
        <v>11369</v>
      </c>
      <c r="G423" s="67" t="s">
        <v>1744</v>
      </c>
      <c r="H423" s="67">
        <v>1</v>
      </c>
      <c r="I423" s="67">
        <v>1</v>
      </c>
      <c r="J423" s="68" t="s">
        <v>32</v>
      </c>
      <c r="K423" s="68" t="s">
        <v>218</v>
      </c>
      <c r="L423" s="69"/>
      <c r="M423" s="65">
        <v>1</v>
      </c>
      <c r="N423" s="69"/>
      <c r="O423" s="67"/>
      <c r="P423" s="74"/>
      <c r="Q423" s="71"/>
      <c r="R423" s="71"/>
      <c r="S423" s="71"/>
      <c r="T423" s="72"/>
      <c r="U423" s="73"/>
      <c r="V423" s="12"/>
    </row>
    <row r="424" s="1" customFormat="1" ht="29.1" customHeight="1" spans="1:22">
      <c r="A424" s="62">
        <v>46217</v>
      </c>
      <c r="B424" s="63" t="s">
        <v>1743</v>
      </c>
      <c r="C424" s="64"/>
      <c r="D424" s="66"/>
      <c r="E424" s="66"/>
      <c r="F424" s="66">
        <v>28483</v>
      </c>
      <c r="G424" s="67" t="s">
        <v>1745</v>
      </c>
      <c r="H424" s="67">
        <v>1</v>
      </c>
      <c r="I424" s="67">
        <v>1</v>
      </c>
      <c r="J424" s="68" t="s">
        <v>32</v>
      </c>
      <c r="K424" s="68" t="s">
        <v>218</v>
      </c>
      <c r="L424" s="69"/>
      <c r="M424" s="65">
        <v>1</v>
      </c>
      <c r="N424" s="69"/>
      <c r="O424" s="67"/>
      <c r="P424" s="74"/>
      <c r="Q424" s="71"/>
      <c r="R424" s="71"/>
      <c r="S424" s="71"/>
      <c r="T424" s="72"/>
      <c r="U424" s="73"/>
      <c r="V424" s="12"/>
    </row>
    <row r="425" s="1" customFormat="1" ht="29.1" customHeight="1" spans="1:22">
      <c r="A425" s="62"/>
      <c r="B425" s="63"/>
      <c r="C425" s="64"/>
      <c r="D425" s="66"/>
      <c r="E425" s="66"/>
      <c r="F425" s="66"/>
      <c r="G425" s="67"/>
      <c r="H425" s="67"/>
      <c r="I425" s="68"/>
      <c r="J425" s="68"/>
      <c r="K425" s="68"/>
      <c r="L425" s="69"/>
      <c r="M425" s="65">
        <f>SUM(M414:M422)</f>
        <v>123.6289848576</v>
      </c>
      <c r="N425" s="69"/>
      <c r="O425" s="67"/>
      <c r="P425" s="75"/>
      <c r="Q425" s="71"/>
      <c r="R425" s="71"/>
      <c r="S425" s="71"/>
      <c r="T425" s="72"/>
      <c r="U425" s="73"/>
      <c r="V425" s="12"/>
    </row>
    <row r="426" s="1" customFormat="1" ht="29.1" customHeight="1" spans="1:22">
      <c r="A426" s="62">
        <v>46218</v>
      </c>
      <c r="B426" s="63" t="s">
        <v>1740</v>
      </c>
      <c r="C426" s="64" t="s">
        <v>1741</v>
      </c>
      <c r="D426" s="66" t="s">
        <v>1742</v>
      </c>
      <c r="E426" s="66">
        <v>7000998832</v>
      </c>
      <c r="F426" s="66">
        <v>33410</v>
      </c>
      <c r="G426" s="67" t="s">
        <v>886</v>
      </c>
      <c r="H426" s="67">
        <v>1550</v>
      </c>
      <c r="I426" s="68">
        <f>+L426*400</f>
        <v>156400</v>
      </c>
      <c r="J426" s="68" t="s">
        <v>32</v>
      </c>
      <c r="K426" s="68" t="s">
        <v>33</v>
      </c>
      <c r="L426" s="69">
        <v>391</v>
      </c>
      <c r="M426" s="65">
        <v>122.1247104048</v>
      </c>
      <c r="N426" s="69" t="s">
        <v>34</v>
      </c>
      <c r="O426" s="67"/>
      <c r="P426" s="70" t="s">
        <v>477</v>
      </c>
      <c r="Q426" s="71" t="e">
        <f>VLOOKUP($F426,[5]装箱单!$A:$E,5,0)</f>
        <v>#N/A</v>
      </c>
      <c r="R426" s="71" t="e">
        <f>VLOOKUP($F426,[5]装箱单!$A:$F,6,0)</f>
        <v>#N/A</v>
      </c>
      <c r="S426" s="71" t="e">
        <f>VLOOKUP($F426,[5]装箱单!$A:$G,7,0)</f>
        <v>#N/A</v>
      </c>
      <c r="T426" s="72" t="e">
        <f>VLOOKUP($F426,[5]装箱单!$A:$J,10,0)</f>
        <v>#N/A</v>
      </c>
      <c r="U426" s="73" t="e">
        <f t="shared" ref="U426:U430" si="80">+T426*L426</f>
        <v>#N/A</v>
      </c>
      <c r="V426" s="12"/>
    </row>
    <row r="427" s="1" customFormat="1" ht="29.1" customHeight="1" spans="1:22">
      <c r="A427" s="62"/>
      <c r="B427" s="63"/>
      <c r="C427" s="64"/>
      <c r="D427" s="66"/>
      <c r="E427" s="66"/>
      <c r="F427" s="66"/>
      <c r="G427" s="67"/>
      <c r="H427" s="67"/>
      <c r="I427" s="68"/>
      <c r="J427" s="68"/>
      <c r="K427" s="68"/>
      <c r="L427" s="69"/>
      <c r="M427" s="65"/>
      <c r="N427" s="69"/>
      <c r="O427" s="67"/>
      <c r="P427" s="75"/>
      <c r="Q427" s="71"/>
      <c r="R427" s="71"/>
      <c r="S427" s="71"/>
      <c r="T427" s="72"/>
      <c r="U427" s="73"/>
      <c r="V427" s="12"/>
    </row>
    <row r="428" s="1" customFormat="1" ht="29.1" customHeight="1" spans="1:22">
      <c r="A428" s="62">
        <v>46219</v>
      </c>
      <c r="B428" s="63" t="s">
        <v>1740</v>
      </c>
      <c r="C428" s="64" t="s">
        <v>1741</v>
      </c>
      <c r="D428" s="66" t="s">
        <v>1742</v>
      </c>
      <c r="E428" s="66">
        <v>7000998832</v>
      </c>
      <c r="F428" s="66">
        <v>33410</v>
      </c>
      <c r="G428" s="67" t="s">
        <v>886</v>
      </c>
      <c r="H428" s="67">
        <v>1550</v>
      </c>
      <c r="I428" s="68">
        <f>+L428*400</f>
        <v>159600</v>
      </c>
      <c r="J428" s="68" t="s">
        <v>32</v>
      </c>
      <c r="K428" s="68" t="s">
        <v>33</v>
      </c>
      <c r="L428" s="69">
        <v>399</v>
      </c>
      <c r="M428" s="65">
        <v>124.6234257072</v>
      </c>
      <c r="N428" s="69" t="s">
        <v>34</v>
      </c>
      <c r="O428" s="67"/>
      <c r="P428" s="70" t="s">
        <v>1746</v>
      </c>
      <c r="Q428" s="71" t="e">
        <f>VLOOKUP($F428,[5]装箱单!$A:$E,5,0)</f>
        <v>#N/A</v>
      </c>
      <c r="R428" s="71" t="e">
        <f>VLOOKUP($F428,[5]装箱单!$A:$F,6,0)</f>
        <v>#N/A</v>
      </c>
      <c r="S428" s="71" t="e">
        <f>VLOOKUP($F428,[5]装箱单!$A:$G,7,0)</f>
        <v>#N/A</v>
      </c>
      <c r="T428" s="72" t="e">
        <f>VLOOKUP($F428,[5]装箱单!$A:$J,10,0)</f>
        <v>#N/A</v>
      </c>
      <c r="U428" s="73" t="e">
        <f t="shared" si="80"/>
        <v>#N/A</v>
      </c>
      <c r="V428" s="12"/>
    </row>
    <row r="429" s="1" customFormat="1" ht="29.1" customHeight="1" spans="1:22">
      <c r="A429" s="62"/>
      <c r="B429" s="63"/>
      <c r="C429" s="64"/>
      <c r="D429" s="66"/>
      <c r="E429" s="66"/>
      <c r="F429" s="66"/>
      <c r="G429" s="67"/>
      <c r="H429" s="67"/>
      <c r="I429" s="68"/>
      <c r="J429" s="68"/>
      <c r="K429" s="68"/>
      <c r="L429" s="69"/>
      <c r="M429" s="65">
        <f>+M428</f>
        <v>124.6234257072</v>
      </c>
      <c r="N429" s="69"/>
      <c r="O429" s="67"/>
      <c r="P429" s="75"/>
      <c r="Q429" s="71"/>
      <c r="R429" s="71"/>
      <c r="S429" s="71"/>
      <c r="T429" s="72"/>
      <c r="U429" s="73"/>
      <c r="V429" s="12"/>
    </row>
    <row r="430" s="1" customFormat="1" ht="29.1" customHeight="1" spans="1:22">
      <c r="A430" s="62">
        <v>46220</v>
      </c>
      <c r="B430" s="63" t="s">
        <v>1740</v>
      </c>
      <c r="C430" s="64" t="s">
        <v>1741</v>
      </c>
      <c r="D430" s="66" t="s">
        <v>1742</v>
      </c>
      <c r="E430" s="66">
        <v>7000998832</v>
      </c>
      <c r="F430" s="66">
        <v>33410</v>
      </c>
      <c r="G430" s="67" t="str">
        <f>VLOOKUP(F430,[5]装箱单!$A:$C,3,0)</f>
        <v>搪胶小鸭</v>
      </c>
      <c r="H430" s="67">
        <v>1550</v>
      </c>
      <c r="I430" s="68">
        <f>+L430*400</f>
        <v>159600</v>
      </c>
      <c r="J430" s="68" t="s">
        <v>32</v>
      </c>
      <c r="K430" s="68" t="s">
        <v>33</v>
      </c>
      <c r="L430" s="69">
        <v>399</v>
      </c>
      <c r="M430" s="65">
        <f t="shared" ref="M430:M434" si="81">+U430</f>
        <v>124.6234257072</v>
      </c>
      <c r="N430" s="69" t="s">
        <v>34</v>
      </c>
      <c r="O430" s="67"/>
      <c r="P430" s="70" t="s">
        <v>1421</v>
      </c>
      <c r="Q430" s="71">
        <f>VLOOKUP($F430,[5]装箱单!$A:$E,5,0)</f>
        <v>52.83</v>
      </c>
      <c r="R430" s="71">
        <f>VLOOKUP($F430,[5]装箱单!$A:$F,6,0)</f>
        <v>52.32</v>
      </c>
      <c r="S430" s="71">
        <f>VLOOKUP($F430,[5]装箱单!$A:$G,7,0)</f>
        <v>113</v>
      </c>
      <c r="T430" s="72">
        <f>VLOOKUP($F430,[5]装箱单!$A:$J,10,0)</f>
        <v>0.3123394128</v>
      </c>
      <c r="U430" s="73">
        <f t="shared" si="80"/>
        <v>124.6234257072</v>
      </c>
      <c r="V430" s="12"/>
    </row>
    <row r="431" s="1" customFormat="1" ht="29.1" customHeight="1" spans="1:22">
      <c r="A431" s="62"/>
      <c r="B431" s="63"/>
      <c r="C431" s="64"/>
      <c r="D431" s="66"/>
      <c r="E431" s="66"/>
      <c r="F431" s="66"/>
      <c r="G431" s="67"/>
      <c r="H431" s="67"/>
      <c r="I431" s="68"/>
      <c r="J431" s="68"/>
      <c r="K431" s="68"/>
      <c r="L431" s="69"/>
      <c r="M431" s="65">
        <f>+M430</f>
        <v>124.6234257072</v>
      </c>
      <c r="N431" s="69"/>
      <c r="O431" s="67"/>
      <c r="P431" s="75"/>
      <c r="Q431" s="71"/>
      <c r="R431" s="71"/>
      <c r="S431" s="71"/>
      <c r="T431" s="72"/>
      <c r="U431" s="73"/>
      <c r="V431" s="12"/>
    </row>
    <row r="432" s="1" customFormat="1" ht="29.1" customHeight="1" spans="1:22">
      <c r="A432" s="62">
        <v>46220</v>
      </c>
      <c r="B432" s="63" t="s">
        <v>1740</v>
      </c>
      <c r="C432" s="64" t="s">
        <v>1741</v>
      </c>
      <c r="D432" s="66" t="s">
        <v>1742</v>
      </c>
      <c r="E432" s="66">
        <v>7000998832</v>
      </c>
      <c r="F432" s="66">
        <v>33410</v>
      </c>
      <c r="G432" s="67" t="str">
        <f>VLOOKUP(F432,[5]装箱单!$A:$C,3,0)</f>
        <v>搪胶小鸭</v>
      </c>
      <c r="H432" s="67">
        <v>1550</v>
      </c>
      <c r="I432" s="68">
        <f>+L432*400</f>
        <v>79600</v>
      </c>
      <c r="J432" s="68" t="s">
        <v>32</v>
      </c>
      <c r="K432" s="68" t="s">
        <v>33</v>
      </c>
      <c r="L432" s="69">
        <f>1550-162-391-399-399</f>
        <v>199</v>
      </c>
      <c r="M432" s="65">
        <f t="shared" si="81"/>
        <v>62.1555431472</v>
      </c>
      <c r="N432" s="69" t="s">
        <v>34</v>
      </c>
      <c r="O432" s="67" t="s">
        <v>62</v>
      </c>
      <c r="P432" s="70" t="s">
        <v>1747</v>
      </c>
      <c r="Q432" s="71">
        <f>VLOOKUP($F432,[5]装箱单!$A:$E,5,0)</f>
        <v>52.83</v>
      </c>
      <c r="R432" s="71">
        <f>VLOOKUP($F432,[5]装箱单!$A:$F,6,0)</f>
        <v>52.32</v>
      </c>
      <c r="S432" s="71">
        <f>VLOOKUP($F432,[5]装箱单!$A:$G,7,0)</f>
        <v>113</v>
      </c>
      <c r="T432" s="72">
        <f>VLOOKUP($F432,[5]装箱单!$A:$J,10,0)</f>
        <v>0.3123394128</v>
      </c>
      <c r="U432" s="73">
        <f t="shared" ref="U432:U434" si="82">+T432*L432</f>
        <v>62.1555431472</v>
      </c>
      <c r="V432" s="12"/>
    </row>
    <row r="433" s="1" customFormat="1" ht="29.1" customHeight="1" spans="1:22">
      <c r="A433" s="62">
        <v>46220</v>
      </c>
      <c r="B433" s="63" t="s">
        <v>1373</v>
      </c>
      <c r="C433" s="64" t="s">
        <v>1748</v>
      </c>
      <c r="D433" s="66" t="s">
        <v>1749</v>
      </c>
      <c r="E433" s="66">
        <v>2592520</v>
      </c>
      <c r="F433" s="66">
        <v>46094</v>
      </c>
      <c r="G433" s="67" t="str">
        <f>VLOOKUP(F433,[5]装箱单!$A:$C,3,0)</f>
        <v>漫威系列</v>
      </c>
      <c r="H433" s="67">
        <v>1659</v>
      </c>
      <c r="I433" s="68">
        <f>+L433*2</f>
        <v>3318</v>
      </c>
      <c r="J433" s="68" t="s">
        <v>32</v>
      </c>
      <c r="K433" s="68" t="s">
        <v>33</v>
      </c>
      <c r="L433" s="69">
        <v>1659</v>
      </c>
      <c r="M433" s="65">
        <f t="shared" si="81"/>
        <v>37.104726215088</v>
      </c>
      <c r="N433" s="69" t="s">
        <v>34</v>
      </c>
      <c r="O433" s="67"/>
      <c r="P433" s="74"/>
      <c r="Q433" s="71">
        <f>VLOOKUP($F433,[5]装箱单!$A:$E,5,0)</f>
        <v>40.01</v>
      </c>
      <c r="R433" s="71">
        <f>VLOOKUP($F433,[5]装箱单!$A:$F,6,0)</f>
        <v>26.67</v>
      </c>
      <c r="S433" s="71">
        <f>VLOOKUP($F433,[5]装箱单!$A:$G,7,0)</f>
        <v>20.96</v>
      </c>
      <c r="T433" s="72">
        <f>VLOOKUP($F433,[5]装箱单!$A:$J,10,0)</f>
        <v>0.022365718032</v>
      </c>
      <c r="U433" s="73">
        <f t="shared" si="82"/>
        <v>37.104726215088</v>
      </c>
      <c r="V433" s="12"/>
    </row>
    <row r="434" s="1" customFormat="1" ht="29.1" customHeight="1" spans="1:22">
      <c r="A434" s="62">
        <v>46220</v>
      </c>
      <c r="B434" s="63" t="s">
        <v>1373</v>
      </c>
      <c r="C434" s="64" t="s">
        <v>1750</v>
      </c>
      <c r="D434" s="66" t="s">
        <v>1724</v>
      </c>
      <c r="E434" s="66">
        <v>2592523</v>
      </c>
      <c r="F434" s="66">
        <v>46132</v>
      </c>
      <c r="G434" s="67" t="str">
        <f>VLOOKUP(F434,[5]装箱单!$A:$C,3,0)</f>
        <v>赛车总动员系列</v>
      </c>
      <c r="H434" s="67">
        <v>1730</v>
      </c>
      <c r="I434" s="68">
        <f>+L434*2</f>
        <v>3460</v>
      </c>
      <c r="J434" s="68" t="s">
        <v>32</v>
      </c>
      <c r="K434" s="68" t="s">
        <v>33</v>
      </c>
      <c r="L434" s="69">
        <v>1730</v>
      </c>
      <c r="M434" s="65">
        <f t="shared" si="81"/>
        <v>38.69269219536</v>
      </c>
      <c r="N434" s="69" t="s">
        <v>34</v>
      </c>
      <c r="O434" s="67"/>
      <c r="P434" s="74"/>
      <c r="Q434" s="71">
        <f>VLOOKUP($F434,[5]装箱单!$A:$E,5,0)</f>
        <v>40.01</v>
      </c>
      <c r="R434" s="71">
        <f>VLOOKUP($F434,[5]装箱单!$A:$F,6,0)</f>
        <v>26.67</v>
      </c>
      <c r="S434" s="71">
        <f>VLOOKUP($F434,[5]装箱单!$A:$G,7,0)</f>
        <v>20.96</v>
      </c>
      <c r="T434" s="72">
        <f>VLOOKUP($F434,[5]装箱单!$A:$J,10,0)</f>
        <v>0.022365718032</v>
      </c>
      <c r="U434" s="73">
        <f t="shared" si="82"/>
        <v>38.69269219536</v>
      </c>
      <c r="V434" s="12"/>
    </row>
    <row r="435" s="1" customFormat="1" ht="29.1" customHeight="1" spans="1:22">
      <c r="A435" s="62"/>
      <c r="B435" s="63"/>
      <c r="C435" s="64"/>
      <c r="D435" s="66"/>
      <c r="E435" s="66"/>
      <c r="F435" s="66"/>
      <c r="G435" s="67"/>
      <c r="H435" s="67"/>
      <c r="I435" s="68"/>
      <c r="J435" s="68"/>
      <c r="K435" s="68"/>
      <c r="L435" s="69"/>
      <c r="M435" s="65">
        <f>SUM(M432:M434)</f>
        <v>137.952961557648</v>
      </c>
      <c r="N435" s="69"/>
      <c r="O435" s="67"/>
      <c r="P435" s="75"/>
      <c r="Q435" s="71"/>
      <c r="R435" s="71"/>
      <c r="S435" s="71"/>
      <c r="T435" s="72"/>
      <c r="U435" s="73"/>
      <c r="V435" s="12"/>
    </row>
    <row r="436" s="1" customFormat="1" ht="29.1" customHeight="1" spans="1:22">
      <c r="A436" s="62">
        <v>46221</v>
      </c>
      <c r="B436" s="63" t="s">
        <v>1751</v>
      </c>
      <c r="C436" s="64" t="s">
        <v>1752</v>
      </c>
      <c r="D436" s="66" t="s">
        <v>1753</v>
      </c>
      <c r="E436" s="66">
        <v>999612610</v>
      </c>
      <c r="F436" s="66">
        <v>28483</v>
      </c>
      <c r="G436" s="67" t="str">
        <f>VLOOKUP(F436,[5]装箱单!$A:$C,3,0)</f>
        <v>振动球</v>
      </c>
      <c r="H436" s="67">
        <v>3060</v>
      </c>
      <c r="I436" s="68">
        <f t="shared" ref="I436:I438" si="83">+L436</f>
        <v>3060</v>
      </c>
      <c r="J436" s="68" t="s">
        <v>32</v>
      </c>
      <c r="K436" s="68" t="s">
        <v>33</v>
      </c>
      <c r="L436" s="69">
        <v>3060</v>
      </c>
      <c r="M436" s="65">
        <f t="shared" ref="M436:M441" si="84">+U436</f>
        <v>17.6644314</v>
      </c>
      <c r="N436" s="69" t="s">
        <v>34</v>
      </c>
      <c r="O436" s="67" t="s">
        <v>1754</v>
      </c>
      <c r="P436" s="70" t="s">
        <v>1755</v>
      </c>
      <c r="Q436" s="71">
        <f>VLOOKUP($F436,[5]装箱单!$A:$E,5,0)</f>
        <v>16.83</v>
      </c>
      <c r="R436" s="71">
        <f>VLOOKUP($F436,[5]装箱单!$A:$F,6,0)</f>
        <v>17.15</v>
      </c>
      <c r="S436" s="71">
        <f>VLOOKUP($F436,[5]装箱单!$A:$G,7,0)</f>
        <v>20</v>
      </c>
      <c r="T436" s="72">
        <f>VLOOKUP($F436,[5]装箱单!$A:$J,10,0)</f>
        <v>0.00577269</v>
      </c>
      <c r="U436" s="73">
        <f t="shared" ref="U436:U441" si="85">+T436*L436</f>
        <v>17.6644314</v>
      </c>
      <c r="V436" s="12"/>
    </row>
    <row r="437" s="1" customFormat="1" ht="29.1" customHeight="1" spans="1:22">
      <c r="A437" s="62">
        <v>46221</v>
      </c>
      <c r="B437" s="63" t="s">
        <v>1751</v>
      </c>
      <c r="C437" s="64" t="s">
        <v>1756</v>
      </c>
      <c r="D437" s="66" t="s">
        <v>1757</v>
      </c>
      <c r="E437" s="66">
        <v>999612613</v>
      </c>
      <c r="F437" s="66">
        <v>28483</v>
      </c>
      <c r="G437" s="67" t="str">
        <f>VLOOKUP(F437,[5]装箱单!$A:$C,3,0)</f>
        <v>振动球</v>
      </c>
      <c r="H437" s="67">
        <v>2880</v>
      </c>
      <c r="I437" s="68">
        <f t="shared" si="83"/>
        <v>2880</v>
      </c>
      <c r="J437" s="68" t="s">
        <v>32</v>
      </c>
      <c r="K437" s="68" t="s">
        <v>33</v>
      </c>
      <c r="L437" s="69">
        <v>2880</v>
      </c>
      <c r="M437" s="65">
        <f t="shared" si="84"/>
        <v>16.6253472</v>
      </c>
      <c r="N437" s="69" t="s">
        <v>34</v>
      </c>
      <c r="O437" s="67" t="s">
        <v>1758</v>
      </c>
      <c r="P437" s="74"/>
      <c r="Q437" s="71">
        <f>VLOOKUP($F437,[5]装箱单!$A:$E,5,0)</f>
        <v>16.83</v>
      </c>
      <c r="R437" s="71">
        <f>VLOOKUP($F437,[5]装箱单!$A:$F,6,0)</f>
        <v>17.15</v>
      </c>
      <c r="S437" s="71">
        <f>VLOOKUP($F437,[5]装箱单!$A:$G,7,0)</f>
        <v>20</v>
      </c>
      <c r="T437" s="72">
        <f>VLOOKUP($F437,[5]装箱单!$A:$J,10,0)</f>
        <v>0.00577269</v>
      </c>
      <c r="U437" s="73">
        <f t="shared" si="85"/>
        <v>16.6253472</v>
      </c>
      <c r="V437" s="12"/>
    </row>
    <row r="438" s="1" customFormat="1" ht="29.1" customHeight="1" spans="1:22">
      <c r="A438" s="62">
        <v>46221</v>
      </c>
      <c r="B438" s="63" t="s">
        <v>1751</v>
      </c>
      <c r="C438" s="64" t="s">
        <v>1759</v>
      </c>
      <c r="D438" s="66" t="s">
        <v>1760</v>
      </c>
      <c r="E438" s="66">
        <v>999612612</v>
      </c>
      <c r="F438" s="66">
        <v>28483</v>
      </c>
      <c r="G438" s="67" t="str">
        <f>VLOOKUP(F438,[5]装箱单!$A:$C,3,0)</f>
        <v>振动球</v>
      </c>
      <c r="H438" s="67">
        <v>2160</v>
      </c>
      <c r="I438" s="68">
        <f t="shared" si="83"/>
        <v>2160</v>
      </c>
      <c r="J438" s="68" t="s">
        <v>32</v>
      </c>
      <c r="K438" s="68" t="s">
        <v>33</v>
      </c>
      <c r="L438" s="69">
        <v>2160</v>
      </c>
      <c r="M438" s="65">
        <f t="shared" si="84"/>
        <v>12.4690104</v>
      </c>
      <c r="N438" s="69" t="s">
        <v>34</v>
      </c>
      <c r="O438" s="67" t="s">
        <v>1754</v>
      </c>
      <c r="P438" s="74"/>
      <c r="Q438" s="71">
        <f>VLOOKUP($F438,[5]装箱单!$A:$E,5,0)</f>
        <v>16.83</v>
      </c>
      <c r="R438" s="71">
        <f>VLOOKUP($F438,[5]装箱单!$A:$F,6,0)</f>
        <v>17.15</v>
      </c>
      <c r="S438" s="71">
        <f>VLOOKUP($F438,[5]装箱单!$A:$G,7,0)</f>
        <v>20</v>
      </c>
      <c r="T438" s="72">
        <f>VLOOKUP($F438,[5]装箱单!$A:$J,10,0)</f>
        <v>0.00577269</v>
      </c>
      <c r="U438" s="73">
        <f t="shared" si="85"/>
        <v>12.4690104</v>
      </c>
      <c r="V438" s="12"/>
    </row>
    <row r="439" s="1" customFormat="1" ht="29.1" customHeight="1" spans="1:22">
      <c r="A439" s="62">
        <v>46221</v>
      </c>
      <c r="B439" s="63" t="s">
        <v>1373</v>
      </c>
      <c r="C439" s="64" t="s">
        <v>1761</v>
      </c>
      <c r="D439" s="66" t="s">
        <v>1762</v>
      </c>
      <c r="E439" s="66">
        <v>2592522</v>
      </c>
      <c r="F439" s="66">
        <v>46462</v>
      </c>
      <c r="G439" s="67" t="str">
        <f>VLOOKUP(F439,[5]装箱单!$A:$C,3,0)</f>
        <v>史迪仔系列</v>
      </c>
      <c r="H439" s="67">
        <v>1932</v>
      </c>
      <c r="I439" s="68">
        <f t="shared" ref="I439:I443" si="86">+L439*2</f>
        <v>3864</v>
      </c>
      <c r="J439" s="68" t="s">
        <v>32</v>
      </c>
      <c r="K439" s="68" t="s">
        <v>33</v>
      </c>
      <c r="L439" s="69">
        <v>1932</v>
      </c>
      <c r="M439" s="65">
        <f t="shared" si="84"/>
        <v>43.210567237824</v>
      </c>
      <c r="N439" s="69" t="s">
        <v>34</v>
      </c>
      <c r="O439" s="67"/>
      <c r="P439" s="74"/>
      <c r="Q439" s="71">
        <f>VLOOKUP($F439,[5]装箱单!$A:$E,5,0)</f>
        <v>40.01</v>
      </c>
      <c r="R439" s="71">
        <f>VLOOKUP($F439,[5]装箱单!$A:$F,6,0)</f>
        <v>26.67</v>
      </c>
      <c r="S439" s="71">
        <f>VLOOKUP($F439,[5]装箱单!$A:$G,7,0)</f>
        <v>20.96</v>
      </c>
      <c r="T439" s="72">
        <f>VLOOKUP($F439,[5]装箱单!$A:$J,10,0)</f>
        <v>0.022365718032</v>
      </c>
      <c r="U439" s="73">
        <f t="shared" si="85"/>
        <v>43.210567237824</v>
      </c>
      <c r="V439" s="12"/>
    </row>
    <row r="440" s="1" customFormat="1" ht="29.1" customHeight="1" spans="1:22">
      <c r="A440" s="62">
        <v>46221</v>
      </c>
      <c r="B440" s="63" t="s">
        <v>1373</v>
      </c>
      <c r="C440" s="64" t="s">
        <v>1763</v>
      </c>
      <c r="D440" s="66" t="s">
        <v>1764</v>
      </c>
      <c r="E440" s="66">
        <v>2592521</v>
      </c>
      <c r="F440" s="66">
        <v>46496</v>
      </c>
      <c r="G440" s="67" t="str">
        <f>VLOOKUP(F440,[5]装箱单!$A:$C,3,0)</f>
        <v>米妮系列</v>
      </c>
      <c r="H440" s="67">
        <v>1535</v>
      </c>
      <c r="I440" s="68">
        <f t="shared" si="86"/>
        <v>3070</v>
      </c>
      <c r="J440" s="68" t="s">
        <v>32</v>
      </c>
      <c r="K440" s="68" t="s">
        <v>33</v>
      </c>
      <c r="L440" s="69">
        <v>1535</v>
      </c>
      <c r="M440" s="65">
        <f t="shared" si="84"/>
        <v>34.33137717912</v>
      </c>
      <c r="N440" s="69" t="s">
        <v>34</v>
      </c>
      <c r="O440" s="67"/>
      <c r="P440" s="74"/>
      <c r="Q440" s="71">
        <f>VLOOKUP($F440,[5]装箱单!$A:$E,5,0)</f>
        <v>40.01</v>
      </c>
      <c r="R440" s="71">
        <f>VLOOKUP($F440,[5]装箱单!$A:$F,6,0)</f>
        <v>26.67</v>
      </c>
      <c r="S440" s="71">
        <f>VLOOKUP($F440,[5]装箱单!$A:$G,7,0)</f>
        <v>20.96</v>
      </c>
      <c r="T440" s="72">
        <f>VLOOKUP($F440,[5]装箱单!$A:$J,10,0)</f>
        <v>0.022365718032</v>
      </c>
      <c r="U440" s="73">
        <f t="shared" si="85"/>
        <v>34.33137717912</v>
      </c>
      <c r="V440" s="12"/>
    </row>
    <row r="441" s="1" customFormat="1" ht="29.1" customHeight="1" spans="1:22">
      <c r="A441" s="62">
        <v>46221</v>
      </c>
      <c r="B441" s="63" t="s">
        <v>415</v>
      </c>
      <c r="C441" s="64" t="s">
        <v>1765</v>
      </c>
      <c r="D441" s="66" t="s">
        <v>1338</v>
      </c>
      <c r="E441" s="66">
        <v>10001796521</v>
      </c>
      <c r="F441" s="67">
        <v>470764</v>
      </c>
      <c r="G441" s="67" t="str">
        <f>VLOOKUP(F441,[5]装箱单!$A:$C,3,0)</f>
        <v>大型自卸车</v>
      </c>
      <c r="H441" s="67">
        <v>1752</v>
      </c>
      <c r="I441" s="68">
        <f>+L441</f>
        <v>888</v>
      </c>
      <c r="J441" s="68" t="s">
        <v>32</v>
      </c>
      <c r="K441" s="68" t="s">
        <v>33</v>
      </c>
      <c r="L441" s="69">
        <v>888</v>
      </c>
      <c r="M441" s="65">
        <f t="shared" si="84"/>
        <v>23.794848</v>
      </c>
      <c r="N441" s="69" t="s">
        <v>34</v>
      </c>
      <c r="O441" s="67"/>
      <c r="P441" s="74"/>
      <c r="Q441" s="71">
        <f>VLOOKUP($F441,[5]装箱单!$A:$E,5,0)</f>
        <v>42</v>
      </c>
      <c r="R441" s="71">
        <f>VLOOKUP($F441,[5]装箱单!$A:$F,6,0)</f>
        <v>22</v>
      </c>
      <c r="S441" s="71">
        <f>VLOOKUP($F441,[5]装箱单!$A:$G,7,0)</f>
        <v>29</v>
      </c>
      <c r="T441" s="72">
        <f>VLOOKUP($F441,[5]装箱单!$A:$J,10,0)</f>
        <v>0.026796</v>
      </c>
      <c r="U441" s="73">
        <f t="shared" si="85"/>
        <v>23.794848</v>
      </c>
      <c r="V441" s="12"/>
    </row>
    <row r="442" s="1" customFormat="1" ht="29.1" customHeight="1" spans="1:22">
      <c r="A442" s="62"/>
      <c r="B442" s="63"/>
      <c r="C442" s="64"/>
      <c r="D442" s="66"/>
      <c r="E442" s="66"/>
      <c r="F442" s="66"/>
      <c r="G442" s="67"/>
      <c r="H442" s="67"/>
      <c r="I442" s="68"/>
      <c r="J442" s="68"/>
      <c r="K442" s="68"/>
      <c r="L442" s="69"/>
      <c r="M442" s="65">
        <f>SUM(M436:M441)</f>
        <v>148.095581416944</v>
      </c>
      <c r="N442" s="69"/>
      <c r="O442" s="67"/>
      <c r="P442" s="75"/>
      <c r="Q442" s="71"/>
      <c r="R442" s="71"/>
      <c r="S442" s="71"/>
      <c r="T442" s="72"/>
      <c r="U442" s="73"/>
      <c r="V442" s="12"/>
    </row>
    <row r="443" s="1" customFormat="1" ht="29.1" customHeight="1" spans="1:22">
      <c r="A443" s="62">
        <v>46221</v>
      </c>
      <c r="B443" s="63" t="s">
        <v>1373</v>
      </c>
      <c r="C443" s="64" t="s">
        <v>1766</v>
      </c>
      <c r="D443" s="66" t="s">
        <v>1767</v>
      </c>
      <c r="E443" s="66">
        <v>2592519</v>
      </c>
      <c r="F443" s="66">
        <v>46092</v>
      </c>
      <c r="G443" s="67" t="str">
        <f>VLOOKUP(F443,[5]装箱单!$A:$C,3,0)</f>
        <v>玩具总动员系列</v>
      </c>
      <c r="H443" s="67">
        <v>2063</v>
      </c>
      <c r="I443" s="68">
        <f t="shared" si="86"/>
        <v>4126</v>
      </c>
      <c r="J443" s="68" t="s">
        <v>32</v>
      </c>
      <c r="K443" s="68" t="s">
        <v>33</v>
      </c>
      <c r="L443" s="69">
        <v>2063</v>
      </c>
      <c r="M443" s="65">
        <f t="shared" ref="M443:M449" si="87">+U443</f>
        <v>46.140476300016</v>
      </c>
      <c r="N443" s="69" t="s">
        <v>34</v>
      </c>
      <c r="O443" s="67"/>
      <c r="P443" s="70" t="s">
        <v>1768</v>
      </c>
      <c r="Q443" s="71">
        <f>VLOOKUP($F443,[5]装箱单!$A:$E,5,0)</f>
        <v>40.01</v>
      </c>
      <c r="R443" s="71">
        <f>VLOOKUP($F443,[5]装箱单!$A:$F,6,0)</f>
        <v>26.67</v>
      </c>
      <c r="S443" s="71">
        <f>VLOOKUP($F443,[5]装箱单!$A:$G,7,0)</f>
        <v>20.96</v>
      </c>
      <c r="T443" s="72">
        <f>VLOOKUP($F443,[5]装箱单!$A:$J,10,0)</f>
        <v>0.022365718032</v>
      </c>
      <c r="U443" s="73">
        <f t="shared" ref="U443:U449" si="88">+T443*L443</f>
        <v>46.140476300016</v>
      </c>
      <c r="V443" s="12"/>
    </row>
    <row r="444" s="1" customFormat="1" ht="29.1" customHeight="1" spans="1:22">
      <c r="A444" s="62">
        <v>46221</v>
      </c>
      <c r="B444" s="63" t="s">
        <v>118</v>
      </c>
      <c r="C444" s="64" t="s">
        <v>1769</v>
      </c>
      <c r="D444" s="66" t="s">
        <v>1770</v>
      </c>
      <c r="E444" s="66" t="s">
        <v>1771</v>
      </c>
      <c r="F444" s="66">
        <v>33865</v>
      </c>
      <c r="G444" s="67" t="s">
        <v>886</v>
      </c>
      <c r="H444" s="67">
        <v>3473</v>
      </c>
      <c r="I444" s="68">
        <v>125028</v>
      </c>
      <c r="J444" s="68" t="s">
        <v>32</v>
      </c>
      <c r="K444" s="68" t="s">
        <v>33</v>
      </c>
      <c r="L444" s="69">
        <v>3473</v>
      </c>
      <c r="M444" s="65">
        <v>35</v>
      </c>
      <c r="N444" s="69" t="s">
        <v>34</v>
      </c>
      <c r="O444" s="67"/>
      <c r="P444" s="74"/>
      <c r="Q444" s="71"/>
      <c r="R444" s="71"/>
      <c r="S444" s="71"/>
      <c r="T444" s="72"/>
      <c r="U444" s="73"/>
      <c r="V444" s="12"/>
    </row>
    <row r="445" s="1" customFormat="1" ht="29.1" customHeight="1" spans="1:22">
      <c r="A445" s="62">
        <v>46221</v>
      </c>
      <c r="B445" s="63" t="s">
        <v>1722</v>
      </c>
      <c r="C445" s="64" t="s">
        <v>1772</v>
      </c>
      <c r="D445" s="66" t="s">
        <v>1773</v>
      </c>
      <c r="E445" s="67" t="s">
        <v>1774</v>
      </c>
      <c r="F445" s="66" t="s">
        <v>1775</v>
      </c>
      <c r="G445" s="67" t="str">
        <f>VLOOKUP(F445,[5]装箱单!$A:$C,3,0)</f>
        <v>鸭子</v>
      </c>
      <c r="H445" s="67">
        <v>1842</v>
      </c>
      <c r="I445" s="68">
        <f>+L445*24</f>
        <v>44208</v>
      </c>
      <c r="J445" s="68" t="s">
        <v>32</v>
      </c>
      <c r="K445" s="68" t="s">
        <v>33</v>
      </c>
      <c r="L445" s="69">
        <v>1842</v>
      </c>
      <c r="M445" s="65">
        <f t="shared" si="87"/>
        <v>5.5793102849055</v>
      </c>
      <c r="N445" s="69" t="s">
        <v>34</v>
      </c>
      <c r="O445" s="67"/>
      <c r="P445" s="74"/>
      <c r="Q445" s="71">
        <f>VLOOKUP($F445,[5]装箱单!$A:$E,5,0)</f>
        <v>20.955</v>
      </c>
      <c r="R445" s="71">
        <f>VLOOKUP($F445,[5]装箱单!$A:$F,6,0)</f>
        <v>17.51</v>
      </c>
      <c r="S445" s="71">
        <f>VLOOKUP($F445,[5]装箱单!$A:$G,7,0)</f>
        <v>8.255</v>
      </c>
      <c r="T445" s="72">
        <f>VLOOKUP($F445,[5]装箱单!$A:$J,10,0)</f>
        <v>0.00302894152275</v>
      </c>
      <c r="U445" s="73">
        <f t="shared" si="88"/>
        <v>5.5793102849055</v>
      </c>
      <c r="V445" s="12"/>
    </row>
    <row r="446" s="1" customFormat="1" ht="29.1" customHeight="1" spans="1:22">
      <c r="A446" s="62">
        <v>46221</v>
      </c>
      <c r="B446" s="63" t="s">
        <v>1382</v>
      </c>
      <c r="C446" s="64" t="s">
        <v>1776</v>
      </c>
      <c r="D446" s="66" t="s">
        <v>1777</v>
      </c>
      <c r="E446" s="67" t="s">
        <v>1778</v>
      </c>
      <c r="F446" s="66" t="s">
        <v>120</v>
      </c>
      <c r="G446" s="67" t="str">
        <f>VLOOKUP(F446,[5]装箱单!$A:$C,3,0)</f>
        <v>搪胶小鸭</v>
      </c>
      <c r="H446" s="67">
        <v>231</v>
      </c>
      <c r="I446" s="68">
        <f>+L446*26</f>
        <v>6006</v>
      </c>
      <c r="J446" s="68" t="s">
        <v>32</v>
      </c>
      <c r="K446" s="68" t="s">
        <v>33</v>
      </c>
      <c r="L446" s="69">
        <v>231</v>
      </c>
      <c r="M446" s="65">
        <f t="shared" si="87"/>
        <v>2.85061702926</v>
      </c>
      <c r="N446" s="69" t="s">
        <v>34</v>
      </c>
      <c r="O446" s="67">
        <v>33596</v>
      </c>
      <c r="P446" s="74"/>
      <c r="Q446" s="71">
        <f>VLOOKUP($F446,[5]装箱单!$A:$E,5,0)</f>
        <v>33.02</v>
      </c>
      <c r="R446" s="71">
        <f>VLOOKUP($F446,[5]装箱单!$A:$F,6,0)</f>
        <v>18.41</v>
      </c>
      <c r="S446" s="71">
        <f>VLOOKUP($F446,[5]装箱单!$A:$G,7,0)</f>
        <v>20.3</v>
      </c>
      <c r="T446" s="72">
        <f>VLOOKUP($F446,[5]装箱单!$A:$J,10,0)</f>
        <v>0.01234033346</v>
      </c>
      <c r="U446" s="73">
        <f t="shared" si="88"/>
        <v>2.85061702926</v>
      </c>
      <c r="V446" s="12"/>
    </row>
    <row r="447" s="1" customFormat="1" ht="29.1" customHeight="1" spans="1:22">
      <c r="A447" s="62">
        <v>46221</v>
      </c>
      <c r="B447" s="63" t="s">
        <v>1382</v>
      </c>
      <c r="C447" s="64" t="s">
        <v>1776</v>
      </c>
      <c r="D447" s="66" t="s">
        <v>1777</v>
      </c>
      <c r="E447" s="67" t="s">
        <v>1778</v>
      </c>
      <c r="F447" s="66" t="s">
        <v>120</v>
      </c>
      <c r="G447" s="67" t="str">
        <f>VLOOKUP(F447,[5]装箱单!$A:$C,3,0)</f>
        <v>搪胶小鸭</v>
      </c>
      <c r="H447" s="67">
        <v>196</v>
      </c>
      <c r="I447" s="68">
        <f>+L447*26</f>
        <v>5096</v>
      </c>
      <c r="J447" s="68" t="s">
        <v>32</v>
      </c>
      <c r="K447" s="68" t="s">
        <v>33</v>
      </c>
      <c r="L447" s="69">
        <v>196</v>
      </c>
      <c r="M447" s="65">
        <f t="shared" si="87"/>
        <v>2.41870535816</v>
      </c>
      <c r="N447" s="69" t="s">
        <v>34</v>
      </c>
      <c r="O447" s="67">
        <v>33643</v>
      </c>
      <c r="P447" s="74"/>
      <c r="Q447" s="71">
        <f>VLOOKUP($F447,[5]装箱单!$A:$E,5,0)</f>
        <v>33.02</v>
      </c>
      <c r="R447" s="71">
        <f>VLOOKUP($F447,[5]装箱单!$A:$F,6,0)</f>
        <v>18.41</v>
      </c>
      <c r="S447" s="71">
        <f>VLOOKUP($F447,[5]装箱单!$A:$G,7,0)</f>
        <v>20.3</v>
      </c>
      <c r="T447" s="72">
        <f>VLOOKUP($F447,[5]装箱单!$A:$J,10,0)</f>
        <v>0.01234033346</v>
      </c>
      <c r="U447" s="73">
        <f t="shared" si="88"/>
        <v>2.41870535816</v>
      </c>
      <c r="V447" s="12"/>
    </row>
    <row r="448" s="1" customFormat="1" ht="29.1" customHeight="1" spans="1:22">
      <c r="A448" s="62">
        <v>46221</v>
      </c>
      <c r="B448" s="63" t="s">
        <v>1779</v>
      </c>
      <c r="C448" s="64" t="s">
        <v>1780</v>
      </c>
      <c r="D448" s="66" t="s">
        <v>1781</v>
      </c>
      <c r="E448" s="66">
        <v>2000010246</v>
      </c>
      <c r="F448" s="66">
        <v>46132</v>
      </c>
      <c r="G448" s="67" t="str">
        <f>VLOOKUP(F448,[5]装箱单!$A:$C,3,0)</f>
        <v>赛车总动员系列</v>
      </c>
      <c r="H448" s="67">
        <v>756</v>
      </c>
      <c r="I448" s="68">
        <f>+L448*2</f>
        <v>936</v>
      </c>
      <c r="J448" s="68" t="s">
        <v>32</v>
      </c>
      <c r="K448" s="68" t="s">
        <v>33</v>
      </c>
      <c r="L448" s="69">
        <v>468</v>
      </c>
      <c r="M448" s="65">
        <f t="shared" si="87"/>
        <v>10.467156038976</v>
      </c>
      <c r="N448" s="69" t="s">
        <v>34</v>
      </c>
      <c r="O448" s="67"/>
      <c r="P448" s="74"/>
      <c r="Q448" s="71">
        <f>VLOOKUP($F448,[5]装箱单!$A:$E,5,0)</f>
        <v>40.01</v>
      </c>
      <c r="R448" s="71">
        <f>VLOOKUP($F448,[5]装箱单!$A:$F,6,0)</f>
        <v>26.67</v>
      </c>
      <c r="S448" s="71">
        <f>VLOOKUP($F448,[5]装箱单!$A:$G,7,0)</f>
        <v>20.96</v>
      </c>
      <c r="T448" s="72">
        <f>VLOOKUP($F448,[5]装箱单!$A:$J,10,0)</f>
        <v>0.022365718032</v>
      </c>
      <c r="U448" s="73">
        <f t="shared" si="88"/>
        <v>10.467156038976</v>
      </c>
      <c r="V448" s="12"/>
    </row>
    <row r="449" s="1" customFormat="1" ht="29.1" customHeight="1" spans="1:22">
      <c r="A449" s="62">
        <v>46221</v>
      </c>
      <c r="B449" s="63" t="s">
        <v>1782</v>
      </c>
      <c r="C449" s="64" t="s">
        <v>1783</v>
      </c>
      <c r="D449" s="66" t="s">
        <v>1784</v>
      </c>
      <c r="E449" s="66">
        <v>999523175</v>
      </c>
      <c r="F449" s="66" t="s">
        <v>306</v>
      </c>
      <c r="G449" s="67" t="str">
        <f>VLOOKUP(F449,[5]装箱单!$A:$C,3,0)</f>
        <v>背包狗</v>
      </c>
      <c r="H449" s="67">
        <v>573</v>
      </c>
      <c r="I449" s="68">
        <v>573</v>
      </c>
      <c r="J449" s="68" t="s">
        <v>32</v>
      </c>
      <c r="K449" s="68" t="s">
        <v>33</v>
      </c>
      <c r="L449" s="69">
        <v>573</v>
      </c>
      <c r="M449" s="65">
        <f t="shared" si="87"/>
        <v>9.031802017005</v>
      </c>
      <c r="N449" s="69" t="s">
        <v>34</v>
      </c>
      <c r="O449" s="67"/>
      <c r="P449" s="74"/>
      <c r="Q449" s="71">
        <f>VLOOKUP($F449,[5]装箱单!$A:$E,5,0)</f>
        <v>24.13</v>
      </c>
      <c r="R449" s="71">
        <f>VLOOKUP($F449,[5]装箱单!$A:$F,6,0)</f>
        <v>19.05</v>
      </c>
      <c r="S449" s="71">
        <f>VLOOKUP($F449,[5]装箱单!$A:$G,7,0)</f>
        <v>34.29</v>
      </c>
      <c r="T449" s="72">
        <f>VLOOKUP($F449,[5]装箱单!$A:$J,10,0)</f>
        <v>0.015762307185</v>
      </c>
      <c r="U449" s="73">
        <f t="shared" si="88"/>
        <v>9.031802017005</v>
      </c>
      <c r="V449" s="12"/>
    </row>
    <row r="450" s="1" customFormat="1" ht="29.1" customHeight="1" spans="1:22">
      <c r="A450" s="62"/>
      <c r="B450" s="63"/>
      <c r="C450" s="64"/>
      <c r="D450" s="66"/>
      <c r="E450" s="66"/>
      <c r="F450" s="66"/>
      <c r="G450" s="67"/>
      <c r="H450" s="67"/>
      <c r="I450" s="68"/>
      <c r="J450" s="68"/>
      <c r="K450" s="68"/>
      <c r="L450" s="69"/>
      <c r="M450" s="65">
        <f>SUM(M443:M449)</f>
        <v>111.488067028322</v>
      </c>
      <c r="N450" s="69"/>
      <c r="O450" s="67"/>
      <c r="P450" s="75"/>
      <c r="Q450" s="71"/>
      <c r="R450" s="71"/>
      <c r="S450" s="71"/>
      <c r="T450" s="72"/>
      <c r="U450" s="73"/>
      <c r="V450" s="12"/>
    </row>
    <row r="451" s="1" customFormat="1" ht="29.1" customHeight="1" spans="1:22">
      <c r="A451" s="62">
        <v>46221</v>
      </c>
      <c r="B451" s="63" t="s">
        <v>1779</v>
      </c>
      <c r="C451" s="64" t="s">
        <v>1780</v>
      </c>
      <c r="D451" s="66" t="s">
        <v>1781</v>
      </c>
      <c r="E451" s="66">
        <v>2000010246</v>
      </c>
      <c r="F451" s="66">
        <v>46132</v>
      </c>
      <c r="G451" s="67" t="str">
        <f>VLOOKUP(F451,[2]装箱单!$A:$C,3,0)</f>
        <v>赛车总动员系列</v>
      </c>
      <c r="H451" s="67">
        <v>756</v>
      </c>
      <c r="I451" s="68">
        <f t="shared" ref="I451:I455" si="89">+L451*2</f>
        <v>576</v>
      </c>
      <c r="J451" s="68" t="s">
        <v>32</v>
      </c>
      <c r="K451" s="68" t="s">
        <v>33</v>
      </c>
      <c r="L451" s="69">
        <f>756-468</f>
        <v>288</v>
      </c>
      <c r="M451" s="65">
        <f t="shared" ref="M451:M455" si="90">+U451</f>
        <v>6.441326793216</v>
      </c>
      <c r="N451" s="69" t="s">
        <v>34</v>
      </c>
      <c r="O451" s="67"/>
      <c r="P451" s="70" t="s">
        <v>1732</v>
      </c>
      <c r="Q451" s="71">
        <f>VLOOKUP($F451,[2]装箱单!$A:$E,5,0)</f>
        <v>40.01</v>
      </c>
      <c r="R451" s="71">
        <f>VLOOKUP($F451,[2]装箱单!$A:$F,6,0)</f>
        <v>26.67</v>
      </c>
      <c r="S451" s="71">
        <f>VLOOKUP($F451,[2]装箱单!$A:$G,7,0)</f>
        <v>20.96</v>
      </c>
      <c r="T451" s="72">
        <f>VLOOKUP($F451,[2]装箱单!$A:$J,10,0)</f>
        <v>0.022365718032</v>
      </c>
      <c r="U451" s="73">
        <f t="shared" ref="U451:U455" si="91">+T451*L451</f>
        <v>6.441326793216</v>
      </c>
      <c r="V451" s="12"/>
    </row>
    <row r="452" s="1" customFormat="1" ht="29.1" customHeight="1" spans="1:22">
      <c r="A452" s="62">
        <v>46221</v>
      </c>
      <c r="B452" s="63" t="s">
        <v>1782</v>
      </c>
      <c r="C452" s="64" t="s">
        <v>1785</v>
      </c>
      <c r="D452" s="66" t="s">
        <v>1786</v>
      </c>
      <c r="E452" s="66">
        <v>996634770</v>
      </c>
      <c r="F452" s="66" t="s">
        <v>179</v>
      </c>
      <c r="G452" s="67" t="str">
        <f>VLOOKUP(F452,[2]装箱单!$A:$C,3,0)</f>
        <v>搪胶小鸭</v>
      </c>
      <c r="H452" s="67">
        <v>2340</v>
      </c>
      <c r="I452" s="68">
        <f>+L452*24</f>
        <v>56160</v>
      </c>
      <c r="J452" s="68" t="s">
        <v>32</v>
      </c>
      <c r="K452" s="68" t="s">
        <v>33</v>
      </c>
      <c r="L452" s="69">
        <v>2340</v>
      </c>
      <c r="M452" s="65">
        <f t="shared" si="90"/>
        <v>31.11966</v>
      </c>
      <c r="N452" s="69" t="s">
        <v>34</v>
      </c>
      <c r="O452" s="67"/>
      <c r="P452" s="74"/>
      <c r="Q452" s="71">
        <f>VLOOKUP($F452,[2]装箱单!$A:$E,5,0)</f>
        <v>31</v>
      </c>
      <c r="R452" s="71">
        <f>VLOOKUP($F452,[2]装箱单!$A:$F,6,0)</f>
        <v>22</v>
      </c>
      <c r="S452" s="71">
        <f>VLOOKUP($F452,[2]装箱单!$A:$G,7,0)</f>
        <v>19.5</v>
      </c>
      <c r="T452" s="72">
        <f>VLOOKUP($F452,[2]装箱单!$A:$J,10,0)</f>
        <v>0.013299</v>
      </c>
      <c r="U452" s="73">
        <f t="shared" si="91"/>
        <v>31.11966</v>
      </c>
      <c r="V452" s="12"/>
    </row>
    <row r="453" s="1" customFormat="1" ht="29.1" customHeight="1" spans="1:22">
      <c r="A453" s="62">
        <v>46221</v>
      </c>
      <c r="B453" s="63" t="s">
        <v>1782</v>
      </c>
      <c r="C453" s="64" t="s">
        <v>1787</v>
      </c>
      <c r="D453" s="66" t="s">
        <v>1788</v>
      </c>
      <c r="E453" s="66">
        <v>996634781</v>
      </c>
      <c r="F453" s="66" t="s">
        <v>179</v>
      </c>
      <c r="G453" s="67" t="str">
        <f>VLOOKUP(F453,[2]装箱单!$A:$C,3,0)</f>
        <v>搪胶小鸭</v>
      </c>
      <c r="H453" s="67">
        <v>1080</v>
      </c>
      <c r="I453" s="68">
        <f>+L453*24</f>
        <v>25920</v>
      </c>
      <c r="J453" s="68" t="s">
        <v>32</v>
      </c>
      <c r="K453" s="68" t="s">
        <v>33</v>
      </c>
      <c r="L453" s="69">
        <v>1080</v>
      </c>
      <c r="M453" s="65">
        <f t="shared" si="90"/>
        <v>14.36292</v>
      </c>
      <c r="N453" s="69" t="s">
        <v>34</v>
      </c>
      <c r="O453" s="67"/>
      <c r="P453" s="74"/>
      <c r="Q453" s="71">
        <f>VLOOKUP($F453,[2]装箱单!$A:$E,5,0)</f>
        <v>31</v>
      </c>
      <c r="R453" s="71">
        <f>VLOOKUP($F453,[2]装箱单!$A:$F,6,0)</f>
        <v>22</v>
      </c>
      <c r="S453" s="71">
        <f>VLOOKUP($F453,[2]装箱单!$A:$G,7,0)</f>
        <v>19.5</v>
      </c>
      <c r="T453" s="72">
        <f>VLOOKUP($F453,[2]装箱单!$A:$J,10,0)</f>
        <v>0.013299</v>
      </c>
      <c r="U453" s="73">
        <f t="shared" si="91"/>
        <v>14.36292</v>
      </c>
      <c r="V453" s="12"/>
    </row>
    <row r="454" s="1" customFormat="1" ht="29.1" customHeight="1" spans="1:22">
      <c r="A454" s="62">
        <v>46221</v>
      </c>
      <c r="B454" s="63" t="s">
        <v>1779</v>
      </c>
      <c r="C454" s="64" t="s">
        <v>1780</v>
      </c>
      <c r="D454" s="66" t="s">
        <v>1781</v>
      </c>
      <c r="E454" s="66">
        <v>2000010246</v>
      </c>
      <c r="F454" s="66">
        <v>46092</v>
      </c>
      <c r="G454" s="67" t="str">
        <f>VLOOKUP(F454,[2]装箱单!$A:$C,3,0)</f>
        <v>玩具总动员系列</v>
      </c>
      <c r="H454" s="67">
        <v>427</v>
      </c>
      <c r="I454" s="68">
        <f t="shared" si="89"/>
        <v>854</v>
      </c>
      <c r="J454" s="68" t="s">
        <v>32</v>
      </c>
      <c r="K454" s="68" t="s">
        <v>33</v>
      </c>
      <c r="L454" s="69">
        <v>427</v>
      </c>
      <c r="M454" s="65">
        <f t="shared" si="90"/>
        <v>9.550161599664</v>
      </c>
      <c r="N454" s="69" t="s">
        <v>34</v>
      </c>
      <c r="O454" s="67"/>
      <c r="P454" s="74"/>
      <c r="Q454" s="71">
        <f>VLOOKUP($F454,[2]装箱单!$A:$E,5,0)</f>
        <v>40.01</v>
      </c>
      <c r="R454" s="71">
        <f>VLOOKUP($F454,[2]装箱单!$A:$F,6,0)</f>
        <v>26.67</v>
      </c>
      <c r="S454" s="71">
        <f>VLOOKUP($F454,[2]装箱单!$A:$G,7,0)</f>
        <v>20.96</v>
      </c>
      <c r="T454" s="72">
        <f>VLOOKUP($F454,[2]装箱单!$A:$J,10,0)</f>
        <v>0.022365718032</v>
      </c>
      <c r="U454" s="73">
        <f t="shared" si="91"/>
        <v>9.550161599664</v>
      </c>
      <c r="V454" s="12"/>
    </row>
    <row r="455" s="1" customFormat="1" ht="29.1" customHeight="1" spans="1:22">
      <c r="A455" s="62">
        <v>46221</v>
      </c>
      <c r="B455" s="63" t="s">
        <v>1789</v>
      </c>
      <c r="C455" s="64" t="s">
        <v>1790</v>
      </c>
      <c r="D455" s="66" t="s">
        <v>1791</v>
      </c>
      <c r="E455" s="67" t="s">
        <v>1792</v>
      </c>
      <c r="F455" s="66">
        <v>46092</v>
      </c>
      <c r="G455" s="67" t="str">
        <f>VLOOKUP(F455,[2]装箱单!$A:$C,3,0)</f>
        <v>玩具总动员系列</v>
      </c>
      <c r="H455" s="67">
        <v>2850</v>
      </c>
      <c r="I455" s="68">
        <f t="shared" si="89"/>
        <v>5700</v>
      </c>
      <c r="J455" s="68" t="s">
        <v>32</v>
      </c>
      <c r="K455" s="68" t="s">
        <v>33</v>
      </c>
      <c r="L455" s="69">
        <v>2850</v>
      </c>
      <c r="M455" s="65">
        <f t="shared" si="90"/>
        <v>63.7422963912</v>
      </c>
      <c r="N455" s="69" t="s">
        <v>34</v>
      </c>
      <c r="O455" s="67"/>
      <c r="P455" s="74"/>
      <c r="Q455" s="71">
        <f>VLOOKUP($F455,[2]装箱单!$A:$E,5,0)</f>
        <v>40.01</v>
      </c>
      <c r="R455" s="71">
        <f>VLOOKUP($F455,[2]装箱单!$A:$F,6,0)</f>
        <v>26.67</v>
      </c>
      <c r="S455" s="71">
        <f>VLOOKUP($F455,[2]装箱单!$A:$G,7,0)</f>
        <v>20.96</v>
      </c>
      <c r="T455" s="72">
        <f>VLOOKUP($F455,[2]装箱单!$A:$J,10,0)</f>
        <v>0.022365718032</v>
      </c>
      <c r="U455" s="73">
        <f t="shared" si="91"/>
        <v>63.7422963912</v>
      </c>
      <c r="V455" s="12"/>
    </row>
    <row r="456" s="1" customFormat="1" ht="29.1" customHeight="1" spans="1:22">
      <c r="A456" s="62"/>
      <c r="B456" s="63"/>
      <c r="C456" s="64"/>
      <c r="D456" s="66"/>
      <c r="E456" s="67"/>
      <c r="F456" s="66"/>
      <c r="G456" s="67"/>
      <c r="H456" s="67"/>
      <c r="I456" s="68"/>
      <c r="J456" s="68"/>
      <c r="K456" s="68"/>
      <c r="L456" s="69"/>
      <c r="M456" s="65">
        <f>SUM(M451:M455)</f>
        <v>125.21636478408</v>
      </c>
      <c r="N456" s="69"/>
      <c r="O456" s="67"/>
      <c r="P456" s="75"/>
      <c r="Q456" s="71"/>
      <c r="R456" s="71"/>
      <c r="S456" s="71"/>
      <c r="T456" s="72"/>
      <c r="U456" s="73"/>
      <c r="V456" s="12"/>
    </row>
    <row r="457" s="1" customFormat="1" ht="29.1" customHeight="1" spans="1:22">
      <c r="A457" s="62">
        <v>46224</v>
      </c>
      <c r="B457" s="63" t="s">
        <v>1793</v>
      </c>
      <c r="C457" s="64" t="s">
        <v>1794</v>
      </c>
      <c r="D457" s="66" t="s">
        <v>1795</v>
      </c>
      <c r="E457" s="67" t="s">
        <v>1796</v>
      </c>
      <c r="F457" s="66">
        <v>46099</v>
      </c>
      <c r="G457" s="67" t="str">
        <f>VLOOKUP(F457,[2]装箱单!$A:$C,3,0)</f>
        <v>米奇老鼠系列</v>
      </c>
      <c r="H457" s="67">
        <v>300</v>
      </c>
      <c r="I457" s="68">
        <f>+L457*2</f>
        <v>600</v>
      </c>
      <c r="J457" s="68" t="s">
        <v>32</v>
      </c>
      <c r="K457" s="68" t="s">
        <v>33</v>
      </c>
      <c r="L457" s="69">
        <v>300</v>
      </c>
      <c r="M457" s="65">
        <f t="shared" ref="M457:M461" si="92">+U457</f>
        <v>6.7097154096</v>
      </c>
      <c r="N457" s="69" t="s">
        <v>34</v>
      </c>
      <c r="O457" s="67"/>
      <c r="P457" s="94" t="s">
        <v>183</v>
      </c>
      <c r="Q457" s="71">
        <f>VLOOKUP($F457,[2]装箱单!$A:$E,5,0)</f>
        <v>40.01</v>
      </c>
      <c r="R457" s="71">
        <f>VLOOKUP($F457,[2]装箱单!$A:$F,6,0)</f>
        <v>26.67</v>
      </c>
      <c r="S457" s="71">
        <f>VLOOKUP($F457,[2]装箱单!$A:$G,7,0)</f>
        <v>20.96</v>
      </c>
      <c r="T457" s="72">
        <f>VLOOKUP($F457,[2]装箱单!$A:$J,10,0)</f>
        <v>0.022365718032</v>
      </c>
      <c r="U457" s="73">
        <f t="shared" ref="U457:U461" si="93">+T457*L457</f>
        <v>6.7097154096</v>
      </c>
      <c r="V457" s="12"/>
    </row>
    <row r="458" s="1" customFormat="1" ht="29.1" customHeight="1" spans="1:22">
      <c r="A458" s="62">
        <v>46224</v>
      </c>
      <c r="B458" s="63" t="s">
        <v>52</v>
      </c>
      <c r="C458" s="64">
        <v>47100</v>
      </c>
      <c r="D458" s="66" t="s">
        <v>1739</v>
      </c>
      <c r="E458" s="66"/>
      <c r="F458" s="66">
        <v>570974</v>
      </c>
      <c r="G458" s="67" t="str">
        <f>VLOOKUP(F458,[2]装箱单!$A:$C,3,0)</f>
        <v>蓝球</v>
      </c>
      <c r="H458" s="67">
        <v>2520</v>
      </c>
      <c r="I458" s="68">
        <f t="shared" ref="I458:I461" si="94">+L458</f>
        <v>1152</v>
      </c>
      <c r="J458" s="68" t="s">
        <v>32</v>
      </c>
      <c r="K458" s="68" t="s">
        <v>33</v>
      </c>
      <c r="L458" s="69">
        <v>1152</v>
      </c>
      <c r="M458" s="65">
        <f t="shared" si="92"/>
        <v>98.98508454912</v>
      </c>
      <c r="N458" s="69" t="s">
        <v>34</v>
      </c>
      <c r="O458" s="67"/>
      <c r="P458" s="94"/>
      <c r="Q458" s="71">
        <f>VLOOKUP($F458,[2]装箱单!$A:$E,5,0)</f>
        <v>59.05</v>
      </c>
      <c r="R458" s="71">
        <f>VLOOKUP($F458,[2]装箱单!$A:$F,6,0)</f>
        <v>26.04</v>
      </c>
      <c r="S458" s="71">
        <f>VLOOKUP($F458,[2]装箱单!$A:$G,7,0)</f>
        <v>55.88</v>
      </c>
      <c r="T458" s="72">
        <f>VLOOKUP($F458,[2]装箱单!$A:$J,10,0)</f>
        <v>0.08592455256</v>
      </c>
      <c r="U458" s="73">
        <f t="shared" si="93"/>
        <v>98.98508454912</v>
      </c>
      <c r="V458" s="12"/>
    </row>
    <row r="459" s="1" customFormat="1" ht="29.1" customHeight="1" spans="1:22">
      <c r="A459" s="62">
        <v>46224</v>
      </c>
      <c r="B459" s="63" t="s">
        <v>52</v>
      </c>
      <c r="C459" s="64">
        <v>47100</v>
      </c>
      <c r="D459" s="66" t="s">
        <v>1797</v>
      </c>
      <c r="E459" s="66"/>
      <c r="F459" s="67">
        <v>571299</v>
      </c>
      <c r="G459" s="67" t="str">
        <f>VLOOKUP(F459,[2]装箱单!$A:$C,3,0)</f>
        <v>自卸车</v>
      </c>
      <c r="H459" s="67">
        <v>2800</v>
      </c>
      <c r="I459" s="68">
        <f t="shared" si="94"/>
        <v>432</v>
      </c>
      <c r="J459" s="68" t="s">
        <v>32</v>
      </c>
      <c r="K459" s="68" t="s">
        <v>33</v>
      </c>
      <c r="L459" s="69">
        <v>432</v>
      </c>
      <c r="M459" s="65">
        <f t="shared" si="92"/>
        <v>11.575872</v>
      </c>
      <c r="N459" s="69" t="s">
        <v>34</v>
      </c>
      <c r="O459" s="67"/>
      <c r="P459" s="94"/>
      <c r="Q459" s="71">
        <f>VLOOKUP($F459,[2]装箱单!$A:$E,5,0)</f>
        <v>42</v>
      </c>
      <c r="R459" s="71">
        <f>VLOOKUP($F459,[2]装箱单!$A:$F,6,0)</f>
        <v>22</v>
      </c>
      <c r="S459" s="71">
        <f>VLOOKUP($F459,[2]装箱单!$A:$G,7,0)</f>
        <v>29</v>
      </c>
      <c r="T459" s="72">
        <f>VLOOKUP($F459,[2]装箱单!$A:$J,10,0)</f>
        <v>0.026796</v>
      </c>
      <c r="U459" s="73">
        <f t="shared" si="93"/>
        <v>11.575872</v>
      </c>
      <c r="V459" s="12"/>
    </row>
    <row r="460" s="1" customFormat="1" ht="29.1" customHeight="1" spans="1:22">
      <c r="A460" s="62">
        <v>46224</v>
      </c>
      <c r="B460" s="63" t="s">
        <v>52</v>
      </c>
      <c r="C460" s="64">
        <v>47039</v>
      </c>
      <c r="D460" s="66" t="s">
        <v>1735</v>
      </c>
      <c r="E460" s="66"/>
      <c r="F460" s="67">
        <v>470195</v>
      </c>
      <c r="G460" s="67" t="str">
        <f>VLOOKUP(F460,[2]装箱单!$A:$C,3,0)</f>
        <v>花园</v>
      </c>
      <c r="H460" s="67">
        <v>1000</v>
      </c>
      <c r="I460" s="68">
        <f>+L460*3</f>
        <v>3000</v>
      </c>
      <c r="J460" s="68" t="s">
        <v>32</v>
      </c>
      <c r="K460" s="68" t="s">
        <v>33</v>
      </c>
      <c r="L460" s="69">
        <v>1000</v>
      </c>
      <c r="M460" s="65">
        <f t="shared" si="92"/>
        <v>6.2219633625</v>
      </c>
      <c r="N460" s="69" t="s">
        <v>34</v>
      </c>
      <c r="O460" s="67"/>
      <c r="P460" s="94"/>
      <c r="Q460" s="71">
        <f>VLOOKUP($F460,[2]装箱单!$A:$E,5,0)</f>
        <v>19.05</v>
      </c>
      <c r="R460" s="71">
        <f>VLOOKUP($F460,[2]装箱单!$A:$F,6,0)</f>
        <v>17.145</v>
      </c>
      <c r="S460" s="71">
        <f>VLOOKUP($F460,[2]装箱单!$A:$G,7,0)</f>
        <v>19.05</v>
      </c>
      <c r="T460" s="72">
        <f>VLOOKUP($F460,[2]装箱单!$A:$J,10,0)</f>
        <v>0.0062219633625</v>
      </c>
      <c r="U460" s="73">
        <f t="shared" si="93"/>
        <v>6.2219633625</v>
      </c>
      <c r="V460" s="12"/>
    </row>
    <row r="461" s="1" customFormat="1" ht="29.1" customHeight="1" spans="1:22">
      <c r="A461" s="62">
        <v>46224</v>
      </c>
      <c r="B461" s="63" t="s">
        <v>415</v>
      </c>
      <c r="C461" s="64" t="s">
        <v>1765</v>
      </c>
      <c r="D461" s="66" t="s">
        <v>1338</v>
      </c>
      <c r="E461" s="66">
        <v>10001796521</v>
      </c>
      <c r="F461" s="67">
        <v>470764</v>
      </c>
      <c r="G461" s="67" t="str">
        <f>VLOOKUP(F461,[2]装箱单!$A:$C,3,0)</f>
        <v>大型自卸车</v>
      </c>
      <c r="H461" s="67">
        <v>1752</v>
      </c>
      <c r="I461" s="68">
        <f t="shared" si="94"/>
        <v>864</v>
      </c>
      <c r="J461" s="68" t="s">
        <v>32</v>
      </c>
      <c r="K461" s="68" t="s">
        <v>33</v>
      </c>
      <c r="L461" s="69">
        <f>1752-888</f>
        <v>864</v>
      </c>
      <c r="M461" s="65">
        <f t="shared" si="92"/>
        <v>23.151744</v>
      </c>
      <c r="N461" s="69" t="s">
        <v>34</v>
      </c>
      <c r="O461" s="67"/>
      <c r="P461" s="94"/>
      <c r="Q461" s="71">
        <f>VLOOKUP($F461,[2]装箱单!$A:$E,5,0)</f>
        <v>42</v>
      </c>
      <c r="R461" s="71">
        <f>VLOOKUP($F461,[2]装箱单!$A:$F,6,0)</f>
        <v>22</v>
      </c>
      <c r="S461" s="71">
        <f>VLOOKUP($F461,[2]装箱单!$A:$G,7,0)</f>
        <v>29</v>
      </c>
      <c r="T461" s="72">
        <f>VLOOKUP($F461,[2]装箱单!$A:$J,10,0)</f>
        <v>0.026796</v>
      </c>
      <c r="U461" s="73">
        <f t="shared" si="93"/>
        <v>23.151744</v>
      </c>
      <c r="V461" s="12"/>
    </row>
    <row r="462" s="1" customFormat="1" ht="29.1" customHeight="1" spans="1:22">
      <c r="A462" s="62">
        <v>46224</v>
      </c>
      <c r="B462" s="63"/>
      <c r="C462" s="64"/>
      <c r="D462" s="66"/>
      <c r="E462" s="66"/>
      <c r="F462" s="67"/>
      <c r="G462" s="67" t="s">
        <v>1798</v>
      </c>
      <c r="H462" s="67">
        <v>1</v>
      </c>
      <c r="I462" s="68">
        <v>1</v>
      </c>
      <c r="J462" s="68" t="s">
        <v>32</v>
      </c>
      <c r="K462" s="68" t="s">
        <v>218</v>
      </c>
      <c r="L462" s="69"/>
      <c r="M462" s="65">
        <v>0</v>
      </c>
      <c r="N462" s="69"/>
      <c r="O462" s="67"/>
      <c r="P462" s="94"/>
      <c r="Q462" s="71"/>
      <c r="R462" s="71"/>
      <c r="S462" s="71"/>
      <c r="T462" s="72"/>
      <c r="U462" s="73"/>
      <c r="V462" s="12"/>
    </row>
    <row r="463" s="1" customFormat="1" ht="29.1" customHeight="1" spans="1:22">
      <c r="A463" s="62">
        <v>46224</v>
      </c>
      <c r="B463" s="63"/>
      <c r="C463" s="64"/>
      <c r="D463" s="66"/>
      <c r="E463" s="66"/>
      <c r="F463" s="67"/>
      <c r="G463" s="67" t="s">
        <v>1799</v>
      </c>
      <c r="H463" s="67">
        <v>1</v>
      </c>
      <c r="I463" s="68">
        <v>45</v>
      </c>
      <c r="J463" s="68" t="s">
        <v>32</v>
      </c>
      <c r="K463" s="68" t="s">
        <v>218</v>
      </c>
      <c r="L463" s="69"/>
      <c r="M463" s="65">
        <v>0</v>
      </c>
      <c r="N463" s="69"/>
      <c r="O463" s="67"/>
      <c r="P463" s="94"/>
      <c r="Q463" s="71"/>
      <c r="R463" s="71"/>
      <c r="S463" s="71"/>
      <c r="T463" s="72"/>
      <c r="U463" s="73"/>
      <c r="V463" s="12"/>
    </row>
    <row r="464" s="1" customFormat="1" ht="29.1" customHeight="1" spans="1:22">
      <c r="A464" s="62"/>
      <c r="B464" s="63"/>
      <c r="C464" s="64"/>
      <c r="D464" s="66"/>
      <c r="E464" s="66"/>
      <c r="F464" s="67"/>
      <c r="G464" s="67"/>
      <c r="H464" s="67"/>
      <c r="I464" s="68"/>
      <c r="J464" s="68"/>
      <c r="K464" s="68"/>
      <c r="L464" s="69"/>
      <c r="M464" s="65">
        <f>SUM(M457:M463)</f>
        <v>146.64437932122</v>
      </c>
      <c r="N464" s="69"/>
      <c r="O464" s="67"/>
      <c r="P464" s="94"/>
      <c r="Q464" s="71"/>
      <c r="R464" s="71"/>
      <c r="S464" s="71"/>
      <c r="T464" s="72"/>
      <c r="U464" s="73"/>
      <c r="V464" s="12"/>
    </row>
    <row r="465" s="1" customFormat="1" ht="29.1" customHeight="1" spans="1:22">
      <c r="A465" s="62">
        <v>46225</v>
      </c>
      <c r="B465" s="63" t="s">
        <v>52</v>
      </c>
      <c r="C465" s="64">
        <v>47100</v>
      </c>
      <c r="D465" s="66" t="s">
        <v>1739</v>
      </c>
      <c r="E465" s="66"/>
      <c r="F465" s="66">
        <v>570974</v>
      </c>
      <c r="G465" s="67" t="str">
        <f>VLOOKUP(F465,[2]装箱单!$A:$C,3,0)</f>
        <v>蓝球</v>
      </c>
      <c r="H465" s="67">
        <v>2520</v>
      </c>
      <c r="I465" s="68">
        <f t="shared" ref="I465:I471" si="95">+L465</f>
        <v>1208</v>
      </c>
      <c r="J465" s="68" t="s">
        <v>32</v>
      </c>
      <c r="K465" s="68" t="s">
        <v>33</v>
      </c>
      <c r="L465" s="69">
        <f>2520-160-1152</f>
        <v>1208</v>
      </c>
      <c r="M465" s="65">
        <f t="shared" ref="M465:M475" si="96">+U465</f>
        <v>103.79685949248</v>
      </c>
      <c r="N465" s="69" t="s">
        <v>34</v>
      </c>
      <c r="O465" s="67"/>
      <c r="P465" s="70" t="s">
        <v>1800</v>
      </c>
      <c r="Q465" s="71">
        <f>VLOOKUP($F465,[2]装箱单!$A:$E,5,0)</f>
        <v>59.05</v>
      </c>
      <c r="R465" s="71">
        <f>VLOOKUP($F465,[2]装箱单!$A:$F,6,0)</f>
        <v>26.04</v>
      </c>
      <c r="S465" s="71">
        <f>VLOOKUP($F465,[2]装箱单!$A:$G,7,0)</f>
        <v>55.88</v>
      </c>
      <c r="T465" s="72">
        <f>VLOOKUP($F465,[2]装箱单!$A:$J,10,0)</f>
        <v>0.08592455256</v>
      </c>
      <c r="U465" s="73">
        <f t="shared" ref="U465:U475" si="97">+T465*L465</f>
        <v>103.79685949248</v>
      </c>
      <c r="V465" s="12"/>
    </row>
    <row r="466" s="1" customFormat="1" ht="29.1" customHeight="1" spans="1:22">
      <c r="A466" s="62">
        <v>46225</v>
      </c>
      <c r="B466" s="63" t="s">
        <v>52</v>
      </c>
      <c r="C466" s="64">
        <v>47100</v>
      </c>
      <c r="D466" s="66" t="s">
        <v>1797</v>
      </c>
      <c r="E466" s="66"/>
      <c r="F466" s="67">
        <v>571299</v>
      </c>
      <c r="G466" s="67" t="str">
        <f>VLOOKUP(F466,[2]装箱单!$A:$C,3,0)</f>
        <v>自卸车</v>
      </c>
      <c r="H466" s="67">
        <v>2800</v>
      </c>
      <c r="I466" s="68">
        <f t="shared" si="95"/>
        <v>1769</v>
      </c>
      <c r="J466" s="68" t="s">
        <v>32</v>
      </c>
      <c r="K466" s="68" t="s">
        <v>33</v>
      </c>
      <c r="L466" s="69">
        <v>1769</v>
      </c>
      <c r="M466" s="65">
        <f t="shared" si="96"/>
        <v>47.402124</v>
      </c>
      <c r="N466" s="69" t="s">
        <v>34</v>
      </c>
      <c r="O466" s="67"/>
      <c r="P466" s="74"/>
      <c r="Q466" s="71">
        <f>VLOOKUP($F466,[2]装箱单!$A:$E,5,0)</f>
        <v>42</v>
      </c>
      <c r="R466" s="71">
        <f>VLOOKUP($F466,[2]装箱单!$A:$F,6,0)</f>
        <v>22</v>
      </c>
      <c r="S466" s="71">
        <f>VLOOKUP($F466,[2]装箱单!$A:$G,7,0)</f>
        <v>29</v>
      </c>
      <c r="T466" s="72">
        <f>VLOOKUP($F466,[2]装箱单!$A:$J,10,0)</f>
        <v>0.026796</v>
      </c>
      <c r="U466" s="73">
        <f t="shared" si="97"/>
        <v>47.402124</v>
      </c>
      <c r="V466" s="12"/>
    </row>
    <row r="467" s="1" customFormat="1" ht="29.1" customHeight="1" spans="1:22">
      <c r="A467" s="62"/>
      <c r="B467" s="63"/>
      <c r="C467" s="64"/>
      <c r="D467" s="66"/>
      <c r="E467" s="66"/>
      <c r="F467" s="67"/>
      <c r="G467" s="67"/>
      <c r="H467" s="67"/>
      <c r="I467" s="68"/>
      <c r="J467" s="68"/>
      <c r="K467" s="68"/>
      <c r="L467" s="69"/>
      <c r="M467" s="65">
        <f>SUM(M465:M466)</f>
        <v>151.19898349248</v>
      </c>
      <c r="N467" s="69"/>
      <c r="O467" s="67"/>
      <c r="P467" s="75"/>
      <c r="Q467" s="71"/>
      <c r="R467" s="71"/>
      <c r="S467" s="71"/>
      <c r="T467" s="72"/>
      <c r="U467" s="73"/>
      <c r="V467" s="12"/>
    </row>
    <row r="468" s="1" customFormat="1" ht="29.1" customHeight="1" spans="1:22">
      <c r="A468" s="95">
        <v>46226</v>
      </c>
      <c r="B468" s="96" t="s">
        <v>1793</v>
      </c>
      <c r="C468" s="97" t="s">
        <v>1794</v>
      </c>
      <c r="D468" s="98" t="s">
        <v>1795</v>
      </c>
      <c r="E468" s="87" t="s">
        <v>1796</v>
      </c>
      <c r="F468" s="98">
        <v>46462</v>
      </c>
      <c r="G468" s="87" t="str">
        <f>VLOOKUP(F468,[2]装箱单!$A:$C,3,0)</f>
        <v>史迪仔系列</v>
      </c>
      <c r="H468" s="87">
        <v>300</v>
      </c>
      <c r="I468" s="99">
        <f>+L468*2</f>
        <v>600</v>
      </c>
      <c r="J468" s="99" t="s">
        <v>32</v>
      </c>
      <c r="K468" s="99" t="s">
        <v>33</v>
      </c>
      <c r="L468" s="93">
        <v>300</v>
      </c>
      <c r="M468" s="100">
        <f t="shared" si="96"/>
        <v>6.7097154096</v>
      </c>
      <c r="N468" s="69" t="s">
        <v>34</v>
      </c>
      <c r="O468" s="87"/>
      <c r="P468" s="70" t="s">
        <v>1801</v>
      </c>
      <c r="Q468" s="71">
        <f>VLOOKUP($F468,[2]装箱单!$A:$E,5,0)</f>
        <v>40.01</v>
      </c>
      <c r="R468" s="71">
        <f>VLOOKUP($F468,[2]装箱单!$A:$F,6,0)</f>
        <v>26.67</v>
      </c>
      <c r="S468" s="71">
        <f>VLOOKUP($F468,[2]装箱单!$A:$G,7,0)</f>
        <v>20.96</v>
      </c>
      <c r="T468" s="72">
        <f>VLOOKUP($F468,[2]装箱单!$A:$J,10,0)</f>
        <v>0.022365718032</v>
      </c>
      <c r="U468" s="73">
        <f t="shared" si="97"/>
        <v>6.7097154096</v>
      </c>
      <c r="V468" s="12"/>
    </row>
    <row r="469" s="1" customFormat="1" ht="29.1" customHeight="1" spans="1:22">
      <c r="A469" s="95">
        <v>46226</v>
      </c>
      <c r="B469" s="63" t="s">
        <v>1793</v>
      </c>
      <c r="C469" s="64" t="s">
        <v>1794</v>
      </c>
      <c r="D469" s="66" t="s">
        <v>1795</v>
      </c>
      <c r="E469" s="67" t="s">
        <v>1796</v>
      </c>
      <c r="F469" s="66">
        <v>46496</v>
      </c>
      <c r="G469" s="67" t="str">
        <f>VLOOKUP(F469,[2]装箱单!$A:$C,3,0)</f>
        <v>米妮系列</v>
      </c>
      <c r="H469" s="67">
        <v>300</v>
      </c>
      <c r="I469" s="68">
        <f>+L469*2</f>
        <v>600</v>
      </c>
      <c r="J469" s="68" t="s">
        <v>32</v>
      </c>
      <c r="K469" s="68" t="s">
        <v>33</v>
      </c>
      <c r="L469" s="69">
        <v>300</v>
      </c>
      <c r="M469" s="65">
        <f t="shared" si="96"/>
        <v>6.7097154096</v>
      </c>
      <c r="N469" s="69" t="s">
        <v>34</v>
      </c>
      <c r="O469" s="67"/>
      <c r="P469" s="74"/>
      <c r="Q469" s="71">
        <f>VLOOKUP($F469,[2]装箱单!$A:$E,5,0)</f>
        <v>40.01</v>
      </c>
      <c r="R469" s="71">
        <f>VLOOKUP($F469,[2]装箱单!$A:$F,6,0)</f>
        <v>26.67</v>
      </c>
      <c r="S469" s="71">
        <f>VLOOKUP($F469,[2]装箱单!$A:$G,7,0)</f>
        <v>20.96</v>
      </c>
      <c r="T469" s="72">
        <f>VLOOKUP($F469,[2]装箱单!$A:$J,10,0)</f>
        <v>0.022365718032</v>
      </c>
      <c r="U469" s="73">
        <f t="shared" si="97"/>
        <v>6.7097154096</v>
      </c>
      <c r="V469" s="12"/>
    </row>
    <row r="470" s="1" customFormat="1" ht="29.1" customHeight="1" spans="1:22">
      <c r="A470" s="95">
        <v>46226</v>
      </c>
      <c r="B470" s="63" t="s">
        <v>40</v>
      </c>
      <c r="C470" s="64" t="s">
        <v>1802</v>
      </c>
      <c r="D470" s="66" t="s">
        <v>1803</v>
      </c>
      <c r="E470" s="140" t="s">
        <v>1804</v>
      </c>
      <c r="F470" s="66">
        <v>28483</v>
      </c>
      <c r="G470" s="67" t="str">
        <f>VLOOKUP(F470,[2]装箱单!$A:$C,3,0)</f>
        <v>振动球</v>
      </c>
      <c r="H470" s="67">
        <v>4500</v>
      </c>
      <c r="I470" s="68">
        <f t="shared" si="95"/>
        <v>4500</v>
      </c>
      <c r="J470" s="68" t="s">
        <v>32</v>
      </c>
      <c r="K470" s="68" t="s">
        <v>33</v>
      </c>
      <c r="L470" s="69">
        <v>4500</v>
      </c>
      <c r="M470" s="65">
        <f t="shared" si="96"/>
        <v>25.977105</v>
      </c>
      <c r="N470" s="69" t="s">
        <v>34</v>
      </c>
      <c r="O470" s="67"/>
      <c r="P470" s="74"/>
      <c r="Q470" s="71">
        <f>VLOOKUP($F470,[2]装箱单!$A:$E,5,0)</f>
        <v>16.83</v>
      </c>
      <c r="R470" s="71">
        <f>VLOOKUP($F470,[2]装箱单!$A:$F,6,0)</f>
        <v>17.15</v>
      </c>
      <c r="S470" s="71">
        <f>VLOOKUP($F470,[2]装箱单!$A:$G,7,0)</f>
        <v>20</v>
      </c>
      <c r="T470" s="72">
        <f>VLOOKUP($F470,[2]装箱单!$A:$J,10,0)</f>
        <v>0.00577269</v>
      </c>
      <c r="U470" s="73">
        <f t="shared" si="97"/>
        <v>25.977105</v>
      </c>
      <c r="V470" s="12"/>
    </row>
    <row r="471" s="1" customFormat="1" ht="29.1" customHeight="1" spans="1:22">
      <c r="A471" s="95">
        <v>46226</v>
      </c>
      <c r="B471" s="63" t="s">
        <v>40</v>
      </c>
      <c r="C471" s="64" t="s">
        <v>1805</v>
      </c>
      <c r="D471" s="66" t="s">
        <v>1806</v>
      </c>
      <c r="E471" s="140" t="s">
        <v>1807</v>
      </c>
      <c r="F471" s="66">
        <v>28483</v>
      </c>
      <c r="G471" s="67" t="str">
        <f>VLOOKUP(F471,[2]装箱单!$A:$C,3,0)</f>
        <v>振动球</v>
      </c>
      <c r="H471" s="67">
        <v>3600</v>
      </c>
      <c r="I471" s="68">
        <f t="shared" si="95"/>
        <v>3600</v>
      </c>
      <c r="J471" s="68" t="s">
        <v>32</v>
      </c>
      <c r="K471" s="68" t="s">
        <v>33</v>
      </c>
      <c r="L471" s="69">
        <v>3600</v>
      </c>
      <c r="M471" s="65">
        <f t="shared" si="96"/>
        <v>20.781684</v>
      </c>
      <c r="N471" s="69" t="s">
        <v>34</v>
      </c>
      <c r="O471" s="67"/>
      <c r="P471" s="74"/>
      <c r="Q471" s="71">
        <f>VLOOKUP($F471,[2]装箱单!$A:$E,5,0)</f>
        <v>16.83</v>
      </c>
      <c r="R471" s="71">
        <f>VLOOKUP($F471,[2]装箱单!$A:$F,6,0)</f>
        <v>17.15</v>
      </c>
      <c r="S471" s="71">
        <f>VLOOKUP($F471,[2]装箱单!$A:$G,7,0)</f>
        <v>20</v>
      </c>
      <c r="T471" s="72">
        <f>VLOOKUP($F471,[2]装箱单!$A:$J,10,0)</f>
        <v>0.00577269</v>
      </c>
      <c r="U471" s="73">
        <f t="shared" si="97"/>
        <v>20.781684</v>
      </c>
      <c r="V471" s="12"/>
    </row>
    <row r="472" s="1" customFormat="1" ht="29.1" customHeight="1" spans="1:22">
      <c r="A472" s="95">
        <v>46226</v>
      </c>
      <c r="B472" s="63" t="s">
        <v>1808</v>
      </c>
      <c r="C472" s="64" t="s">
        <v>1809</v>
      </c>
      <c r="D472" s="66" t="s">
        <v>1810</v>
      </c>
      <c r="E472" s="67" t="s">
        <v>1811</v>
      </c>
      <c r="F472" s="66" t="s">
        <v>175</v>
      </c>
      <c r="G472" s="67" t="str">
        <f>VLOOKUP(F472,[2]装箱单!$A:$C,3,0)</f>
        <v>投影米奇</v>
      </c>
      <c r="H472" s="67">
        <v>164</v>
      </c>
      <c r="I472" s="68">
        <f>+L472*4</f>
        <v>656</v>
      </c>
      <c r="J472" s="68" t="s">
        <v>32</v>
      </c>
      <c r="K472" s="68" t="s">
        <v>33</v>
      </c>
      <c r="L472" s="69">
        <v>164</v>
      </c>
      <c r="M472" s="65">
        <f t="shared" si="96"/>
        <v>16.481213827829</v>
      </c>
      <c r="N472" s="69" t="s">
        <v>34</v>
      </c>
      <c r="O472" s="67"/>
      <c r="P472" s="74"/>
      <c r="Q472" s="71">
        <f>VLOOKUP($F472,[2]装箱单!$A:$E,5,0)</f>
        <v>64.135</v>
      </c>
      <c r="R472" s="71">
        <f>VLOOKUP($F472,[2]装箱单!$A:$F,6,0)</f>
        <v>36.83</v>
      </c>
      <c r="S472" s="71">
        <f>VLOOKUP($F472,[2]装箱单!$A:$G,7,0)</f>
        <v>42.545</v>
      </c>
      <c r="T472" s="72">
        <f>VLOOKUP($F472,[2]装箱单!$A:$J,10,0)</f>
        <v>0.10049520626725</v>
      </c>
      <c r="U472" s="73">
        <f t="shared" si="97"/>
        <v>16.481213827829</v>
      </c>
      <c r="V472" s="12"/>
    </row>
    <row r="473" s="1" customFormat="1" ht="29.1" customHeight="1" spans="1:22">
      <c r="A473" s="95">
        <v>46226</v>
      </c>
      <c r="B473" s="63" t="s">
        <v>415</v>
      </c>
      <c r="C473" s="64" t="s">
        <v>1812</v>
      </c>
      <c r="D473" s="66" t="s">
        <v>1338</v>
      </c>
      <c r="E473" s="66">
        <v>10001796523</v>
      </c>
      <c r="F473" s="67">
        <v>470764</v>
      </c>
      <c r="G473" s="67" t="str">
        <f>VLOOKUP(F473,[2]装箱单!$A:$C,3,0)</f>
        <v>大型自卸车</v>
      </c>
      <c r="H473" s="67">
        <v>1248</v>
      </c>
      <c r="I473" s="68">
        <f t="shared" ref="I473:I475" si="98">+L473</f>
        <v>1248</v>
      </c>
      <c r="J473" s="68" t="s">
        <v>32</v>
      </c>
      <c r="K473" s="68" t="s">
        <v>33</v>
      </c>
      <c r="L473" s="69">
        <v>1248</v>
      </c>
      <c r="M473" s="65">
        <f t="shared" si="96"/>
        <v>33.441408</v>
      </c>
      <c r="N473" s="69" t="s">
        <v>34</v>
      </c>
      <c r="O473" s="67"/>
      <c r="P473" s="74"/>
      <c r="Q473" s="71">
        <f>VLOOKUP($F473,[2]装箱单!$A:$E,5,0)</f>
        <v>42</v>
      </c>
      <c r="R473" s="71">
        <f>VLOOKUP($F473,[2]装箱单!$A:$F,6,0)</f>
        <v>22</v>
      </c>
      <c r="S473" s="71">
        <f>VLOOKUP($F473,[2]装箱单!$A:$G,7,0)</f>
        <v>29</v>
      </c>
      <c r="T473" s="72">
        <f>VLOOKUP($F473,[2]装箱单!$A:$J,10,0)</f>
        <v>0.026796</v>
      </c>
      <c r="U473" s="73">
        <f t="shared" si="97"/>
        <v>33.441408</v>
      </c>
      <c r="V473" s="12"/>
    </row>
    <row r="474" s="1" customFormat="1" ht="29.1" customHeight="1" spans="1:22">
      <c r="A474" s="95">
        <v>46226</v>
      </c>
      <c r="B474" s="63" t="s">
        <v>52</v>
      </c>
      <c r="C474" s="64">
        <v>47100</v>
      </c>
      <c r="D474" s="66" t="s">
        <v>1797</v>
      </c>
      <c r="E474" s="66"/>
      <c r="F474" s="67">
        <v>571299</v>
      </c>
      <c r="G474" s="67" t="str">
        <f>VLOOKUP(F474,[2]装箱单!$A:$C,3,0)</f>
        <v>自卸车</v>
      </c>
      <c r="H474" s="67">
        <v>2800</v>
      </c>
      <c r="I474" s="68">
        <f t="shared" si="98"/>
        <v>599</v>
      </c>
      <c r="J474" s="68" t="s">
        <v>32</v>
      </c>
      <c r="K474" s="68" t="s">
        <v>33</v>
      </c>
      <c r="L474" s="69">
        <f>2800-432-1769</f>
        <v>599</v>
      </c>
      <c r="M474" s="65">
        <f t="shared" si="96"/>
        <v>16.050804</v>
      </c>
      <c r="N474" s="69" t="s">
        <v>34</v>
      </c>
      <c r="O474" s="67" t="s">
        <v>1813</v>
      </c>
      <c r="P474" s="74"/>
      <c r="Q474" s="71">
        <f>VLOOKUP($F474,[2]装箱单!$A:$E,5,0)</f>
        <v>42</v>
      </c>
      <c r="R474" s="71">
        <f>VLOOKUP($F474,[2]装箱单!$A:$F,6,0)</f>
        <v>22</v>
      </c>
      <c r="S474" s="71">
        <f>VLOOKUP($F474,[2]装箱单!$A:$G,7,0)</f>
        <v>29</v>
      </c>
      <c r="T474" s="72">
        <f>VLOOKUP($F474,[2]装箱单!$A:$J,10,0)</f>
        <v>0.026796</v>
      </c>
      <c r="U474" s="73">
        <f t="shared" si="97"/>
        <v>16.050804</v>
      </c>
      <c r="V474" s="12"/>
    </row>
    <row r="475" s="1" customFormat="1" ht="29.1" customHeight="1" spans="1:22">
      <c r="A475" s="95">
        <v>46226</v>
      </c>
      <c r="B475" s="63" t="s">
        <v>1346</v>
      </c>
      <c r="C475" s="64" t="s">
        <v>1814</v>
      </c>
      <c r="D475" s="66" t="s">
        <v>1815</v>
      </c>
      <c r="E475" s="66"/>
      <c r="F475" s="67">
        <v>470764</v>
      </c>
      <c r="G475" s="67" t="str">
        <f>VLOOKUP(F475,[2]装箱单!$A:$C,3,0)</f>
        <v>大型自卸车</v>
      </c>
      <c r="H475" s="67">
        <v>1215</v>
      </c>
      <c r="I475" s="68">
        <f t="shared" si="98"/>
        <v>901</v>
      </c>
      <c r="J475" s="68" t="s">
        <v>32</v>
      </c>
      <c r="K475" s="68" t="s">
        <v>33</v>
      </c>
      <c r="L475" s="69">
        <v>901</v>
      </c>
      <c r="M475" s="65">
        <f t="shared" si="96"/>
        <v>24.143196</v>
      </c>
      <c r="N475" s="69" t="s">
        <v>34</v>
      </c>
      <c r="O475" s="67"/>
      <c r="P475" s="74"/>
      <c r="Q475" s="71">
        <f>VLOOKUP($F475,[2]装箱单!$A:$E,5,0)</f>
        <v>42</v>
      </c>
      <c r="R475" s="71">
        <f>VLOOKUP($F475,[2]装箱单!$A:$F,6,0)</f>
        <v>22</v>
      </c>
      <c r="S475" s="71">
        <f>VLOOKUP($F475,[2]装箱单!$A:$G,7,0)</f>
        <v>29</v>
      </c>
      <c r="T475" s="72">
        <f>VLOOKUP($F475,[2]装箱单!$A:$J,10,0)</f>
        <v>0.026796</v>
      </c>
      <c r="U475" s="73">
        <f t="shared" si="97"/>
        <v>24.143196</v>
      </c>
      <c r="V475" s="12"/>
    </row>
    <row r="476" s="1" customFormat="1" ht="29.1" customHeight="1" spans="1:22">
      <c r="A476" s="62"/>
      <c r="B476" s="63"/>
      <c r="C476" s="64"/>
      <c r="D476" s="66"/>
      <c r="E476" s="66"/>
      <c r="F476" s="67"/>
      <c r="G476" s="67"/>
      <c r="H476" s="67"/>
      <c r="I476" s="68"/>
      <c r="J476" s="68"/>
      <c r="K476" s="68"/>
      <c r="L476" s="69"/>
      <c r="M476" s="65">
        <f>SUM(M468:M475)</f>
        <v>150.294841647029</v>
      </c>
      <c r="N476" s="69"/>
      <c r="O476" s="67"/>
      <c r="P476" s="75"/>
      <c r="Q476" s="71"/>
      <c r="R476" s="71"/>
      <c r="S476" s="71"/>
      <c r="T476" s="72"/>
      <c r="U476" s="73"/>
      <c r="V476" s="12"/>
    </row>
    <row r="477" s="1" customFormat="1" ht="29.1" customHeight="1" spans="1:22">
      <c r="A477" s="62">
        <v>46228</v>
      </c>
      <c r="B477" s="63" t="s">
        <v>1816</v>
      </c>
      <c r="C477" s="64" t="s">
        <v>1817</v>
      </c>
      <c r="D477" s="66" t="s">
        <v>1818</v>
      </c>
      <c r="E477" s="67" t="s">
        <v>1819</v>
      </c>
      <c r="F477" s="66">
        <v>46462</v>
      </c>
      <c r="G477" s="67" t="str">
        <f>VLOOKUP(F477,[2]装箱单!$A:$C,3,0)</f>
        <v>史迪仔系列</v>
      </c>
      <c r="H477" s="67">
        <v>750</v>
      </c>
      <c r="I477" s="68">
        <f>+L477*2</f>
        <v>1344</v>
      </c>
      <c r="J477" s="68" t="s">
        <v>32</v>
      </c>
      <c r="K477" s="68" t="s">
        <v>33</v>
      </c>
      <c r="L477" s="69">
        <v>672</v>
      </c>
      <c r="M477" s="65">
        <f t="shared" ref="M477:M481" si="99">+U477</f>
        <v>15.029762517504</v>
      </c>
      <c r="N477" s="69" t="s">
        <v>34</v>
      </c>
      <c r="O477" s="67"/>
      <c r="P477" s="70" t="s">
        <v>1820</v>
      </c>
      <c r="Q477" s="71">
        <f>VLOOKUP($F477,[2]装箱单!$A:$E,5,0)</f>
        <v>40.01</v>
      </c>
      <c r="R477" s="71">
        <f>VLOOKUP($F477,[2]装箱单!$A:$F,6,0)</f>
        <v>26.67</v>
      </c>
      <c r="S477" s="71">
        <f>VLOOKUP($F477,[2]装箱单!$A:$G,7,0)</f>
        <v>20.96</v>
      </c>
      <c r="T477" s="72">
        <f>VLOOKUP($F477,[2]装箱单!$A:$J,10,0)</f>
        <v>0.022365718032</v>
      </c>
      <c r="U477" s="73">
        <f t="shared" ref="U477:U481" si="100">+T477*L477</f>
        <v>15.029762517504</v>
      </c>
      <c r="V477" s="12"/>
    </row>
    <row r="478" s="1" customFormat="1" ht="29.1" customHeight="1" spans="1:22">
      <c r="A478" s="62">
        <v>46228</v>
      </c>
      <c r="B478" s="63" t="s">
        <v>1346</v>
      </c>
      <c r="C478" s="64" t="s">
        <v>1814</v>
      </c>
      <c r="D478" s="66" t="s">
        <v>1821</v>
      </c>
      <c r="E478" s="66">
        <v>20219063</v>
      </c>
      <c r="F478" s="67">
        <v>571299</v>
      </c>
      <c r="G478" s="67" t="str">
        <f>VLOOKUP(F478,[2]装箱单!$A:$C,3,0)</f>
        <v>自卸车</v>
      </c>
      <c r="H478" s="67">
        <v>1215</v>
      </c>
      <c r="I478" s="68">
        <f t="shared" ref="I478:I480" si="101">+L478</f>
        <v>1215</v>
      </c>
      <c r="J478" s="68" t="s">
        <v>32</v>
      </c>
      <c r="K478" s="68" t="s">
        <v>33</v>
      </c>
      <c r="L478" s="69">
        <f>1215</f>
        <v>1215</v>
      </c>
      <c r="M478" s="65">
        <f t="shared" si="99"/>
        <v>32.55714</v>
      </c>
      <c r="N478" s="69" t="s">
        <v>34</v>
      </c>
      <c r="O478" s="67"/>
      <c r="P478" s="74"/>
      <c r="Q478" s="71">
        <f>VLOOKUP($F478,[2]装箱单!$A:$E,5,0)</f>
        <v>42</v>
      </c>
      <c r="R478" s="71">
        <f>VLOOKUP($F478,[2]装箱单!$A:$F,6,0)</f>
        <v>22</v>
      </c>
      <c r="S478" s="71">
        <f>VLOOKUP($F478,[2]装箱单!$A:$G,7,0)</f>
        <v>29</v>
      </c>
      <c r="T478" s="72">
        <f>VLOOKUP($F478,[2]装箱单!$A:$J,10,0)</f>
        <v>0.026796</v>
      </c>
      <c r="U478" s="73">
        <f t="shared" si="100"/>
        <v>32.55714</v>
      </c>
      <c r="V478" s="12"/>
    </row>
    <row r="479" s="1" customFormat="1" ht="29.1" customHeight="1" spans="1:22">
      <c r="A479" s="62">
        <v>46228</v>
      </c>
      <c r="B479" s="63" t="s">
        <v>1346</v>
      </c>
      <c r="C479" s="64" t="s">
        <v>1814</v>
      </c>
      <c r="D479" s="66" t="s">
        <v>1815</v>
      </c>
      <c r="E479" s="66"/>
      <c r="F479" s="67">
        <v>470764</v>
      </c>
      <c r="G479" s="67" t="str">
        <f>VLOOKUP(F479,[2]装箱单!$A:$C,3,0)</f>
        <v>大型自卸车</v>
      </c>
      <c r="H479" s="67">
        <v>1215</v>
      </c>
      <c r="I479" s="68">
        <f t="shared" si="101"/>
        <v>244</v>
      </c>
      <c r="J479" s="68" t="s">
        <v>32</v>
      </c>
      <c r="K479" s="68" t="s">
        <v>33</v>
      </c>
      <c r="L479" s="69">
        <v>244</v>
      </c>
      <c r="M479" s="65">
        <f t="shared" si="99"/>
        <v>6.538224</v>
      </c>
      <c r="N479" s="69" t="s">
        <v>34</v>
      </c>
      <c r="O479" s="67"/>
      <c r="P479" s="74"/>
      <c r="Q479" s="71">
        <f>VLOOKUP($F479,[2]装箱单!$A:$E,5,0)</f>
        <v>42</v>
      </c>
      <c r="R479" s="71">
        <f>VLOOKUP($F479,[2]装箱单!$A:$F,6,0)</f>
        <v>22</v>
      </c>
      <c r="S479" s="71">
        <f>VLOOKUP($F479,[2]装箱单!$A:$G,7,0)</f>
        <v>29</v>
      </c>
      <c r="T479" s="72">
        <f>VLOOKUP($F479,[2]装箱单!$A:$J,10,0)</f>
        <v>0.026796</v>
      </c>
      <c r="U479" s="73">
        <f t="shared" si="100"/>
        <v>6.538224</v>
      </c>
      <c r="V479" s="12"/>
    </row>
    <row r="480" s="1" customFormat="1" ht="29.1" customHeight="1" spans="1:22">
      <c r="A480" s="62">
        <v>46228</v>
      </c>
      <c r="B480" s="63" t="s">
        <v>415</v>
      </c>
      <c r="C480" s="64" t="s">
        <v>1822</v>
      </c>
      <c r="D480" s="66" t="s">
        <v>1823</v>
      </c>
      <c r="E480" s="66"/>
      <c r="F480" s="67">
        <v>470764</v>
      </c>
      <c r="G480" s="67" t="str">
        <f>VLOOKUP(F480,[2]装箱单!$A:$C,3,0)</f>
        <v>大型自卸车</v>
      </c>
      <c r="H480" s="67">
        <v>2494</v>
      </c>
      <c r="I480" s="68">
        <f t="shared" si="101"/>
        <v>2494</v>
      </c>
      <c r="J480" s="68" t="s">
        <v>32</v>
      </c>
      <c r="K480" s="68" t="s">
        <v>33</v>
      </c>
      <c r="L480" s="69">
        <v>2494</v>
      </c>
      <c r="M480" s="65">
        <f t="shared" si="99"/>
        <v>66.829224</v>
      </c>
      <c r="N480" s="69" t="s">
        <v>34</v>
      </c>
      <c r="O480" s="67"/>
      <c r="P480" s="74"/>
      <c r="Q480" s="71">
        <f>VLOOKUP($F480,[2]装箱单!$A:$E,5,0)</f>
        <v>42</v>
      </c>
      <c r="R480" s="71">
        <f>VLOOKUP($F480,[2]装箱单!$A:$F,6,0)</f>
        <v>22</v>
      </c>
      <c r="S480" s="71">
        <f>VLOOKUP($F480,[2]装箱单!$A:$G,7,0)</f>
        <v>29</v>
      </c>
      <c r="T480" s="72">
        <f>VLOOKUP($F480,[2]装箱单!$A:$J,10,0)</f>
        <v>0.026796</v>
      </c>
      <c r="U480" s="73">
        <f t="shared" si="100"/>
        <v>66.829224</v>
      </c>
      <c r="V480" s="12"/>
    </row>
    <row r="481" s="1" customFormat="1" ht="29.1" customHeight="1" spans="1:22">
      <c r="A481" s="62">
        <v>46228</v>
      </c>
      <c r="B481" s="63" t="s">
        <v>1816</v>
      </c>
      <c r="C481" s="64" t="s">
        <v>1817</v>
      </c>
      <c r="D481" s="66" t="s">
        <v>1818</v>
      </c>
      <c r="E481" s="67" t="s">
        <v>1819</v>
      </c>
      <c r="F481" s="66">
        <v>46134</v>
      </c>
      <c r="G481" s="67" t="str">
        <f>VLOOKUP(F481,[2]装箱单!$A:$C,3,0)</f>
        <v>海洋奇缘系列</v>
      </c>
      <c r="H481" s="67">
        <v>500</v>
      </c>
      <c r="I481" s="68">
        <f>+L481*2</f>
        <v>1000</v>
      </c>
      <c r="J481" s="68" t="s">
        <v>32</v>
      </c>
      <c r="K481" s="68" t="s">
        <v>33</v>
      </c>
      <c r="L481" s="69">
        <v>500</v>
      </c>
      <c r="M481" s="65">
        <f t="shared" si="99"/>
        <v>11.182859016</v>
      </c>
      <c r="N481" s="69" t="s">
        <v>34</v>
      </c>
      <c r="O481" s="67"/>
      <c r="P481" s="74"/>
      <c r="Q481" s="71">
        <f>VLOOKUP($F481,[2]装箱单!$A:$E,5,0)</f>
        <v>40.01</v>
      </c>
      <c r="R481" s="71">
        <f>VLOOKUP($F481,[2]装箱单!$A:$F,6,0)</f>
        <v>26.67</v>
      </c>
      <c r="S481" s="71">
        <f>VLOOKUP($F481,[2]装箱单!$A:$G,7,0)</f>
        <v>20.96</v>
      </c>
      <c r="T481" s="72">
        <f>VLOOKUP($F481,[2]装箱单!$A:$J,10,0)</f>
        <v>0.022365718032</v>
      </c>
      <c r="U481" s="73">
        <f t="shared" si="100"/>
        <v>11.182859016</v>
      </c>
      <c r="V481" s="12"/>
    </row>
    <row r="482" s="1" customFormat="1" ht="29.1" customHeight="1" spans="1:22">
      <c r="A482" s="62"/>
      <c r="B482" s="63"/>
      <c r="C482" s="64"/>
      <c r="D482" s="66"/>
      <c r="E482" s="66"/>
      <c r="F482" s="67"/>
      <c r="G482" s="67"/>
      <c r="H482" s="67"/>
      <c r="I482" s="68"/>
      <c r="J482" s="68"/>
      <c r="K482" s="68"/>
      <c r="L482" s="69"/>
      <c r="M482" s="65">
        <f>SUM(M477:M481)</f>
        <v>132.137209533504</v>
      </c>
      <c r="N482" s="69"/>
      <c r="O482" s="67"/>
      <c r="P482" s="75"/>
      <c r="Q482" s="71"/>
      <c r="R482" s="71"/>
      <c r="S482" s="71"/>
      <c r="T482" s="72"/>
      <c r="U482" s="73"/>
      <c r="V482" s="12"/>
    </row>
    <row r="483" s="1" customFormat="1" ht="29.1" customHeight="1" spans="1:22">
      <c r="A483" s="62">
        <v>46230</v>
      </c>
      <c r="B483" s="63" t="s">
        <v>40</v>
      </c>
      <c r="C483" s="64" t="s">
        <v>1824</v>
      </c>
      <c r="D483" s="66" t="s">
        <v>1825</v>
      </c>
      <c r="E483" s="66">
        <v>996634765</v>
      </c>
      <c r="F483" s="66" t="s">
        <v>179</v>
      </c>
      <c r="G483" s="67" t="str">
        <f>VLOOKUP(F483,[2]装箱单!$A:$C,3,0)</f>
        <v>搪胶小鸭</v>
      </c>
      <c r="H483" s="67">
        <v>810</v>
      </c>
      <c r="I483" s="68">
        <f>+L483*24</f>
        <v>19440</v>
      </c>
      <c r="J483" s="68" t="s">
        <v>32</v>
      </c>
      <c r="K483" s="68" t="s">
        <v>33</v>
      </c>
      <c r="L483" s="69">
        <v>810</v>
      </c>
      <c r="M483" s="65">
        <f t="shared" ref="M483:M500" si="102">+U483</f>
        <v>10.77219</v>
      </c>
      <c r="N483" s="69" t="s">
        <v>34</v>
      </c>
      <c r="O483" s="67"/>
      <c r="P483" s="70" t="s">
        <v>183</v>
      </c>
      <c r="Q483" s="71">
        <f>VLOOKUP($F483,[2]装箱单!$A:$E,5,0)</f>
        <v>31</v>
      </c>
      <c r="R483" s="71">
        <f>VLOOKUP($F483,[2]装箱单!$A:$F,6,0)</f>
        <v>22</v>
      </c>
      <c r="S483" s="71">
        <f>VLOOKUP($F483,[2]装箱单!$A:$G,7,0)</f>
        <v>19.5</v>
      </c>
      <c r="T483" s="72">
        <f>VLOOKUP($F483,[2]装箱单!$A:$J,10,0)</f>
        <v>0.013299</v>
      </c>
      <c r="U483" s="73">
        <f t="shared" ref="U483:U500" si="103">+T483*L483</f>
        <v>10.77219</v>
      </c>
      <c r="V483" s="12"/>
    </row>
    <row r="484" s="1" customFormat="1" ht="29.1" customHeight="1" spans="1:22">
      <c r="A484" s="62">
        <v>46230</v>
      </c>
      <c r="B484" s="63" t="s">
        <v>40</v>
      </c>
      <c r="C484" s="64" t="s">
        <v>1826</v>
      </c>
      <c r="D484" s="66" t="s">
        <v>1827</v>
      </c>
      <c r="E484" s="66">
        <v>996634780</v>
      </c>
      <c r="F484" s="66" t="s">
        <v>179</v>
      </c>
      <c r="G484" s="67" t="str">
        <f>VLOOKUP(F484,[2]装箱单!$A:$C,3,0)</f>
        <v>搪胶小鸭</v>
      </c>
      <c r="H484" s="67">
        <v>1080</v>
      </c>
      <c r="I484" s="68">
        <f>+L484*24</f>
        <v>25920</v>
      </c>
      <c r="J484" s="68" t="s">
        <v>32</v>
      </c>
      <c r="K484" s="68" t="s">
        <v>33</v>
      </c>
      <c r="L484" s="69">
        <v>1080</v>
      </c>
      <c r="M484" s="65">
        <f t="shared" si="102"/>
        <v>14.36292</v>
      </c>
      <c r="N484" s="69" t="s">
        <v>34</v>
      </c>
      <c r="O484" s="67"/>
      <c r="P484" s="74"/>
      <c r="Q484" s="71">
        <f>VLOOKUP($F484,[2]装箱单!$A:$E,5,0)</f>
        <v>31</v>
      </c>
      <c r="R484" s="71">
        <f>VLOOKUP($F484,[2]装箱单!$A:$F,6,0)</f>
        <v>22</v>
      </c>
      <c r="S484" s="71">
        <f>VLOOKUP($F484,[2]装箱单!$A:$G,7,0)</f>
        <v>19.5</v>
      </c>
      <c r="T484" s="72">
        <f>VLOOKUP($F484,[2]装箱单!$A:$J,10,0)</f>
        <v>0.013299</v>
      </c>
      <c r="U484" s="73">
        <f t="shared" si="103"/>
        <v>14.36292</v>
      </c>
      <c r="V484" s="12"/>
    </row>
    <row r="485" s="1" customFormat="1" ht="29.1" customHeight="1" spans="1:22">
      <c r="A485" s="62">
        <v>46230</v>
      </c>
      <c r="B485" s="63" t="s">
        <v>1828</v>
      </c>
      <c r="C485" s="64" t="s">
        <v>1829</v>
      </c>
      <c r="D485" s="66" t="s">
        <v>1830</v>
      </c>
      <c r="E485" s="67" t="s">
        <v>1831</v>
      </c>
      <c r="F485" s="66" t="s">
        <v>1449</v>
      </c>
      <c r="G485" s="67" t="str">
        <f>VLOOKUP(F485,[2]装箱单!$A:$C,3,0)</f>
        <v>搪胶小鸭子系列</v>
      </c>
      <c r="H485" s="67">
        <v>225</v>
      </c>
      <c r="I485" s="68">
        <f t="shared" ref="I485:I490" si="104">+L485*48</f>
        <v>10800</v>
      </c>
      <c r="J485" s="68" t="s">
        <v>32</v>
      </c>
      <c r="K485" s="68" t="s">
        <v>33</v>
      </c>
      <c r="L485" s="69">
        <v>225</v>
      </c>
      <c r="M485" s="65">
        <f t="shared" si="102"/>
        <v>9.196463925</v>
      </c>
      <c r="N485" s="69" t="s">
        <v>34</v>
      </c>
      <c r="O485" s="67"/>
      <c r="P485" s="74"/>
      <c r="Q485" s="71">
        <f>VLOOKUP($F485,[2]装箱单!$A:$E,5,0)</f>
        <v>37.15</v>
      </c>
      <c r="R485" s="71">
        <f>VLOOKUP($F485,[2]装箱单!$A:$F,6,0)</f>
        <v>33</v>
      </c>
      <c r="S485" s="71">
        <f>VLOOKUP($F485,[2]装箱单!$A:$G,7,0)</f>
        <v>33.34</v>
      </c>
      <c r="T485" s="72">
        <f>VLOOKUP($F485,[2]装箱单!$A:$J,10,0)</f>
        <v>0.040873173</v>
      </c>
      <c r="U485" s="73">
        <f t="shared" si="103"/>
        <v>9.196463925</v>
      </c>
      <c r="V485" s="12"/>
    </row>
    <row r="486" s="1" customFormat="1" ht="29.1" customHeight="1" spans="1:22">
      <c r="A486" s="62">
        <v>46230</v>
      </c>
      <c r="B486" s="63" t="s">
        <v>1828</v>
      </c>
      <c r="C486" s="64" t="s">
        <v>1832</v>
      </c>
      <c r="D486" s="66" t="s">
        <v>1833</v>
      </c>
      <c r="E486" s="67" t="s">
        <v>1834</v>
      </c>
      <c r="F486" s="66" t="s">
        <v>1449</v>
      </c>
      <c r="G486" s="67" t="str">
        <f>VLOOKUP(F486,[2]装箱单!$A:$C,3,0)</f>
        <v>搪胶小鸭子系列</v>
      </c>
      <c r="H486" s="67">
        <v>75</v>
      </c>
      <c r="I486" s="68">
        <f t="shared" si="104"/>
        <v>3600</v>
      </c>
      <c r="J486" s="68" t="s">
        <v>32</v>
      </c>
      <c r="K486" s="68" t="s">
        <v>33</v>
      </c>
      <c r="L486" s="69">
        <v>75</v>
      </c>
      <c r="M486" s="65">
        <f t="shared" si="102"/>
        <v>3.065487975</v>
      </c>
      <c r="N486" s="69" t="s">
        <v>34</v>
      </c>
      <c r="O486" s="67"/>
      <c r="P486" s="74"/>
      <c r="Q486" s="71">
        <f>VLOOKUP($F486,[2]装箱单!$A:$E,5,0)</f>
        <v>37.15</v>
      </c>
      <c r="R486" s="71">
        <f>VLOOKUP($F486,[2]装箱单!$A:$F,6,0)</f>
        <v>33</v>
      </c>
      <c r="S486" s="71">
        <f>VLOOKUP($F486,[2]装箱单!$A:$G,7,0)</f>
        <v>33.34</v>
      </c>
      <c r="T486" s="72">
        <f>VLOOKUP($F486,[2]装箱单!$A:$J,10,0)</f>
        <v>0.040873173</v>
      </c>
      <c r="U486" s="73">
        <f t="shared" si="103"/>
        <v>3.065487975</v>
      </c>
      <c r="V486" s="12"/>
    </row>
    <row r="487" s="1" customFormat="1" ht="29.1" customHeight="1" spans="1:22">
      <c r="A487" s="62">
        <v>46230</v>
      </c>
      <c r="B487" s="63" t="s">
        <v>1835</v>
      </c>
      <c r="C487" s="64" t="s">
        <v>1836</v>
      </c>
      <c r="D487" s="66" t="s">
        <v>1837</v>
      </c>
      <c r="E487" s="67" t="s">
        <v>1838</v>
      </c>
      <c r="F487" s="66" t="s">
        <v>1449</v>
      </c>
      <c r="G487" s="67" t="str">
        <f>VLOOKUP(F487,[2]装箱单!$A:$C,3,0)</f>
        <v>搪胶小鸭子系列</v>
      </c>
      <c r="H487" s="67">
        <v>50</v>
      </c>
      <c r="I487" s="68">
        <f t="shared" si="104"/>
        <v>2400</v>
      </c>
      <c r="J487" s="68" t="s">
        <v>32</v>
      </c>
      <c r="K487" s="68" t="s">
        <v>33</v>
      </c>
      <c r="L487" s="69">
        <v>50</v>
      </c>
      <c r="M487" s="65">
        <f t="shared" si="102"/>
        <v>2.04365865</v>
      </c>
      <c r="N487" s="69" t="s">
        <v>34</v>
      </c>
      <c r="O487" s="67"/>
      <c r="P487" s="74"/>
      <c r="Q487" s="71">
        <f>VLOOKUP($F487,[2]装箱单!$A:$E,5,0)</f>
        <v>37.15</v>
      </c>
      <c r="R487" s="71">
        <f>VLOOKUP($F487,[2]装箱单!$A:$F,6,0)</f>
        <v>33</v>
      </c>
      <c r="S487" s="71">
        <f>VLOOKUP($F487,[2]装箱单!$A:$G,7,0)</f>
        <v>33.34</v>
      </c>
      <c r="T487" s="72">
        <f>VLOOKUP($F487,[2]装箱单!$A:$J,10,0)</f>
        <v>0.040873173</v>
      </c>
      <c r="U487" s="73">
        <f t="shared" si="103"/>
        <v>2.04365865</v>
      </c>
      <c r="V487" s="12"/>
    </row>
    <row r="488" s="1" customFormat="1" ht="29.1" customHeight="1" spans="1:22">
      <c r="A488" s="62">
        <v>46230</v>
      </c>
      <c r="B488" s="63" t="s">
        <v>104</v>
      </c>
      <c r="C488" s="64" t="s">
        <v>1839</v>
      </c>
      <c r="D488" s="66" t="s">
        <v>1840</v>
      </c>
      <c r="E488" s="67" t="s">
        <v>1841</v>
      </c>
      <c r="F488" s="66" t="s">
        <v>51</v>
      </c>
      <c r="G488" s="67" t="str">
        <f>VLOOKUP(F488,[2]装箱单!$A:$C,3,0)</f>
        <v>鸭子</v>
      </c>
      <c r="H488" s="67">
        <v>150</v>
      </c>
      <c r="I488" s="68">
        <f t="shared" si="104"/>
        <v>7200</v>
      </c>
      <c r="J488" s="68" t="s">
        <v>32</v>
      </c>
      <c r="K488" s="68" t="s">
        <v>33</v>
      </c>
      <c r="L488" s="69">
        <v>150</v>
      </c>
      <c r="M488" s="65">
        <f t="shared" si="102"/>
        <v>6.13097595</v>
      </c>
      <c r="N488" s="69" t="s">
        <v>34</v>
      </c>
      <c r="O488" s="67"/>
      <c r="P488" s="74"/>
      <c r="Q488" s="71">
        <f>VLOOKUP($F488,[2]装箱单!$A:$E,5,0)</f>
        <v>37.15</v>
      </c>
      <c r="R488" s="71">
        <f>VLOOKUP($F488,[2]装箱单!$A:$F,6,0)</f>
        <v>33</v>
      </c>
      <c r="S488" s="71">
        <f>VLOOKUP($F488,[2]装箱单!$A:$G,7,0)</f>
        <v>33.34</v>
      </c>
      <c r="T488" s="72">
        <f>VLOOKUP($F488,[2]装箱单!$A:$J,10,0)</f>
        <v>0.040873173</v>
      </c>
      <c r="U488" s="73">
        <f t="shared" si="103"/>
        <v>6.13097595</v>
      </c>
      <c r="V488" s="12"/>
    </row>
    <row r="489" s="1" customFormat="1" ht="29.1" customHeight="1" spans="1:22">
      <c r="A489" s="62">
        <v>46230</v>
      </c>
      <c r="B489" s="63" t="s">
        <v>104</v>
      </c>
      <c r="C489" s="64" t="s">
        <v>1842</v>
      </c>
      <c r="D489" s="66" t="s">
        <v>1843</v>
      </c>
      <c r="E489" s="67" t="s">
        <v>1844</v>
      </c>
      <c r="F489" s="66" t="s">
        <v>51</v>
      </c>
      <c r="G489" s="67" t="str">
        <f>VLOOKUP(F489,[2]装箱单!$A:$C,3,0)</f>
        <v>鸭子</v>
      </c>
      <c r="H489" s="67">
        <v>50</v>
      </c>
      <c r="I489" s="68">
        <f t="shared" si="104"/>
        <v>2400</v>
      </c>
      <c r="J489" s="68" t="s">
        <v>32</v>
      </c>
      <c r="K489" s="68" t="s">
        <v>33</v>
      </c>
      <c r="L489" s="69">
        <v>50</v>
      </c>
      <c r="M489" s="65">
        <f t="shared" si="102"/>
        <v>2.04365865</v>
      </c>
      <c r="N489" s="69" t="s">
        <v>34</v>
      </c>
      <c r="O489" s="67"/>
      <c r="P489" s="74"/>
      <c r="Q489" s="71">
        <f>VLOOKUP($F489,[2]装箱单!$A:$E,5,0)</f>
        <v>37.15</v>
      </c>
      <c r="R489" s="71">
        <f>VLOOKUP($F489,[2]装箱单!$A:$F,6,0)</f>
        <v>33</v>
      </c>
      <c r="S489" s="71">
        <f>VLOOKUP($F489,[2]装箱单!$A:$G,7,0)</f>
        <v>33.34</v>
      </c>
      <c r="T489" s="72">
        <f>VLOOKUP($F489,[2]装箱单!$A:$J,10,0)</f>
        <v>0.040873173</v>
      </c>
      <c r="U489" s="73">
        <f t="shared" si="103"/>
        <v>2.04365865</v>
      </c>
      <c r="V489" s="12"/>
    </row>
    <row r="490" s="1" customFormat="1" ht="29.1" customHeight="1" spans="1:22">
      <c r="A490" s="62">
        <v>46230</v>
      </c>
      <c r="B490" s="63" t="s">
        <v>104</v>
      </c>
      <c r="C490" s="64" t="s">
        <v>1845</v>
      </c>
      <c r="D490" s="66" t="s">
        <v>1846</v>
      </c>
      <c r="E490" s="67" t="s">
        <v>1847</v>
      </c>
      <c r="F490" s="66" t="s">
        <v>51</v>
      </c>
      <c r="G490" s="67" t="str">
        <f>VLOOKUP(F490,[2]装箱单!$A:$C,3,0)</f>
        <v>鸭子</v>
      </c>
      <c r="H490" s="67">
        <v>50</v>
      </c>
      <c r="I490" s="68">
        <f t="shared" si="104"/>
        <v>2400</v>
      </c>
      <c r="J490" s="68" t="s">
        <v>32</v>
      </c>
      <c r="K490" s="68" t="s">
        <v>33</v>
      </c>
      <c r="L490" s="69">
        <v>50</v>
      </c>
      <c r="M490" s="65">
        <f t="shared" si="102"/>
        <v>2.04365865</v>
      </c>
      <c r="N490" s="69" t="s">
        <v>34</v>
      </c>
      <c r="O490" s="67"/>
      <c r="P490" s="74"/>
      <c r="Q490" s="71">
        <f>VLOOKUP($F490,[2]装箱单!$A:$E,5,0)</f>
        <v>37.15</v>
      </c>
      <c r="R490" s="71">
        <f>VLOOKUP($F490,[2]装箱单!$A:$F,6,0)</f>
        <v>33</v>
      </c>
      <c r="S490" s="71">
        <f>VLOOKUP($F490,[2]装箱单!$A:$G,7,0)</f>
        <v>33.34</v>
      </c>
      <c r="T490" s="72">
        <f>VLOOKUP($F490,[2]装箱单!$A:$J,10,0)</f>
        <v>0.040873173</v>
      </c>
      <c r="U490" s="73">
        <f t="shared" si="103"/>
        <v>2.04365865</v>
      </c>
      <c r="V490" s="12"/>
    </row>
    <row r="491" s="1" customFormat="1" ht="29.1" customHeight="1" spans="1:22">
      <c r="A491" s="62">
        <v>46230</v>
      </c>
      <c r="B491" s="63" t="s">
        <v>1816</v>
      </c>
      <c r="C491" s="64" t="s">
        <v>1817</v>
      </c>
      <c r="D491" s="66" t="s">
        <v>1742</v>
      </c>
      <c r="E491" s="67" t="s">
        <v>1819</v>
      </c>
      <c r="F491" s="66">
        <v>46092</v>
      </c>
      <c r="G491" s="67" t="str">
        <f>VLOOKUP(F491,[2]装箱单!$A:$C,3,0)</f>
        <v>玩具总动员系列</v>
      </c>
      <c r="H491" s="67">
        <v>438</v>
      </c>
      <c r="I491" s="68">
        <f t="shared" ref="I491:I500" si="105">+L491*2</f>
        <v>876</v>
      </c>
      <c r="J491" s="68" t="s">
        <v>32</v>
      </c>
      <c r="K491" s="68" t="s">
        <v>33</v>
      </c>
      <c r="L491" s="69">
        <v>438</v>
      </c>
      <c r="M491" s="65">
        <f t="shared" si="102"/>
        <v>9.796184498016</v>
      </c>
      <c r="N491" s="69" t="s">
        <v>34</v>
      </c>
      <c r="O491" s="67"/>
      <c r="P491" s="74"/>
      <c r="Q491" s="71">
        <f>VLOOKUP($F491,[2]装箱单!$A:$E,5,0)</f>
        <v>40.01</v>
      </c>
      <c r="R491" s="71">
        <f>VLOOKUP($F491,[2]装箱单!$A:$F,6,0)</f>
        <v>26.67</v>
      </c>
      <c r="S491" s="71">
        <f>VLOOKUP($F491,[2]装箱单!$A:$G,7,0)</f>
        <v>20.96</v>
      </c>
      <c r="T491" s="72">
        <f>VLOOKUP($F491,[2]装箱单!$A:$J,10,0)</f>
        <v>0.022365718032</v>
      </c>
      <c r="U491" s="73">
        <f t="shared" si="103"/>
        <v>9.796184498016</v>
      </c>
      <c r="V491" s="12"/>
    </row>
    <row r="492" s="1" customFormat="1" ht="29.1" customHeight="1" spans="1:22">
      <c r="A492" s="62">
        <v>46230</v>
      </c>
      <c r="B492" s="63" t="s">
        <v>1816</v>
      </c>
      <c r="C492" s="64" t="s">
        <v>1817</v>
      </c>
      <c r="D492" s="66" t="s">
        <v>1818</v>
      </c>
      <c r="E492" s="67" t="s">
        <v>1819</v>
      </c>
      <c r="F492" s="66">
        <v>46097</v>
      </c>
      <c r="G492" s="67" t="str">
        <f>VLOOKUP(F492,[2]装箱单!$A:$C,3,0)</f>
        <v>小熊维尼历险记系列</v>
      </c>
      <c r="H492" s="67">
        <v>300</v>
      </c>
      <c r="I492" s="68">
        <f t="shared" si="105"/>
        <v>600</v>
      </c>
      <c r="J492" s="68" t="s">
        <v>32</v>
      </c>
      <c r="K492" s="68" t="s">
        <v>33</v>
      </c>
      <c r="L492" s="69">
        <v>300</v>
      </c>
      <c r="M492" s="65">
        <f t="shared" si="102"/>
        <v>6.7097154096</v>
      </c>
      <c r="N492" s="69" t="s">
        <v>34</v>
      </c>
      <c r="O492" s="67"/>
      <c r="P492" s="74"/>
      <c r="Q492" s="71">
        <f>VLOOKUP($F492,[2]装箱单!$A:$E,5,0)</f>
        <v>40.01</v>
      </c>
      <c r="R492" s="71">
        <f>VLOOKUP($F492,[2]装箱单!$A:$F,6,0)</f>
        <v>26.67</v>
      </c>
      <c r="S492" s="71">
        <f>VLOOKUP($F492,[2]装箱单!$A:$G,7,0)</f>
        <v>20.96</v>
      </c>
      <c r="T492" s="72">
        <f>VLOOKUP($F492,[2]装箱单!$A:$J,10,0)</f>
        <v>0.022365718032</v>
      </c>
      <c r="U492" s="73">
        <f t="shared" si="103"/>
        <v>6.7097154096</v>
      </c>
      <c r="V492" s="12"/>
    </row>
    <row r="493" s="1" customFormat="1" ht="29.1" customHeight="1" spans="1:22">
      <c r="A493" s="62">
        <v>46230</v>
      </c>
      <c r="B493" s="63" t="s">
        <v>1816</v>
      </c>
      <c r="C493" s="64" t="s">
        <v>1817</v>
      </c>
      <c r="D493" s="66" t="s">
        <v>1818</v>
      </c>
      <c r="E493" s="67" t="s">
        <v>1819</v>
      </c>
      <c r="F493" s="66">
        <v>46099</v>
      </c>
      <c r="G493" s="67" t="str">
        <f>VLOOKUP(F493,[2]装箱单!$A:$C,3,0)</f>
        <v>米奇老鼠系列</v>
      </c>
      <c r="H493" s="67">
        <v>100</v>
      </c>
      <c r="I493" s="68">
        <f t="shared" si="105"/>
        <v>200</v>
      </c>
      <c r="J493" s="68" t="s">
        <v>32</v>
      </c>
      <c r="K493" s="68" t="s">
        <v>33</v>
      </c>
      <c r="L493" s="69">
        <v>100</v>
      </c>
      <c r="M493" s="65">
        <f t="shared" si="102"/>
        <v>2.2365718032</v>
      </c>
      <c r="N493" s="69" t="s">
        <v>34</v>
      </c>
      <c r="O493" s="67"/>
      <c r="P493" s="74"/>
      <c r="Q493" s="71">
        <f>VLOOKUP($F493,[2]装箱单!$A:$E,5,0)</f>
        <v>40.01</v>
      </c>
      <c r="R493" s="71">
        <f>VLOOKUP($F493,[2]装箱单!$A:$F,6,0)</f>
        <v>26.67</v>
      </c>
      <c r="S493" s="71">
        <f>VLOOKUP($F493,[2]装箱单!$A:$G,7,0)</f>
        <v>20.96</v>
      </c>
      <c r="T493" s="72">
        <f>VLOOKUP($F493,[2]装箱单!$A:$J,10,0)</f>
        <v>0.022365718032</v>
      </c>
      <c r="U493" s="73">
        <f t="shared" si="103"/>
        <v>2.2365718032</v>
      </c>
      <c r="V493" s="12"/>
    </row>
    <row r="494" s="1" customFormat="1" ht="29.1" customHeight="1" spans="1:22">
      <c r="A494" s="62">
        <v>46230</v>
      </c>
      <c r="B494" s="63" t="s">
        <v>1816</v>
      </c>
      <c r="C494" s="64" t="s">
        <v>1817</v>
      </c>
      <c r="D494" s="66" t="s">
        <v>1818</v>
      </c>
      <c r="E494" s="67" t="s">
        <v>1819</v>
      </c>
      <c r="F494" s="66">
        <v>46132</v>
      </c>
      <c r="G494" s="67" t="str">
        <f>VLOOKUP(F494,[2]装箱单!$A:$C,3,0)</f>
        <v>赛车总动员系列</v>
      </c>
      <c r="H494" s="67">
        <v>300</v>
      </c>
      <c r="I494" s="68">
        <f t="shared" si="105"/>
        <v>600</v>
      </c>
      <c r="J494" s="68" t="s">
        <v>32</v>
      </c>
      <c r="K494" s="68" t="s">
        <v>33</v>
      </c>
      <c r="L494" s="69">
        <v>300</v>
      </c>
      <c r="M494" s="65">
        <f t="shared" si="102"/>
        <v>6.7097154096</v>
      </c>
      <c r="N494" s="69" t="s">
        <v>34</v>
      </c>
      <c r="O494" s="67"/>
      <c r="P494" s="74"/>
      <c r="Q494" s="71">
        <f>VLOOKUP($F494,[2]装箱单!$A:$E,5,0)</f>
        <v>40.01</v>
      </c>
      <c r="R494" s="71">
        <f>VLOOKUP($F494,[2]装箱单!$A:$F,6,0)</f>
        <v>26.67</v>
      </c>
      <c r="S494" s="71">
        <f>VLOOKUP($F494,[2]装箱单!$A:$G,7,0)</f>
        <v>20.96</v>
      </c>
      <c r="T494" s="72">
        <f>VLOOKUP($F494,[2]装箱单!$A:$J,10,0)</f>
        <v>0.022365718032</v>
      </c>
      <c r="U494" s="73">
        <f t="shared" si="103"/>
        <v>6.7097154096</v>
      </c>
      <c r="V494" s="12"/>
    </row>
    <row r="495" s="1" customFormat="1" ht="29.1" customHeight="1" spans="1:22">
      <c r="A495" s="62">
        <v>46230</v>
      </c>
      <c r="B495" s="63" t="s">
        <v>1848</v>
      </c>
      <c r="C495" s="64" t="s">
        <v>1849</v>
      </c>
      <c r="D495" s="66" t="s">
        <v>1850</v>
      </c>
      <c r="E495" s="67"/>
      <c r="F495" s="66">
        <v>46099</v>
      </c>
      <c r="G495" s="67" t="str">
        <f>VLOOKUP(F495,[2]装箱单!$A:$C,3,0)</f>
        <v>米奇老鼠系列</v>
      </c>
      <c r="H495" s="67">
        <v>250</v>
      </c>
      <c r="I495" s="68">
        <f t="shared" si="105"/>
        <v>500</v>
      </c>
      <c r="J495" s="68" t="s">
        <v>32</v>
      </c>
      <c r="K495" s="68" t="s">
        <v>33</v>
      </c>
      <c r="L495" s="69">
        <v>250</v>
      </c>
      <c r="M495" s="65">
        <f t="shared" si="102"/>
        <v>5.591429508</v>
      </c>
      <c r="N495" s="69" t="s">
        <v>34</v>
      </c>
      <c r="O495" s="67"/>
      <c r="P495" s="74"/>
      <c r="Q495" s="71">
        <f>VLOOKUP($F495,[2]装箱单!$A:$E,5,0)</f>
        <v>40.01</v>
      </c>
      <c r="R495" s="71">
        <f>VLOOKUP($F495,[2]装箱单!$A:$F,6,0)</f>
        <v>26.67</v>
      </c>
      <c r="S495" s="71">
        <f>VLOOKUP($F495,[2]装箱单!$A:$G,7,0)</f>
        <v>20.96</v>
      </c>
      <c r="T495" s="72">
        <f>VLOOKUP($F495,[2]装箱单!$A:$J,10,0)</f>
        <v>0.022365718032</v>
      </c>
      <c r="U495" s="73">
        <f t="shared" si="103"/>
        <v>5.591429508</v>
      </c>
      <c r="V495" s="12"/>
    </row>
    <row r="496" s="1" customFormat="1" ht="29.1" customHeight="1" spans="1:22">
      <c r="A496" s="62">
        <v>46230</v>
      </c>
      <c r="B496" s="63" t="s">
        <v>1157</v>
      </c>
      <c r="C496" s="64" t="s">
        <v>1851</v>
      </c>
      <c r="D496" s="66" t="s">
        <v>1852</v>
      </c>
      <c r="E496" s="67" t="s">
        <v>1853</v>
      </c>
      <c r="F496" s="66">
        <v>46097</v>
      </c>
      <c r="G496" s="67" t="str">
        <f>VLOOKUP(F496,[2]装箱单!$A:$C,3,0)</f>
        <v>小熊维尼历险记系列</v>
      </c>
      <c r="H496" s="67">
        <v>300</v>
      </c>
      <c r="I496" s="68">
        <f t="shared" si="105"/>
        <v>600</v>
      </c>
      <c r="J496" s="68" t="s">
        <v>32</v>
      </c>
      <c r="K496" s="68" t="s">
        <v>33</v>
      </c>
      <c r="L496" s="69">
        <v>300</v>
      </c>
      <c r="M496" s="65">
        <f t="shared" si="102"/>
        <v>6.7097154096</v>
      </c>
      <c r="N496" s="69" t="s">
        <v>34</v>
      </c>
      <c r="O496" s="67" t="s">
        <v>1854</v>
      </c>
      <c r="P496" s="74"/>
      <c r="Q496" s="71">
        <f>VLOOKUP($F496,[2]装箱单!$A:$E,5,0)</f>
        <v>40.01</v>
      </c>
      <c r="R496" s="71">
        <f>VLOOKUP($F496,[2]装箱单!$A:$F,6,0)</f>
        <v>26.67</v>
      </c>
      <c r="S496" s="71">
        <f>VLOOKUP($F496,[2]装箱单!$A:$G,7,0)</f>
        <v>20.96</v>
      </c>
      <c r="T496" s="72">
        <f>VLOOKUP($F496,[2]装箱单!$A:$J,10,0)</f>
        <v>0.022365718032</v>
      </c>
      <c r="U496" s="73">
        <f t="shared" si="103"/>
        <v>6.7097154096</v>
      </c>
      <c r="V496" s="12"/>
    </row>
    <row r="497" s="1" customFormat="1" ht="29.1" customHeight="1" spans="1:22">
      <c r="A497" s="62">
        <v>46230</v>
      </c>
      <c r="B497" s="63" t="s">
        <v>1157</v>
      </c>
      <c r="C497" s="64" t="s">
        <v>1851</v>
      </c>
      <c r="D497" s="66" t="s">
        <v>1852</v>
      </c>
      <c r="E497" s="67" t="s">
        <v>1853</v>
      </c>
      <c r="F497" s="66">
        <v>46496</v>
      </c>
      <c r="G497" s="67" t="str">
        <f>VLOOKUP(F497,[2]装箱单!$A:$C,3,0)</f>
        <v>米妮系列</v>
      </c>
      <c r="H497" s="67">
        <v>150</v>
      </c>
      <c r="I497" s="68">
        <f t="shared" si="105"/>
        <v>300</v>
      </c>
      <c r="J497" s="68" t="s">
        <v>32</v>
      </c>
      <c r="K497" s="68" t="s">
        <v>33</v>
      </c>
      <c r="L497" s="69">
        <v>150</v>
      </c>
      <c r="M497" s="65">
        <f t="shared" si="102"/>
        <v>3.3548577048</v>
      </c>
      <c r="N497" s="69" t="s">
        <v>34</v>
      </c>
      <c r="O497" s="67" t="s">
        <v>1854</v>
      </c>
      <c r="P497" s="74"/>
      <c r="Q497" s="71">
        <f>VLOOKUP($F497,[2]装箱单!$A:$E,5,0)</f>
        <v>40.01</v>
      </c>
      <c r="R497" s="71">
        <f>VLOOKUP($F497,[2]装箱单!$A:$F,6,0)</f>
        <v>26.67</v>
      </c>
      <c r="S497" s="71">
        <f>VLOOKUP($F497,[2]装箱单!$A:$G,7,0)</f>
        <v>20.96</v>
      </c>
      <c r="T497" s="72">
        <f>VLOOKUP($F497,[2]装箱单!$A:$J,10,0)</f>
        <v>0.022365718032</v>
      </c>
      <c r="U497" s="73">
        <f t="shared" si="103"/>
        <v>3.3548577048</v>
      </c>
      <c r="V497" s="12"/>
    </row>
    <row r="498" s="1" customFormat="1" ht="29.1" customHeight="1" spans="1:22">
      <c r="A498" s="62">
        <v>46230</v>
      </c>
      <c r="B498" s="63" t="s">
        <v>1190</v>
      </c>
      <c r="C498" s="64" t="s">
        <v>1673</v>
      </c>
      <c r="D498" s="66" t="s">
        <v>1674</v>
      </c>
      <c r="E498" s="67" t="s">
        <v>1675</v>
      </c>
      <c r="F498" s="66">
        <v>46462</v>
      </c>
      <c r="G498" s="67" t="str">
        <f>VLOOKUP(F498,[2]装箱单!$A:$C,3,0)</f>
        <v>史迪仔系列</v>
      </c>
      <c r="H498" s="67">
        <v>400</v>
      </c>
      <c r="I498" s="68">
        <f t="shared" si="105"/>
        <v>800</v>
      </c>
      <c r="J498" s="68" t="s">
        <v>32</v>
      </c>
      <c r="K498" s="68" t="s">
        <v>33</v>
      </c>
      <c r="L498" s="69">
        <v>400</v>
      </c>
      <c r="M498" s="65">
        <f t="shared" si="102"/>
        <v>8.9462872128</v>
      </c>
      <c r="N498" s="69" t="s">
        <v>34</v>
      </c>
      <c r="O498" s="67" t="s">
        <v>1854</v>
      </c>
      <c r="P498" s="74"/>
      <c r="Q498" s="71">
        <f>VLOOKUP($F498,[2]装箱单!$A:$E,5,0)</f>
        <v>40.01</v>
      </c>
      <c r="R498" s="71">
        <f>VLOOKUP($F498,[2]装箱单!$A:$F,6,0)</f>
        <v>26.67</v>
      </c>
      <c r="S498" s="71">
        <f>VLOOKUP($F498,[2]装箱单!$A:$G,7,0)</f>
        <v>20.96</v>
      </c>
      <c r="T498" s="72">
        <f>VLOOKUP($F498,[2]装箱单!$A:$J,10,0)</f>
        <v>0.022365718032</v>
      </c>
      <c r="U498" s="73">
        <f t="shared" si="103"/>
        <v>8.9462872128</v>
      </c>
      <c r="V498" s="12"/>
    </row>
    <row r="499" s="1" customFormat="1" ht="29.1" customHeight="1" spans="1:22">
      <c r="A499" s="62">
        <v>46230</v>
      </c>
      <c r="B499" s="63" t="s">
        <v>1816</v>
      </c>
      <c r="C499" s="64" t="s">
        <v>1817</v>
      </c>
      <c r="D499" s="66" t="s">
        <v>1818</v>
      </c>
      <c r="E499" s="67" t="s">
        <v>1819</v>
      </c>
      <c r="F499" s="66">
        <v>46462</v>
      </c>
      <c r="G499" s="67" t="str">
        <f>VLOOKUP(F499,[2]装箱单!$A:$C,3,0)</f>
        <v>史迪仔系列</v>
      </c>
      <c r="H499" s="67">
        <v>750</v>
      </c>
      <c r="I499" s="68">
        <f t="shared" si="105"/>
        <v>156</v>
      </c>
      <c r="J499" s="68" t="s">
        <v>32</v>
      </c>
      <c r="K499" s="68" t="s">
        <v>33</v>
      </c>
      <c r="L499" s="69">
        <f>750-672</f>
        <v>78</v>
      </c>
      <c r="M499" s="65">
        <f t="shared" si="102"/>
        <v>1.744526006496</v>
      </c>
      <c r="N499" s="69" t="s">
        <v>34</v>
      </c>
      <c r="O499" s="67"/>
      <c r="P499" s="74"/>
      <c r="Q499" s="71">
        <f>VLOOKUP($F499,[2]装箱单!$A:$E,5,0)</f>
        <v>40.01</v>
      </c>
      <c r="R499" s="71">
        <f>VLOOKUP($F499,[2]装箱单!$A:$F,6,0)</f>
        <v>26.67</v>
      </c>
      <c r="S499" s="71">
        <f>VLOOKUP($F499,[2]装箱单!$A:$G,7,0)</f>
        <v>20.96</v>
      </c>
      <c r="T499" s="72">
        <f>VLOOKUP($F499,[2]装箱单!$A:$J,10,0)</f>
        <v>0.022365718032</v>
      </c>
      <c r="U499" s="73">
        <f t="shared" si="103"/>
        <v>1.744526006496</v>
      </c>
      <c r="V499" s="12"/>
    </row>
    <row r="500" s="1" customFormat="1" ht="29.1" customHeight="1" spans="1:22">
      <c r="A500" s="62">
        <v>46230</v>
      </c>
      <c r="B500" s="63" t="s">
        <v>1855</v>
      </c>
      <c r="C500" s="64">
        <v>47100</v>
      </c>
      <c r="D500" s="66"/>
      <c r="E500" s="67"/>
      <c r="F500" s="66">
        <v>571412</v>
      </c>
      <c r="G500" s="67" t="str">
        <f>VLOOKUP(F500,[2]装箱单!$A:$C,3,0)</f>
        <v> 金属货车（黄色）</v>
      </c>
      <c r="H500" s="67">
        <v>1671</v>
      </c>
      <c r="I500" s="68">
        <f t="shared" si="105"/>
        <v>2042</v>
      </c>
      <c r="J500" s="68" t="s">
        <v>32</v>
      </c>
      <c r="K500" s="68" t="s">
        <v>33</v>
      </c>
      <c r="L500" s="69">
        <v>1021</v>
      </c>
      <c r="M500" s="65">
        <f t="shared" si="102"/>
        <v>38.177232</v>
      </c>
      <c r="N500" s="69" t="s">
        <v>34</v>
      </c>
      <c r="O500" s="67"/>
      <c r="P500" s="74"/>
      <c r="Q500" s="71">
        <f>VLOOKUP($F500,[2]装箱单!$A:$E,5,0)</f>
        <v>41</v>
      </c>
      <c r="R500" s="71">
        <f>VLOOKUP($F500,[2]装箱单!$A:$F,6,0)</f>
        <v>38</v>
      </c>
      <c r="S500" s="71">
        <f>VLOOKUP($F500,[2]装箱单!$A:$G,7,0)</f>
        <v>24</v>
      </c>
      <c r="T500" s="72">
        <f>VLOOKUP($F500,[2]装箱单!$A:$J,10,0)</f>
        <v>0.037392</v>
      </c>
      <c r="U500" s="73">
        <f t="shared" si="103"/>
        <v>38.177232</v>
      </c>
      <c r="V500" s="12"/>
    </row>
    <row r="501" s="1" customFormat="1" ht="29.1" customHeight="1" spans="1:22">
      <c r="A501" s="62"/>
      <c r="B501" s="63"/>
      <c r="C501" s="64"/>
      <c r="D501" s="66"/>
      <c r="E501" s="66"/>
      <c r="F501" s="67"/>
      <c r="G501" s="67"/>
      <c r="H501" s="67"/>
      <c r="I501" s="68"/>
      <c r="J501" s="68"/>
      <c r="K501" s="68"/>
      <c r="L501" s="69"/>
      <c r="M501" s="65">
        <f>SUM(M483:M500)</f>
        <v>139.635248762112</v>
      </c>
      <c r="N501" s="69"/>
      <c r="O501" s="67"/>
      <c r="P501" s="75"/>
      <c r="Q501" s="71"/>
      <c r="R501" s="71"/>
      <c r="S501" s="71"/>
      <c r="T501" s="72"/>
      <c r="U501" s="73"/>
      <c r="V501" s="12"/>
    </row>
    <row r="502" s="1" customFormat="1" ht="29.1" customHeight="1" spans="1:22">
      <c r="A502" s="62">
        <v>46231</v>
      </c>
      <c r="B502" s="63" t="s">
        <v>1855</v>
      </c>
      <c r="C502" s="64">
        <v>47518</v>
      </c>
      <c r="D502" s="66" t="s">
        <v>1856</v>
      </c>
      <c r="E502" s="67" t="s">
        <v>1857</v>
      </c>
      <c r="F502" s="66">
        <v>320735</v>
      </c>
      <c r="G502" s="67" t="str">
        <f>VLOOKUP(F502,[2]装箱单!$A:$C,3,0)</f>
        <v>混装</v>
      </c>
      <c r="H502" s="67">
        <v>2500</v>
      </c>
      <c r="I502" s="68">
        <f>+L502*4</f>
        <v>10000</v>
      </c>
      <c r="J502" s="68" t="s">
        <v>32</v>
      </c>
      <c r="K502" s="68" t="s">
        <v>33</v>
      </c>
      <c r="L502" s="69">
        <v>2500</v>
      </c>
      <c r="M502" s="65">
        <f t="shared" ref="M502:M508" si="106">+U502</f>
        <v>25.725</v>
      </c>
      <c r="N502" s="69" t="s">
        <v>57</v>
      </c>
      <c r="O502" s="67" t="s">
        <v>1858</v>
      </c>
      <c r="P502" s="70" t="s">
        <v>1859</v>
      </c>
      <c r="Q502" s="71">
        <f>VLOOKUP($F502,[2]装箱单!$A:$E,5,0)</f>
        <v>24.5</v>
      </c>
      <c r="R502" s="71">
        <f>VLOOKUP($F502,[2]装箱单!$A:$F,6,0)</f>
        <v>21</v>
      </c>
      <c r="S502" s="71">
        <f>VLOOKUP($F502,[2]装箱单!$A:$G,7,0)</f>
        <v>20</v>
      </c>
      <c r="T502" s="72">
        <f>VLOOKUP($F502,[2]装箱单!$A:$J,10,0)</f>
        <v>0.01029</v>
      </c>
      <c r="U502" s="73">
        <f t="shared" ref="U502:U508" si="107">+T502*L502</f>
        <v>25.725</v>
      </c>
      <c r="V502" s="12"/>
    </row>
    <row r="503" s="1" customFormat="1" ht="29.1" customHeight="1" spans="1:22">
      <c r="A503" s="62">
        <v>46231</v>
      </c>
      <c r="B503" s="63" t="s">
        <v>1855</v>
      </c>
      <c r="C503" s="64">
        <v>47519</v>
      </c>
      <c r="D503" s="66" t="s">
        <v>1856</v>
      </c>
      <c r="E503" s="67" t="s">
        <v>1860</v>
      </c>
      <c r="F503" s="66">
        <v>320735</v>
      </c>
      <c r="G503" s="67" t="str">
        <f>VLOOKUP(F503,[2]装箱单!$A:$C,3,0)</f>
        <v>混装</v>
      </c>
      <c r="H503" s="67">
        <v>1250</v>
      </c>
      <c r="I503" s="68">
        <f>+L503*4</f>
        <v>5000</v>
      </c>
      <c r="J503" s="68" t="s">
        <v>32</v>
      </c>
      <c r="K503" s="68" t="s">
        <v>33</v>
      </c>
      <c r="L503" s="69">
        <v>1250</v>
      </c>
      <c r="M503" s="65">
        <f t="shared" si="106"/>
        <v>12.8625</v>
      </c>
      <c r="N503" s="69" t="s">
        <v>57</v>
      </c>
      <c r="O503" s="67" t="s">
        <v>1858</v>
      </c>
      <c r="P503" s="74"/>
      <c r="Q503" s="71">
        <f>VLOOKUP($F503,[2]装箱单!$A:$E,5,0)</f>
        <v>24.5</v>
      </c>
      <c r="R503" s="71">
        <f>VLOOKUP($F503,[2]装箱单!$A:$F,6,0)</f>
        <v>21</v>
      </c>
      <c r="S503" s="71">
        <f>VLOOKUP($F503,[2]装箱单!$A:$G,7,0)</f>
        <v>20</v>
      </c>
      <c r="T503" s="72">
        <f>VLOOKUP($F503,[2]装箱单!$A:$J,10,0)</f>
        <v>0.01029</v>
      </c>
      <c r="U503" s="73">
        <f t="shared" si="107"/>
        <v>12.8625</v>
      </c>
      <c r="V503" s="12"/>
    </row>
    <row r="504" s="1" customFormat="1" ht="29.1" customHeight="1" spans="1:22">
      <c r="A504" s="62">
        <v>46231</v>
      </c>
      <c r="B504" s="63" t="s">
        <v>1855</v>
      </c>
      <c r="C504" s="64">
        <v>47518</v>
      </c>
      <c r="D504" s="66" t="s">
        <v>1861</v>
      </c>
      <c r="E504" s="67" t="s">
        <v>1857</v>
      </c>
      <c r="F504" s="66">
        <v>320403</v>
      </c>
      <c r="G504" s="67" t="str">
        <f>VLOOKUP(F504,[2]装箱单!$A:$C,3,0)</f>
        <v>各种角色公仔组合</v>
      </c>
      <c r="H504" s="67">
        <v>938</v>
      </c>
      <c r="I504" s="68">
        <f>+L504*16</f>
        <v>15008</v>
      </c>
      <c r="J504" s="68" t="s">
        <v>32</v>
      </c>
      <c r="K504" s="68" t="s">
        <v>33</v>
      </c>
      <c r="L504" s="69">
        <v>938</v>
      </c>
      <c r="M504" s="65">
        <f t="shared" si="106"/>
        <v>7.191646</v>
      </c>
      <c r="N504" s="69" t="s">
        <v>57</v>
      </c>
      <c r="O504" s="67"/>
      <c r="P504" s="74"/>
      <c r="Q504" s="71">
        <f>VLOOKUP($F504,[2]装箱单!$A:$E,5,0)</f>
        <v>22</v>
      </c>
      <c r="R504" s="71">
        <f>VLOOKUP($F504,[2]装箱单!$A:$F,6,0)</f>
        <v>17</v>
      </c>
      <c r="S504" s="71">
        <f>VLOOKUP($F504,[2]装箱单!$A:$G,7,0)</f>
        <v>20.5</v>
      </c>
      <c r="T504" s="72">
        <f>VLOOKUP($F504,[2]装箱单!$A:$J,10,0)</f>
        <v>0.007667</v>
      </c>
      <c r="U504" s="73">
        <f t="shared" si="107"/>
        <v>7.191646</v>
      </c>
      <c r="V504" s="12"/>
    </row>
    <row r="505" s="1" customFormat="1" ht="29.1" customHeight="1" spans="1:22">
      <c r="A505" s="62">
        <v>46231</v>
      </c>
      <c r="B505" s="63" t="s">
        <v>1855</v>
      </c>
      <c r="C505" s="64">
        <v>47520</v>
      </c>
      <c r="D505" s="66" t="s">
        <v>1862</v>
      </c>
      <c r="E505" s="67" t="s">
        <v>1863</v>
      </c>
      <c r="F505" s="66">
        <v>470194</v>
      </c>
      <c r="G505" s="67" t="str">
        <f>VLOOKUP(F505,[2]装箱单!$A:$C,3,0)</f>
        <v>树屋</v>
      </c>
      <c r="H505" s="67">
        <v>850</v>
      </c>
      <c r="I505" s="68">
        <f t="shared" ref="I505:I508" si="108">+L505*2</f>
        <v>1700</v>
      </c>
      <c r="J505" s="68" t="s">
        <v>32</v>
      </c>
      <c r="K505" s="68" t="s">
        <v>33</v>
      </c>
      <c r="L505" s="69">
        <v>850</v>
      </c>
      <c r="M505" s="65">
        <f t="shared" si="106"/>
        <v>34.47428589</v>
      </c>
      <c r="N505" s="69" t="s">
        <v>57</v>
      </c>
      <c r="O505" s="67"/>
      <c r="P505" s="74"/>
      <c r="Q505" s="71">
        <f>VLOOKUP($F505,[2]装箱单!$A:$E,5,0)</f>
        <v>41.91</v>
      </c>
      <c r="R505" s="71">
        <f>VLOOKUP($F505,[2]装箱单!$A:$F,6,0)</f>
        <v>31.75</v>
      </c>
      <c r="S505" s="71">
        <f>VLOOKUP($F505,[2]装箱单!$A:$G,7,0)</f>
        <v>30.48</v>
      </c>
      <c r="T505" s="72">
        <f>VLOOKUP($F505,[2]装箱单!$A:$J,10,0)</f>
        <v>0.0405579834</v>
      </c>
      <c r="U505" s="73">
        <f t="shared" si="107"/>
        <v>34.47428589</v>
      </c>
      <c r="V505" s="12"/>
    </row>
    <row r="506" s="1" customFormat="1" ht="29.1" customHeight="1" spans="1:22">
      <c r="A506" s="62">
        <v>46231</v>
      </c>
      <c r="B506" s="63" t="s">
        <v>1864</v>
      </c>
      <c r="C506" s="64">
        <v>47518</v>
      </c>
      <c r="D506" s="66" t="s">
        <v>1865</v>
      </c>
      <c r="E506" s="66" t="s">
        <v>1857</v>
      </c>
      <c r="F506" s="67">
        <v>320770</v>
      </c>
      <c r="G506" s="67" t="str">
        <f>VLOOKUP(F506,[2]装箱单!$A:$C,3,0)</f>
        <v>320405、406、407混装</v>
      </c>
      <c r="H506" s="67">
        <v>1667</v>
      </c>
      <c r="I506" s="68">
        <f>+L506*3</f>
        <v>3849</v>
      </c>
      <c r="J506" s="68" t="s">
        <v>32</v>
      </c>
      <c r="K506" s="68" t="s">
        <v>33</v>
      </c>
      <c r="L506" s="69">
        <v>1283</v>
      </c>
      <c r="M506" s="65">
        <f t="shared" si="106"/>
        <v>21.82383</v>
      </c>
      <c r="N506" s="69" t="s">
        <v>34</v>
      </c>
      <c r="O506" s="67" t="s">
        <v>1866</v>
      </c>
      <c r="P506" s="74"/>
      <c r="Q506" s="71">
        <f>VLOOKUP($F506,[2]装箱单!$A:$E,5,0)</f>
        <v>31.5</v>
      </c>
      <c r="R506" s="71">
        <f>VLOOKUP($F506,[2]装箱单!$A:$F,6,0)</f>
        <v>27</v>
      </c>
      <c r="S506" s="71">
        <f>VLOOKUP($F506,[2]装箱单!$A:$G,7,0)</f>
        <v>20</v>
      </c>
      <c r="T506" s="72">
        <f>VLOOKUP($F506,[2]装箱单!$A:$J,10,0)</f>
        <v>0.01701</v>
      </c>
      <c r="U506" s="73">
        <f t="shared" si="107"/>
        <v>21.82383</v>
      </c>
      <c r="V506" s="12"/>
    </row>
    <row r="507" s="1" customFormat="1" ht="29.1" customHeight="1" spans="1:22">
      <c r="A507" s="62">
        <v>46231</v>
      </c>
      <c r="B507" s="63" t="s">
        <v>1855</v>
      </c>
      <c r="C507" s="64">
        <v>47100</v>
      </c>
      <c r="D507" s="66" t="s">
        <v>1797</v>
      </c>
      <c r="E507" s="67"/>
      <c r="F507" s="66">
        <v>571412</v>
      </c>
      <c r="G507" s="67" t="str">
        <f>VLOOKUP(F507,[2]装箱单!$A:$C,3,0)</f>
        <v> 金属货车（黄色）</v>
      </c>
      <c r="H507" s="67">
        <v>1671</v>
      </c>
      <c r="I507" s="68">
        <f t="shared" si="108"/>
        <v>1300</v>
      </c>
      <c r="J507" s="68" t="s">
        <v>32</v>
      </c>
      <c r="K507" s="68" t="s">
        <v>33</v>
      </c>
      <c r="L507" s="69">
        <f>1671-1021</f>
        <v>650</v>
      </c>
      <c r="M507" s="65">
        <f t="shared" si="106"/>
        <v>24.3048</v>
      </c>
      <c r="N507" s="69" t="s">
        <v>57</v>
      </c>
      <c r="O507" s="67"/>
      <c r="P507" s="74"/>
      <c r="Q507" s="71">
        <f>VLOOKUP($F507,[2]装箱单!$A:$E,5,0)</f>
        <v>41</v>
      </c>
      <c r="R507" s="71">
        <f>VLOOKUP($F507,[2]装箱单!$A:$F,6,0)</f>
        <v>38</v>
      </c>
      <c r="S507" s="71">
        <f>VLOOKUP($F507,[2]装箱单!$A:$G,7,0)</f>
        <v>24</v>
      </c>
      <c r="T507" s="72">
        <f>VLOOKUP($F507,[2]装箱单!$A:$J,10,0)</f>
        <v>0.037392</v>
      </c>
      <c r="U507" s="73">
        <f t="shared" si="107"/>
        <v>24.3048</v>
      </c>
      <c r="V507" s="12"/>
    </row>
    <row r="508" s="1" customFormat="1" ht="29.1" customHeight="1" spans="1:22">
      <c r="A508" s="62">
        <v>46231</v>
      </c>
      <c r="B508" s="63" t="s">
        <v>1157</v>
      </c>
      <c r="C508" s="79" t="s">
        <v>1851</v>
      </c>
      <c r="D508" s="66" t="s">
        <v>1818</v>
      </c>
      <c r="E508" s="67" t="s">
        <v>1819</v>
      </c>
      <c r="F508" s="66">
        <v>46132</v>
      </c>
      <c r="G508" s="67"/>
      <c r="H508" s="67">
        <v>300</v>
      </c>
      <c r="I508" s="68">
        <f t="shared" si="108"/>
        <v>600</v>
      </c>
      <c r="J508" s="68" t="s">
        <v>32</v>
      </c>
      <c r="K508" s="68" t="s">
        <v>33</v>
      </c>
      <c r="L508" s="69">
        <v>300</v>
      </c>
      <c r="M508" s="65">
        <f t="shared" si="106"/>
        <v>6.7097154096</v>
      </c>
      <c r="N508" s="69" t="s">
        <v>57</v>
      </c>
      <c r="O508" s="67"/>
      <c r="P508" s="74"/>
      <c r="Q508" s="71">
        <f>VLOOKUP($F508,[2]装箱单!$A:$E,5,0)</f>
        <v>40.01</v>
      </c>
      <c r="R508" s="71">
        <f>VLOOKUP($F508,[2]装箱单!$A:$F,6,0)</f>
        <v>26.67</v>
      </c>
      <c r="S508" s="71">
        <f>VLOOKUP($F508,[2]装箱单!$A:$G,7,0)</f>
        <v>20.96</v>
      </c>
      <c r="T508" s="72">
        <f>VLOOKUP($F508,[2]装箱单!$A:$J,10,0)</f>
        <v>0.022365718032</v>
      </c>
      <c r="U508" s="73">
        <f t="shared" si="107"/>
        <v>6.7097154096</v>
      </c>
      <c r="V508" s="12"/>
    </row>
    <row r="509" s="1" customFormat="1" ht="29.1" customHeight="1" spans="1:22">
      <c r="A509" s="62"/>
      <c r="B509" s="63"/>
      <c r="C509" s="64"/>
      <c r="D509" s="66"/>
      <c r="E509" s="67"/>
      <c r="F509" s="66"/>
      <c r="G509" s="67"/>
      <c r="H509" s="67"/>
      <c r="I509" s="68"/>
      <c r="J509" s="68"/>
      <c r="K509" s="68"/>
      <c r="L509" s="69"/>
      <c r="M509" s="65">
        <f>SUM(M502:M508)</f>
        <v>133.0917772996</v>
      </c>
      <c r="N509" s="69"/>
      <c r="O509" s="67"/>
      <c r="P509" s="75"/>
      <c r="Q509" s="71"/>
      <c r="R509" s="71"/>
      <c r="S509" s="71"/>
      <c r="T509" s="72"/>
      <c r="U509" s="73"/>
      <c r="V509" s="12"/>
    </row>
    <row r="510" s="1" customFormat="1" ht="29.1" customHeight="1" spans="1:22">
      <c r="A510" s="62">
        <v>46232</v>
      </c>
      <c r="B510" s="63" t="s">
        <v>1864</v>
      </c>
      <c r="C510" s="64">
        <v>47518</v>
      </c>
      <c r="D510" s="66" t="s">
        <v>1865</v>
      </c>
      <c r="E510" s="66" t="s">
        <v>1857</v>
      </c>
      <c r="F510" s="67">
        <v>320770</v>
      </c>
      <c r="G510" s="67" t="str">
        <f>VLOOKUP(F510,[2]装箱单!$A:$C,3,0)</f>
        <v>320405、406、407混装</v>
      </c>
      <c r="H510" s="67">
        <v>1667</v>
      </c>
      <c r="I510" s="68">
        <f>+L510*3</f>
        <v>1152</v>
      </c>
      <c r="J510" s="68" t="s">
        <v>32</v>
      </c>
      <c r="K510" s="68" t="s">
        <v>33</v>
      </c>
      <c r="L510" s="69">
        <f>1667-1283</f>
        <v>384</v>
      </c>
      <c r="M510" s="65">
        <f t="shared" ref="M510:M522" si="109">+U510</f>
        <v>6.53184</v>
      </c>
      <c r="N510" s="69" t="s">
        <v>34</v>
      </c>
      <c r="O510" s="67" t="s">
        <v>1866</v>
      </c>
      <c r="P510" s="70" t="s">
        <v>766</v>
      </c>
      <c r="Q510" s="71">
        <f>VLOOKUP($F510,[2]装箱单!$A:$E,5,0)</f>
        <v>31.5</v>
      </c>
      <c r="R510" s="71">
        <f>VLOOKUP($F510,[2]装箱单!$A:$F,6,0)</f>
        <v>27</v>
      </c>
      <c r="S510" s="71">
        <f>VLOOKUP($F510,[2]装箱单!$A:$G,7,0)</f>
        <v>20</v>
      </c>
      <c r="T510" s="72">
        <f>VLOOKUP($F510,[2]装箱单!$A:$J,10,0)</f>
        <v>0.01701</v>
      </c>
      <c r="U510" s="73">
        <f t="shared" ref="U510:U522" si="110">+T510*L510</f>
        <v>6.53184</v>
      </c>
      <c r="V510" s="12"/>
    </row>
    <row r="511" s="1" customFormat="1" ht="29.1" customHeight="1" spans="1:22">
      <c r="A511" s="62">
        <v>46232</v>
      </c>
      <c r="B511" s="63" t="s">
        <v>1867</v>
      </c>
      <c r="C511" s="64" t="s">
        <v>1868</v>
      </c>
      <c r="D511" s="66" t="s">
        <v>1869</v>
      </c>
      <c r="E511" s="67">
        <v>47951034</v>
      </c>
      <c r="F511" s="66" t="s">
        <v>80</v>
      </c>
      <c r="G511" s="67" t="str">
        <f>VLOOKUP(F511,[2]装箱单!$A:$C,3,0)</f>
        <v>钥匙扣系列</v>
      </c>
      <c r="H511" s="67">
        <v>45</v>
      </c>
      <c r="I511" s="68">
        <f t="shared" ref="I511:I514" si="111">+L511*18</f>
        <v>810</v>
      </c>
      <c r="J511" s="68" t="s">
        <v>32</v>
      </c>
      <c r="K511" s="68" t="s">
        <v>33</v>
      </c>
      <c r="L511" s="69">
        <v>45</v>
      </c>
      <c r="M511" s="65">
        <f t="shared" si="109"/>
        <v>0.67555944</v>
      </c>
      <c r="N511" s="69" t="s">
        <v>34</v>
      </c>
      <c r="O511" s="67"/>
      <c r="P511" s="74"/>
      <c r="Q511" s="71">
        <f>VLOOKUP($F511,[2]装箱单!$A:$E,5,0)</f>
        <v>42.48</v>
      </c>
      <c r="R511" s="71">
        <f>VLOOKUP($F511,[2]装箱单!$A:$F,6,0)</f>
        <v>22.8</v>
      </c>
      <c r="S511" s="71">
        <f>VLOOKUP($F511,[2]装箱单!$A:$G,7,0)</f>
        <v>15.5</v>
      </c>
      <c r="T511" s="72">
        <f>VLOOKUP($F511,[2]装箱单!$A:$J,10,0)</f>
        <v>0.015012432</v>
      </c>
      <c r="U511" s="73">
        <f t="shared" si="110"/>
        <v>0.67555944</v>
      </c>
      <c r="V511" s="12"/>
    </row>
    <row r="512" s="1" customFormat="1" ht="29.1" customHeight="1" spans="1:22">
      <c r="A512" s="62">
        <v>46232</v>
      </c>
      <c r="B512" s="63" t="s">
        <v>1867</v>
      </c>
      <c r="C512" s="64" t="s">
        <v>1870</v>
      </c>
      <c r="D512" s="66" t="s">
        <v>1871</v>
      </c>
      <c r="E512" s="67">
        <v>47951035</v>
      </c>
      <c r="F512" s="66" t="s">
        <v>80</v>
      </c>
      <c r="G512" s="67" t="str">
        <f>VLOOKUP(F512,[2]装箱单!$A:$C,3,0)</f>
        <v>钥匙扣系列</v>
      </c>
      <c r="H512" s="67">
        <v>40</v>
      </c>
      <c r="I512" s="68">
        <f t="shared" si="111"/>
        <v>720</v>
      </c>
      <c r="J512" s="68" t="s">
        <v>32</v>
      </c>
      <c r="K512" s="68" t="s">
        <v>33</v>
      </c>
      <c r="L512" s="69">
        <v>40</v>
      </c>
      <c r="M512" s="65">
        <f t="shared" si="109"/>
        <v>0.60049728</v>
      </c>
      <c r="N512" s="69" t="s">
        <v>34</v>
      </c>
      <c r="O512" s="67"/>
      <c r="P512" s="74"/>
      <c r="Q512" s="71">
        <f>VLOOKUP($F512,[2]装箱单!$A:$E,5,0)</f>
        <v>42.48</v>
      </c>
      <c r="R512" s="71">
        <f>VLOOKUP($F512,[2]装箱单!$A:$F,6,0)</f>
        <v>22.8</v>
      </c>
      <c r="S512" s="71">
        <f>VLOOKUP($F512,[2]装箱单!$A:$G,7,0)</f>
        <v>15.5</v>
      </c>
      <c r="T512" s="72">
        <f>VLOOKUP($F512,[2]装箱单!$A:$J,10,0)</f>
        <v>0.015012432</v>
      </c>
      <c r="U512" s="73">
        <f t="shared" si="110"/>
        <v>0.60049728</v>
      </c>
      <c r="V512" s="12"/>
    </row>
    <row r="513" s="1" customFormat="1" ht="29.1" customHeight="1" spans="1:22">
      <c r="A513" s="62">
        <v>46232</v>
      </c>
      <c r="B513" s="63" t="s">
        <v>1867</v>
      </c>
      <c r="C513" s="64" t="s">
        <v>1872</v>
      </c>
      <c r="D513" s="66" t="s">
        <v>1873</v>
      </c>
      <c r="E513" s="67">
        <v>47951036</v>
      </c>
      <c r="F513" s="66" t="s">
        <v>80</v>
      </c>
      <c r="G513" s="67" t="str">
        <f>VLOOKUP(F513,[2]装箱单!$A:$C,3,0)</f>
        <v>钥匙扣系列</v>
      </c>
      <c r="H513" s="67">
        <v>31</v>
      </c>
      <c r="I513" s="68">
        <f t="shared" si="111"/>
        <v>558</v>
      </c>
      <c r="J513" s="68" t="s">
        <v>32</v>
      </c>
      <c r="K513" s="68" t="s">
        <v>33</v>
      </c>
      <c r="L513" s="69">
        <v>31</v>
      </c>
      <c r="M513" s="65">
        <f t="shared" si="109"/>
        <v>0.465385392</v>
      </c>
      <c r="N513" s="69" t="s">
        <v>34</v>
      </c>
      <c r="O513" s="67"/>
      <c r="P513" s="74"/>
      <c r="Q513" s="71">
        <f>VLOOKUP($F513,[2]装箱单!$A:$E,5,0)</f>
        <v>42.48</v>
      </c>
      <c r="R513" s="71">
        <f>VLOOKUP($F513,[2]装箱单!$A:$F,6,0)</f>
        <v>22.8</v>
      </c>
      <c r="S513" s="71">
        <f>VLOOKUP($F513,[2]装箱单!$A:$G,7,0)</f>
        <v>15.5</v>
      </c>
      <c r="T513" s="72">
        <f>VLOOKUP($F513,[2]装箱单!$A:$J,10,0)</f>
        <v>0.015012432</v>
      </c>
      <c r="U513" s="73">
        <f t="shared" si="110"/>
        <v>0.465385392</v>
      </c>
      <c r="V513" s="12"/>
    </row>
    <row r="514" s="1" customFormat="1" ht="29.1" customHeight="1" spans="1:22">
      <c r="A514" s="62">
        <v>46232</v>
      </c>
      <c r="B514" s="63" t="s">
        <v>1867</v>
      </c>
      <c r="C514" s="64" t="s">
        <v>1874</v>
      </c>
      <c r="D514" s="66" t="s">
        <v>1875</v>
      </c>
      <c r="E514" s="67">
        <v>47951037</v>
      </c>
      <c r="F514" s="66" t="s">
        <v>80</v>
      </c>
      <c r="G514" s="67" t="str">
        <f>VLOOKUP(F514,[2]装箱单!$A:$C,3,0)</f>
        <v>钥匙扣系列</v>
      </c>
      <c r="H514" s="67">
        <v>13</v>
      </c>
      <c r="I514" s="68">
        <f t="shared" si="111"/>
        <v>234</v>
      </c>
      <c r="J514" s="68" t="s">
        <v>32</v>
      </c>
      <c r="K514" s="68" t="s">
        <v>33</v>
      </c>
      <c r="L514" s="69">
        <v>13</v>
      </c>
      <c r="M514" s="65">
        <f t="shared" si="109"/>
        <v>0.195161616</v>
      </c>
      <c r="N514" s="69" t="s">
        <v>34</v>
      </c>
      <c r="O514" s="67"/>
      <c r="P514" s="74"/>
      <c r="Q514" s="71">
        <f>VLOOKUP($F514,[2]装箱单!$A:$E,5,0)</f>
        <v>42.48</v>
      </c>
      <c r="R514" s="71">
        <f>VLOOKUP($F514,[2]装箱单!$A:$F,6,0)</f>
        <v>22.8</v>
      </c>
      <c r="S514" s="71">
        <f>VLOOKUP($F514,[2]装箱单!$A:$G,7,0)</f>
        <v>15.5</v>
      </c>
      <c r="T514" s="72">
        <f>VLOOKUP($F514,[2]装箱单!$A:$J,10,0)</f>
        <v>0.015012432</v>
      </c>
      <c r="U514" s="73">
        <f t="shared" si="110"/>
        <v>0.195161616</v>
      </c>
      <c r="V514" s="12"/>
    </row>
    <row r="515" s="1" customFormat="1" ht="29.1" customHeight="1" spans="1:22">
      <c r="A515" s="62">
        <v>46232</v>
      </c>
      <c r="B515" s="63" t="s">
        <v>40</v>
      </c>
      <c r="C515" s="64" t="s">
        <v>1876</v>
      </c>
      <c r="D515" s="66" t="s">
        <v>1877</v>
      </c>
      <c r="E515" s="66">
        <v>999523185</v>
      </c>
      <c r="F515" s="66">
        <v>28458</v>
      </c>
      <c r="G515" s="67" t="str">
        <f>VLOOKUP(F515,[2]装箱单!$A:$C,3,0)</f>
        <v>五款硅胶手感球</v>
      </c>
      <c r="H515" s="67">
        <v>478</v>
      </c>
      <c r="I515" s="68">
        <f>+L515*3</f>
        <v>360</v>
      </c>
      <c r="J515" s="68" t="s">
        <v>32</v>
      </c>
      <c r="K515" s="68" t="s">
        <v>33</v>
      </c>
      <c r="L515" s="69">
        <v>120</v>
      </c>
      <c r="M515" s="65">
        <f t="shared" si="109"/>
        <v>2.49964300728</v>
      </c>
      <c r="N515" s="69" t="s">
        <v>34</v>
      </c>
      <c r="O515" s="67"/>
      <c r="P515" s="74"/>
      <c r="Q515" s="71">
        <f>VLOOKUP($F515,[2]装箱单!$A:$E,5,0)</f>
        <v>26.99</v>
      </c>
      <c r="R515" s="71">
        <f>VLOOKUP($F515,[2]装箱单!$A:$F,6,0)</f>
        <v>27.31</v>
      </c>
      <c r="S515" s="71">
        <f>VLOOKUP($F515,[2]装箱单!$A:$G,7,0)</f>
        <v>28.26</v>
      </c>
      <c r="T515" s="72">
        <f>VLOOKUP($F515,[2]装箱单!$A:$J,10,0)</f>
        <v>0.020830358394</v>
      </c>
      <c r="U515" s="73">
        <f t="shared" si="110"/>
        <v>2.49964300728</v>
      </c>
      <c r="V515" s="12"/>
    </row>
    <row r="516" s="1" customFormat="1" ht="29.1" customHeight="1" spans="1:22">
      <c r="A516" s="62">
        <v>46232</v>
      </c>
      <c r="B516" s="63" t="s">
        <v>40</v>
      </c>
      <c r="C516" s="64" t="s">
        <v>1876</v>
      </c>
      <c r="D516" s="66" t="s">
        <v>1877</v>
      </c>
      <c r="E516" s="66">
        <v>999523185</v>
      </c>
      <c r="F516" s="66" t="s">
        <v>306</v>
      </c>
      <c r="G516" s="67" t="str">
        <f>VLOOKUP(F516,[2]装箱单!$A:$C,3,0)</f>
        <v>背包狗</v>
      </c>
      <c r="H516" s="67">
        <v>573</v>
      </c>
      <c r="I516" s="68">
        <f t="shared" ref="I516:I520" si="112">+L516</f>
        <v>573</v>
      </c>
      <c r="J516" s="68" t="s">
        <v>32</v>
      </c>
      <c r="K516" s="68" t="s">
        <v>33</v>
      </c>
      <c r="L516" s="69">
        <v>573</v>
      </c>
      <c r="M516" s="65">
        <f t="shared" si="109"/>
        <v>9.031802017005</v>
      </c>
      <c r="N516" s="69" t="s">
        <v>34</v>
      </c>
      <c r="O516" s="67"/>
      <c r="P516" s="74"/>
      <c r="Q516" s="71">
        <f>VLOOKUP($F516,[2]装箱单!$A:$E,5,0)</f>
        <v>24.13</v>
      </c>
      <c r="R516" s="71">
        <f>VLOOKUP($F516,[2]装箱单!$A:$F,6,0)</f>
        <v>19.05</v>
      </c>
      <c r="S516" s="71">
        <f>VLOOKUP($F516,[2]装箱单!$A:$G,7,0)</f>
        <v>34.29</v>
      </c>
      <c r="T516" s="72">
        <f>VLOOKUP($F516,[2]装箱单!$A:$J,10,0)</f>
        <v>0.015762307185</v>
      </c>
      <c r="U516" s="73">
        <f t="shared" si="110"/>
        <v>9.031802017005</v>
      </c>
      <c r="V516" s="12"/>
    </row>
    <row r="517" s="1" customFormat="1" ht="29.1" customHeight="1" spans="1:22">
      <c r="A517" s="62">
        <v>46232</v>
      </c>
      <c r="B517" s="63" t="s">
        <v>40</v>
      </c>
      <c r="C517" s="64" t="s">
        <v>1878</v>
      </c>
      <c r="D517" s="66" t="s">
        <v>1879</v>
      </c>
      <c r="E517" s="66">
        <v>999523200</v>
      </c>
      <c r="F517" s="66" t="s">
        <v>306</v>
      </c>
      <c r="G517" s="67" t="str">
        <f>VLOOKUP(F517,[2]装箱单!$A:$C,3,0)</f>
        <v>背包狗</v>
      </c>
      <c r="H517" s="67">
        <v>573</v>
      </c>
      <c r="I517" s="68">
        <f t="shared" si="112"/>
        <v>573</v>
      </c>
      <c r="J517" s="68" t="s">
        <v>32</v>
      </c>
      <c r="K517" s="68" t="s">
        <v>33</v>
      </c>
      <c r="L517" s="69">
        <v>573</v>
      </c>
      <c r="M517" s="65">
        <f t="shared" si="109"/>
        <v>9.031802017005</v>
      </c>
      <c r="N517" s="69" t="s">
        <v>34</v>
      </c>
      <c r="O517" s="67"/>
      <c r="P517" s="74"/>
      <c r="Q517" s="71">
        <f>VLOOKUP($F517,[2]装箱单!$A:$E,5,0)</f>
        <v>24.13</v>
      </c>
      <c r="R517" s="71">
        <f>VLOOKUP($F517,[2]装箱单!$A:$F,6,0)</f>
        <v>19.05</v>
      </c>
      <c r="S517" s="71">
        <f>VLOOKUP($F517,[2]装箱单!$A:$G,7,0)</f>
        <v>34.29</v>
      </c>
      <c r="T517" s="72">
        <f>VLOOKUP($F517,[2]装箱单!$A:$J,10,0)</f>
        <v>0.015762307185</v>
      </c>
      <c r="U517" s="73">
        <f t="shared" si="110"/>
        <v>9.031802017005</v>
      </c>
      <c r="V517" s="12"/>
    </row>
    <row r="518" s="1" customFormat="1" ht="29.1" customHeight="1" spans="1:22">
      <c r="A518" s="62">
        <v>46232</v>
      </c>
      <c r="B518" s="63" t="s">
        <v>40</v>
      </c>
      <c r="C518" s="64" t="s">
        <v>1880</v>
      </c>
      <c r="D518" s="66" t="s">
        <v>1881</v>
      </c>
      <c r="E518" s="66">
        <v>999523204</v>
      </c>
      <c r="F518" s="66" t="s">
        <v>306</v>
      </c>
      <c r="G518" s="67" t="str">
        <f>VLOOKUP(F518,[2]装箱单!$A:$C,3,0)</f>
        <v>背包狗</v>
      </c>
      <c r="H518" s="67">
        <v>573</v>
      </c>
      <c r="I518" s="68">
        <f t="shared" si="112"/>
        <v>573</v>
      </c>
      <c r="J518" s="68" t="s">
        <v>32</v>
      </c>
      <c r="K518" s="68" t="s">
        <v>33</v>
      </c>
      <c r="L518" s="69">
        <v>573</v>
      </c>
      <c r="M518" s="65">
        <f t="shared" si="109"/>
        <v>9.031802017005</v>
      </c>
      <c r="N518" s="69" t="s">
        <v>34</v>
      </c>
      <c r="O518" s="67"/>
      <c r="P518" s="74"/>
      <c r="Q518" s="71">
        <f>VLOOKUP($F518,[2]装箱单!$A:$E,5,0)</f>
        <v>24.13</v>
      </c>
      <c r="R518" s="71">
        <f>VLOOKUP($F518,[2]装箱单!$A:$F,6,0)</f>
        <v>19.05</v>
      </c>
      <c r="S518" s="71">
        <f>VLOOKUP($F518,[2]装箱单!$A:$G,7,0)</f>
        <v>34.29</v>
      </c>
      <c r="T518" s="72">
        <f>VLOOKUP($F518,[2]装箱单!$A:$J,10,0)</f>
        <v>0.015762307185</v>
      </c>
      <c r="U518" s="73">
        <f t="shared" si="110"/>
        <v>9.031802017005</v>
      </c>
      <c r="V518" s="12"/>
    </row>
    <row r="519" s="1" customFormat="1" ht="29.1" customHeight="1" spans="1:22">
      <c r="A519" s="62">
        <v>46232</v>
      </c>
      <c r="B519" s="63" t="s">
        <v>40</v>
      </c>
      <c r="C519" s="64" t="s">
        <v>1882</v>
      </c>
      <c r="D519" s="66" t="s">
        <v>1883</v>
      </c>
      <c r="E519" s="66">
        <v>999523459</v>
      </c>
      <c r="F519" s="66" t="s">
        <v>306</v>
      </c>
      <c r="G519" s="67" t="str">
        <f>VLOOKUP(F519,[2]装箱单!$A:$C,3,0)</f>
        <v>背包狗</v>
      </c>
      <c r="H519" s="67">
        <v>573</v>
      </c>
      <c r="I519" s="68">
        <f t="shared" si="112"/>
        <v>573</v>
      </c>
      <c r="J519" s="68" t="s">
        <v>32</v>
      </c>
      <c r="K519" s="68" t="s">
        <v>33</v>
      </c>
      <c r="L519" s="69">
        <v>573</v>
      </c>
      <c r="M519" s="65">
        <f t="shared" si="109"/>
        <v>9.031802017005</v>
      </c>
      <c r="N519" s="69" t="s">
        <v>34</v>
      </c>
      <c r="O519" s="67"/>
      <c r="P519" s="74"/>
      <c r="Q519" s="71">
        <f>VLOOKUP($F519,[2]装箱单!$A:$E,5,0)</f>
        <v>24.13</v>
      </c>
      <c r="R519" s="71">
        <f>VLOOKUP($F519,[2]装箱单!$A:$F,6,0)</f>
        <v>19.05</v>
      </c>
      <c r="S519" s="71">
        <f>VLOOKUP($F519,[2]装箱单!$A:$G,7,0)</f>
        <v>34.29</v>
      </c>
      <c r="T519" s="72">
        <f>VLOOKUP($F519,[2]装箱单!$A:$J,10,0)</f>
        <v>0.015762307185</v>
      </c>
      <c r="U519" s="73">
        <f t="shared" si="110"/>
        <v>9.031802017005</v>
      </c>
      <c r="V519" s="12"/>
    </row>
    <row r="520" s="1" customFormat="1" ht="29.1" customHeight="1" spans="1:22">
      <c r="A520" s="62">
        <v>46232</v>
      </c>
      <c r="B520" s="63" t="s">
        <v>40</v>
      </c>
      <c r="C520" s="64" t="s">
        <v>1884</v>
      </c>
      <c r="D520" s="66" t="s">
        <v>1885</v>
      </c>
      <c r="E520" s="66">
        <v>999523525</v>
      </c>
      <c r="F520" s="66" t="s">
        <v>306</v>
      </c>
      <c r="G520" s="67" t="str">
        <f>VLOOKUP(F520,[2]装箱单!$A:$C,3,0)</f>
        <v>背包狗</v>
      </c>
      <c r="H520" s="67">
        <v>573</v>
      </c>
      <c r="I520" s="68">
        <f t="shared" si="112"/>
        <v>573</v>
      </c>
      <c r="J520" s="68" t="s">
        <v>32</v>
      </c>
      <c r="K520" s="68" t="s">
        <v>33</v>
      </c>
      <c r="L520" s="69">
        <v>573</v>
      </c>
      <c r="M520" s="65">
        <f t="shared" si="109"/>
        <v>9.031802017005</v>
      </c>
      <c r="N520" s="69" t="s">
        <v>34</v>
      </c>
      <c r="O520" s="67"/>
      <c r="P520" s="74"/>
      <c r="Q520" s="71">
        <f>VLOOKUP($F520,[2]装箱单!$A:$E,5,0)</f>
        <v>24.13</v>
      </c>
      <c r="R520" s="71">
        <f>VLOOKUP($F520,[2]装箱单!$A:$F,6,0)</f>
        <v>19.05</v>
      </c>
      <c r="S520" s="71">
        <f>VLOOKUP($F520,[2]装箱单!$A:$G,7,0)</f>
        <v>34.29</v>
      </c>
      <c r="T520" s="72">
        <f>VLOOKUP($F520,[2]装箱单!$A:$J,10,0)</f>
        <v>0.015762307185</v>
      </c>
      <c r="U520" s="73">
        <f t="shared" si="110"/>
        <v>9.031802017005</v>
      </c>
      <c r="V520" s="12"/>
    </row>
    <row r="521" s="1" customFormat="1" ht="29.1" customHeight="1" spans="1:22">
      <c r="A521" s="62">
        <v>46232</v>
      </c>
      <c r="B521" s="63" t="s">
        <v>1452</v>
      </c>
      <c r="C521" s="64" t="s">
        <v>1886</v>
      </c>
      <c r="D521" s="66" t="s">
        <v>1887</v>
      </c>
      <c r="E521" s="66">
        <v>117407459</v>
      </c>
      <c r="F521" s="66">
        <v>33776</v>
      </c>
      <c r="G521" s="67" t="str">
        <f>VLOOKUP(F521,[2]装箱单!$A:$C,3,0)</f>
        <v>搪胶小鸭子系列</v>
      </c>
      <c r="H521" s="67">
        <v>802</v>
      </c>
      <c r="I521" s="68">
        <f>+L521*96</f>
        <v>76992</v>
      </c>
      <c r="J521" s="68" t="s">
        <v>32</v>
      </c>
      <c r="K521" s="68" t="s">
        <v>33</v>
      </c>
      <c r="L521" s="69">
        <v>802</v>
      </c>
      <c r="M521" s="65">
        <f t="shared" si="109"/>
        <v>66.0764249145</v>
      </c>
      <c r="N521" s="69" t="s">
        <v>34</v>
      </c>
      <c r="O521" s="67"/>
      <c r="P521" s="74"/>
      <c r="Q521" s="71">
        <f>VLOOKUP($F521,[2]装箱单!$A:$E,5,0)</f>
        <v>54.95</v>
      </c>
      <c r="R521" s="71">
        <f>VLOOKUP($F521,[2]装箱单!$A:$F,6,0)</f>
        <v>34.95</v>
      </c>
      <c r="S521" s="71">
        <f>VLOOKUP($F521,[2]装箱单!$A:$G,7,0)</f>
        <v>42.9</v>
      </c>
      <c r="T521" s="72">
        <f>VLOOKUP($F521,[2]装箱单!$A:$J,10,0)</f>
        <v>0.08238955725</v>
      </c>
      <c r="U521" s="73">
        <f t="shared" si="110"/>
        <v>66.0764249145</v>
      </c>
      <c r="V521" s="12"/>
    </row>
    <row r="522" s="1" customFormat="1" ht="29.1" customHeight="1" spans="1:22">
      <c r="A522" s="62">
        <v>46232</v>
      </c>
      <c r="B522" s="63" t="s">
        <v>1346</v>
      </c>
      <c r="C522" s="64" t="s">
        <v>1814</v>
      </c>
      <c r="D522" s="66" t="s">
        <v>1815</v>
      </c>
      <c r="E522" s="66" t="s">
        <v>1815</v>
      </c>
      <c r="F522" s="67">
        <v>470764</v>
      </c>
      <c r="G522" s="67" t="str">
        <f>VLOOKUP(F522,[2]装箱单!$A:$C,3,0)</f>
        <v>大型自卸车</v>
      </c>
      <c r="H522" s="67">
        <v>1215</v>
      </c>
      <c r="I522" s="68">
        <f>+L522</f>
        <v>70</v>
      </c>
      <c r="J522" s="68" t="s">
        <v>32</v>
      </c>
      <c r="K522" s="68" t="s">
        <v>33</v>
      </c>
      <c r="L522" s="69">
        <v>70</v>
      </c>
      <c r="M522" s="65">
        <f t="shared" si="109"/>
        <v>1.87572</v>
      </c>
      <c r="N522" s="69" t="s">
        <v>34</v>
      </c>
      <c r="O522" s="67"/>
      <c r="P522" s="74"/>
      <c r="Q522" s="71">
        <f>VLOOKUP($F522,[2]装箱单!$A:$E,5,0)</f>
        <v>42</v>
      </c>
      <c r="R522" s="71">
        <f>VLOOKUP($F522,[2]装箱单!$A:$F,6,0)</f>
        <v>22</v>
      </c>
      <c r="S522" s="71">
        <f>VLOOKUP($F522,[2]装箱单!$A:$G,7,0)</f>
        <v>29</v>
      </c>
      <c r="T522" s="72">
        <f>VLOOKUP($F522,[2]装箱单!$A:$J,10,0)</f>
        <v>0.026796</v>
      </c>
      <c r="U522" s="73">
        <f t="shared" si="110"/>
        <v>1.87572</v>
      </c>
      <c r="V522" s="12"/>
    </row>
    <row r="523" s="1" customFormat="1" ht="29.1" customHeight="1" spans="1:22">
      <c r="A523" s="62">
        <v>46232</v>
      </c>
      <c r="B523" s="63"/>
      <c r="C523" s="64"/>
      <c r="D523" s="66"/>
      <c r="E523" s="66"/>
      <c r="F523" s="67">
        <v>470194</v>
      </c>
      <c r="G523" s="67" t="s">
        <v>269</v>
      </c>
      <c r="H523" s="67">
        <v>1</v>
      </c>
      <c r="I523" s="68">
        <v>1700</v>
      </c>
      <c r="J523" s="68" t="s">
        <v>32</v>
      </c>
      <c r="K523" s="68" t="s">
        <v>218</v>
      </c>
      <c r="L523" s="69">
        <v>1</v>
      </c>
      <c r="M523" s="65">
        <v>0</v>
      </c>
      <c r="N523" s="69"/>
      <c r="O523" s="67"/>
      <c r="P523" s="74"/>
      <c r="Q523" s="71"/>
      <c r="R523" s="71"/>
      <c r="S523" s="71"/>
      <c r="T523" s="72"/>
      <c r="U523" s="73"/>
      <c r="V523" s="12"/>
    </row>
    <row r="524" s="1" customFormat="1" ht="29.1" customHeight="1" spans="1:22">
      <c r="A524" s="62"/>
      <c r="B524" s="63"/>
      <c r="C524" s="64"/>
      <c r="D524" s="66"/>
      <c r="E524" s="67"/>
      <c r="F524" s="66"/>
      <c r="G524" s="67"/>
      <c r="H524" s="67"/>
      <c r="I524" s="68"/>
      <c r="J524" s="68"/>
      <c r="K524" s="68"/>
      <c r="L524" s="69"/>
      <c r="M524" s="65">
        <f>SUM(M510:M522)</f>
        <v>124.079241734805</v>
      </c>
      <c r="N524" s="69"/>
      <c r="O524" s="67"/>
      <c r="P524" s="75"/>
      <c r="Q524" s="71"/>
      <c r="R524" s="71"/>
      <c r="S524" s="71"/>
      <c r="T524" s="72"/>
      <c r="U524" s="73"/>
      <c r="V524" s="12"/>
    </row>
    <row r="525" s="1" customFormat="1" ht="29.1" customHeight="1" spans="1:22">
      <c r="A525" s="62">
        <v>46233</v>
      </c>
      <c r="B525" s="63" t="s">
        <v>40</v>
      </c>
      <c r="C525" s="64" t="s">
        <v>1888</v>
      </c>
      <c r="D525" s="66" t="s">
        <v>1889</v>
      </c>
      <c r="E525" s="66">
        <v>999523242</v>
      </c>
      <c r="F525" s="66">
        <v>28481</v>
      </c>
      <c r="G525" s="67" t="str">
        <f>VLOOKUP(F525,[2]装箱单!$A:$C,3,0)</f>
        <v>骰子</v>
      </c>
      <c r="H525" s="67">
        <v>480</v>
      </c>
      <c r="I525" s="68">
        <f t="shared" ref="I525:I532" si="113">+L525*4</f>
        <v>1920</v>
      </c>
      <c r="J525" s="68" t="s">
        <v>32</v>
      </c>
      <c r="K525" s="68" t="s">
        <v>33</v>
      </c>
      <c r="L525" s="69">
        <v>480</v>
      </c>
      <c r="M525" s="65">
        <f t="shared" ref="M525:M539" si="114">+U525</f>
        <v>4.83828876384</v>
      </c>
      <c r="N525" s="69" t="s">
        <v>34</v>
      </c>
      <c r="O525" s="67"/>
      <c r="P525" s="70" t="s">
        <v>424</v>
      </c>
      <c r="Q525" s="71">
        <f>VLOOKUP($F525,[2]装箱单!$A:$E,5,0)</f>
        <v>23.81</v>
      </c>
      <c r="R525" s="71">
        <f>VLOOKUP($F525,[2]装箱单!$A:$F,6,0)</f>
        <v>17.78</v>
      </c>
      <c r="S525" s="71">
        <f>VLOOKUP($F525,[2]装箱单!$A:$G,7,0)</f>
        <v>23.81</v>
      </c>
      <c r="T525" s="72">
        <f>VLOOKUP($F525,[2]装箱单!$A:$J,10,0)</f>
        <v>0.010079768258</v>
      </c>
      <c r="U525" s="73">
        <f t="shared" ref="U525:U539" si="115">+T525*L525</f>
        <v>4.83828876384</v>
      </c>
      <c r="V525" s="12"/>
    </row>
    <row r="526" s="1" customFormat="1" ht="29.1" customHeight="1" spans="1:22">
      <c r="A526" s="62">
        <v>46233</v>
      </c>
      <c r="B526" s="63" t="s">
        <v>40</v>
      </c>
      <c r="C526" s="64" t="s">
        <v>1878</v>
      </c>
      <c r="D526" s="66" t="s">
        <v>1879</v>
      </c>
      <c r="E526" s="66">
        <v>999523200</v>
      </c>
      <c r="F526" s="66">
        <v>28481</v>
      </c>
      <c r="G526" s="67" t="str">
        <f>VLOOKUP(F526,[2]装箱单!$A:$C,3,0)</f>
        <v>骰子</v>
      </c>
      <c r="H526" s="67">
        <v>480</v>
      </c>
      <c r="I526" s="68">
        <f t="shared" si="113"/>
        <v>1920</v>
      </c>
      <c r="J526" s="68" t="s">
        <v>32</v>
      </c>
      <c r="K526" s="68" t="s">
        <v>33</v>
      </c>
      <c r="L526" s="69">
        <v>480</v>
      </c>
      <c r="M526" s="65">
        <f t="shared" si="114"/>
        <v>4.83828876384</v>
      </c>
      <c r="N526" s="69" t="s">
        <v>34</v>
      </c>
      <c r="O526" s="67"/>
      <c r="P526" s="74"/>
      <c r="Q526" s="71">
        <f>VLOOKUP($F526,[2]装箱单!$A:$E,5,0)</f>
        <v>23.81</v>
      </c>
      <c r="R526" s="71">
        <f>VLOOKUP($F526,[2]装箱单!$A:$F,6,0)</f>
        <v>17.78</v>
      </c>
      <c r="S526" s="71">
        <f>VLOOKUP($F526,[2]装箱单!$A:$G,7,0)</f>
        <v>23.81</v>
      </c>
      <c r="T526" s="72">
        <f>VLOOKUP($F526,[2]装箱单!$A:$J,10,0)</f>
        <v>0.010079768258</v>
      </c>
      <c r="U526" s="73">
        <f t="shared" si="115"/>
        <v>4.83828876384</v>
      </c>
      <c r="V526" s="12"/>
    </row>
    <row r="527" s="1" customFormat="1" ht="29.1" customHeight="1" spans="1:22">
      <c r="A527" s="62">
        <v>46233</v>
      </c>
      <c r="B527" s="63" t="s">
        <v>40</v>
      </c>
      <c r="C527" s="64" t="s">
        <v>1880</v>
      </c>
      <c r="D527" s="66" t="s">
        <v>1881</v>
      </c>
      <c r="E527" s="66">
        <v>999523204</v>
      </c>
      <c r="F527" s="66">
        <v>28481</v>
      </c>
      <c r="G527" s="67" t="str">
        <f>VLOOKUP(F527,[2]装箱单!$A:$C,3,0)</f>
        <v>骰子</v>
      </c>
      <c r="H527" s="67">
        <v>480</v>
      </c>
      <c r="I527" s="68">
        <f t="shared" si="113"/>
        <v>1920</v>
      </c>
      <c r="J527" s="68" t="s">
        <v>32</v>
      </c>
      <c r="K527" s="68" t="s">
        <v>33</v>
      </c>
      <c r="L527" s="69">
        <v>480</v>
      </c>
      <c r="M527" s="65">
        <f t="shared" si="114"/>
        <v>4.83828876384</v>
      </c>
      <c r="N527" s="69" t="s">
        <v>34</v>
      </c>
      <c r="O527" s="67"/>
      <c r="P527" s="74"/>
      <c r="Q527" s="71">
        <f>VLOOKUP($F527,[2]装箱单!$A:$E,5,0)</f>
        <v>23.81</v>
      </c>
      <c r="R527" s="71">
        <f>VLOOKUP($F527,[2]装箱单!$A:$F,6,0)</f>
        <v>17.78</v>
      </c>
      <c r="S527" s="71">
        <f>VLOOKUP($F527,[2]装箱单!$A:$G,7,0)</f>
        <v>23.81</v>
      </c>
      <c r="T527" s="72">
        <f>VLOOKUP($F527,[2]装箱单!$A:$J,10,0)</f>
        <v>0.010079768258</v>
      </c>
      <c r="U527" s="73">
        <f t="shared" si="115"/>
        <v>4.83828876384</v>
      </c>
      <c r="V527" s="12"/>
    </row>
    <row r="528" s="1" customFormat="1" ht="29.1" customHeight="1" spans="1:22">
      <c r="A528" s="62">
        <v>46233</v>
      </c>
      <c r="B528" s="63" t="s">
        <v>40</v>
      </c>
      <c r="C528" s="64" t="s">
        <v>1882</v>
      </c>
      <c r="D528" s="66" t="s">
        <v>1883</v>
      </c>
      <c r="E528" s="66">
        <v>999523459</v>
      </c>
      <c r="F528" s="66">
        <v>28481</v>
      </c>
      <c r="G528" s="67" t="str">
        <f>VLOOKUP(F528,[2]装箱单!$A:$C,3,0)</f>
        <v>骰子</v>
      </c>
      <c r="H528" s="67">
        <v>480</v>
      </c>
      <c r="I528" s="68">
        <f t="shared" si="113"/>
        <v>1920</v>
      </c>
      <c r="J528" s="68" t="s">
        <v>32</v>
      </c>
      <c r="K528" s="68" t="s">
        <v>33</v>
      </c>
      <c r="L528" s="69">
        <v>480</v>
      </c>
      <c r="M528" s="65">
        <f t="shared" si="114"/>
        <v>4.83828876384</v>
      </c>
      <c r="N528" s="69" t="s">
        <v>34</v>
      </c>
      <c r="O528" s="67"/>
      <c r="P528" s="74"/>
      <c r="Q528" s="71">
        <f>VLOOKUP($F528,[2]装箱单!$A:$E,5,0)</f>
        <v>23.81</v>
      </c>
      <c r="R528" s="71">
        <f>VLOOKUP($F528,[2]装箱单!$A:$F,6,0)</f>
        <v>17.78</v>
      </c>
      <c r="S528" s="71">
        <f>VLOOKUP($F528,[2]装箱单!$A:$G,7,0)</f>
        <v>23.81</v>
      </c>
      <c r="T528" s="72">
        <f>VLOOKUP($F528,[2]装箱单!$A:$J,10,0)</f>
        <v>0.010079768258</v>
      </c>
      <c r="U528" s="73">
        <f t="shared" si="115"/>
        <v>4.83828876384</v>
      </c>
      <c r="V528" s="12"/>
    </row>
    <row r="529" s="1" customFormat="1" ht="29.1" customHeight="1" spans="1:22">
      <c r="A529" s="62">
        <v>46233</v>
      </c>
      <c r="B529" s="63" t="s">
        <v>40</v>
      </c>
      <c r="C529" s="64" t="s">
        <v>1884</v>
      </c>
      <c r="D529" s="66" t="s">
        <v>1885</v>
      </c>
      <c r="E529" s="66">
        <v>999523525</v>
      </c>
      <c r="F529" s="66">
        <v>28481</v>
      </c>
      <c r="G529" s="67" t="str">
        <f>VLOOKUP(F529,[2]装箱单!$A:$C,3,0)</f>
        <v>骰子</v>
      </c>
      <c r="H529" s="67">
        <v>480</v>
      </c>
      <c r="I529" s="68">
        <f t="shared" si="113"/>
        <v>1920</v>
      </c>
      <c r="J529" s="68" t="s">
        <v>32</v>
      </c>
      <c r="K529" s="68" t="s">
        <v>33</v>
      </c>
      <c r="L529" s="69">
        <v>480</v>
      </c>
      <c r="M529" s="65">
        <f t="shared" si="114"/>
        <v>4.83828876384</v>
      </c>
      <c r="N529" s="69" t="s">
        <v>34</v>
      </c>
      <c r="O529" s="67"/>
      <c r="P529" s="74"/>
      <c r="Q529" s="71">
        <f>VLOOKUP($F529,[2]装箱单!$A:$E,5,0)</f>
        <v>23.81</v>
      </c>
      <c r="R529" s="71">
        <f>VLOOKUP($F529,[2]装箱单!$A:$F,6,0)</f>
        <v>17.78</v>
      </c>
      <c r="S529" s="71">
        <f>VLOOKUP($F529,[2]装箱单!$A:$G,7,0)</f>
        <v>23.81</v>
      </c>
      <c r="T529" s="72">
        <f>VLOOKUP($F529,[2]装箱单!$A:$J,10,0)</f>
        <v>0.010079768258</v>
      </c>
      <c r="U529" s="73">
        <f t="shared" si="115"/>
        <v>4.83828876384</v>
      </c>
      <c r="V529" s="12"/>
    </row>
    <row r="530" s="1" customFormat="1" ht="29.1" customHeight="1" spans="1:22">
      <c r="A530" s="62">
        <v>46233</v>
      </c>
      <c r="B530" s="63" t="s">
        <v>40</v>
      </c>
      <c r="C530" s="64" t="s">
        <v>1890</v>
      </c>
      <c r="D530" s="66" t="s">
        <v>1891</v>
      </c>
      <c r="E530" s="66">
        <v>995883457</v>
      </c>
      <c r="F530" s="66">
        <v>28481</v>
      </c>
      <c r="G530" s="67" t="str">
        <f>VLOOKUP(F530,[2]装箱单!$A:$C,3,0)</f>
        <v>骰子</v>
      </c>
      <c r="H530" s="67">
        <v>720</v>
      </c>
      <c r="I530" s="68">
        <f t="shared" si="113"/>
        <v>2880</v>
      </c>
      <c r="J530" s="68" t="s">
        <v>32</v>
      </c>
      <c r="K530" s="68" t="s">
        <v>33</v>
      </c>
      <c r="L530" s="69">
        <v>720</v>
      </c>
      <c r="M530" s="65">
        <f t="shared" si="114"/>
        <v>7.25743314576</v>
      </c>
      <c r="N530" s="69" t="s">
        <v>34</v>
      </c>
      <c r="O530" s="67"/>
      <c r="P530" s="74"/>
      <c r="Q530" s="71">
        <f>VLOOKUP($F530,[2]装箱单!$A:$E,5,0)</f>
        <v>23.81</v>
      </c>
      <c r="R530" s="71">
        <f>VLOOKUP($F530,[2]装箱单!$A:$F,6,0)</f>
        <v>17.78</v>
      </c>
      <c r="S530" s="71">
        <f>VLOOKUP($F530,[2]装箱单!$A:$G,7,0)</f>
        <v>23.81</v>
      </c>
      <c r="T530" s="72">
        <f>VLOOKUP($F530,[2]装箱单!$A:$J,10,0)</f>
        <v>0.010079768258</v>
      </c>
      <c r="U530" s="73">
        <f t="shared" si="115"/>
        <v>7.25743314576</v>
      </c>
      <c r="V530" s="12"/>
    </row>
    <row r="531" s="1" customFormat="1" ht="29.1" customHeight="1" spans="1:22">
      <c r="A531" s="62">
        <v>46233</v>
      </c>
      <c r="B531" s="63" t="s">
        <v>40</v>
      </c>
      <c r="C531" s="64" t="s">
        <v>1892</v>
      </c>
      <c r="D531" s="66" t="s">
        <v>1893</v>
      </c>
      <c r="E531" s="66">
        <v>995883500</v>
      </c>
      <c r="F531" s="66">
        <v>28481</v>
      </c>
      <c r="G531" s="67" t="str">
        <f>VLOOKUP(F531,[2]装箱单!$A:$C,3,0)</f>
        <v>骰子</v>
      </c>
      <c r="H531" s="67">
        <v>600</v>
      </c>
      <c r="I531" s="68">
        <f t="shared" si="113"/>
        <v>2400</v>
      </c>
      <c r="J531" s="68" t="s">
        <v>32</v>
      </c>
      <c r="K531" s="68" t="s">
        <v>33</v>
      </c>
      <c r="L531" s="69">
        <v>600</v>
      </c>
      <c r="M531" s="65">
        <f t="shared" si="114"/>
        <v>6.0478609548</v>
      </c>
      <c r="N531" s="69" t="s">
        <v>34</v>
      </c>
      <c r="O531" s="67"/>
      <c r="P531" s="74"/>
      <c r="Q531" s="71">
        <f>VLOOKUP($F531,[2]装箱单!$A:$E,5,0)</f>
        <v>23.81</v>
      </c>
      <c r="R531" s="71">
        <f>VLOOKUP($F531,[2]装箱单!$A:$F,6,0)</f>
        <v>17.78</v>
      </c>
      <c r="S531" s="71">
        <f>VLOOKUP($F531,[2]装箱单!$A:$G,7,0)</f>
        <v>23.81</v>
      </c>
      <c r="T531" s="72">
        <f>VLOOKUP($F531,[2]装箱单!$A:$J,10,0)</f>
        <v>0.010079768258</v>
      </c>
      <c r="U531" s="73">
        <f t="shared" si="115"/>
        <v>6.0478609548</v>
      </c>
      <c r="V531" s="12"/>
    </row>
    <row r="532" s="1" customFormat="1" ht="29.1" customHeight="1" spans="1:22">
      <c r="A532" s="62">
        <v>46233</v>
      </c>
      <c r="B532" s="63" t="s">
        <v>40</v>
      </c>
      <c r="C532" s="64" t="s">
        <v>1894</v>
      </c>
      <c r="D532" s="66" t="s">
        <v>1895</v>
      </c>
      <c r="E532" s="66">
        <v>999523215</v>
      </c>
      <c r="F532" s="66">
        <v>28481</v>
      </c>
      <c r="G532" s="67" t="str">
        <f>VLOOKUP(F532,[2]装箱单!$A:$C,3,0)</f>
        <v>骰子</v>
      </c>
      <c r="H532" s="67">
        <v>480</v>
      </c>
      <c r="I532" s="68">
        <f t="shared" si="113"/>
        <v>1920</v>
      </c>
      <c r="J532" s="68" t="s">
        <v>32</v>
      </c>
      <c r="K532" s="68" t="s">
        <v>33</v>
      </c>
      <c r="L532" s="69">
        <v>480</v>
      </c>
      <c r="M532" s="65">
        <f t="shared" si="114"/>
        <v>4.83828876384</v>
      </c>
      <c r="N532" s="69" t="s">
        <v>34</v>
      </c>
      <c r="O532" s="67"/>
      <c r="P532" s="74"/>
      <c r="Q532" s="71">
        <f>VLOOKUP($F532,[2]装箱单!$A:$E,5,0)</f>
        <v>23.81</v>
      </c>
      <c r="R532" s="71">
        <f>VLOOKUP($F532,[2]装箱单!$A:$F,6,0)</f>
        <v>17.78</v>
      </c>
      <c r="S532" s="71">
        <f>VLOOKUP($F532,[2]装箱单!$A:$G,7,0)</f>
        <v>23.81</v>
      </c>
      <c r="T532" s="72">
        <f>VLOOKUP($F532,[2]装箱单!$A:$J,10,0)</f>
        <v>0.010079768258</v>
      </c>
      <c r="U532" s="73">
        <f t="shared" si="115"/>
        <v>4.83828876384</v>
      </c>
      <c r="V532" s="12"/>
    </row>
    <row r="533" s="1" customFormat="1" ht="29.1" customHeight="1" spans="1:22">
      <c r="A533" s="62">
        <v>46233</v>
      </c>
      <c r="B533" s="63" t="s">
        <v>40</v>
      </c>
      <c r="C533" s="64" t="s">
        <v>1876</v>
      </c>
      <c r="D533" s="66" t="s">
        <v>1877</v>
      </c>
      <c r="E533" s="66">
        <v>999523185</v>
      </c>
      <c r="F533" s="66">
        <v>28458</v>
      </c>
      <c r="G533" s="67" t="str">
        <f>VLOOKUP(F533,[2]装箱单!$A:$C,3,0)</f>
        <v>五款硅胶手感球</v>
      </c>
      <c r="H533" s="67">
        <v>478</v>
      </c>
      <c r="I533" s="68">
        <f t="shared" ref="I533:I536" si="116">+L533*3</f>
        <v>1074</v>
      </c>
      <c r="J533" s="68" t="s">
        <v>32</v>
      </c>
      <c r="K533" s="68" t="s">
        <v>33</v>
      </c>
      <c r="L533" s="69">
        <f>478-120</f>
        <v>358</v>
      </c>
      <c r="M533" s="65">
        <f t="shared" si="114"/>
        <v>7.457268305052</v>
      </c>
      <c r="N533" s="69" t="s">
        <v>34</v>
      </c>
      <c r="O533" s="67"/>
      <c r="P533" s="74"/>
      <c r="Q533" s="71">
        <f>VLOOKUP($F533,[2]装箱单!$A:$E,5,0)</f>
        <v>26.99</v>
      </c>
      <c r="R533" s="71">
        <f>VLOOKUP($F533,[2]装箱单!$A:$F,6,0)</f>
        <v>27.31</v>
      </c>
      <c r="S533" s="71">
        <f>VLOOKUP($F533,[2]装箱单!$A:$G,7,0)</f>
        <v>28.26</v>
      </c>
      <c r="T533" s="72">
        <f>VLOOKUP($F533,[2]装箱单!$A:$J,10,0)</f>
        <v>0.020830358394</v>
      </c>
      <c r="U533" s="73">
        <f t="shared" si="115"/>
        <v>7.457268305052</v>
      </c>
      <c r="V533" s="12"/>
    </row>
    <row r="534" s="1" customFormat="1" ht="29.1" customHeight="1" spans="1:22">
      <c r="A534" s="62">
        <v>46233</v>
      </c>
      <c r="B534" s="63" t="s">
        <v>40</v>
      </c>
      <c r="C534" s="64" t="s">
        <v>1880</v>
      </c>
      <c r="D534" s="66" t="s">
        <v>1881</v>
      </c>
      <c r="E534" s="66">
        <v>999523204</v>
      </c>
      <c r="F534" s="66">
        <v>28458</v>
      </c>
      <c r="G534" s="67" t="str">
        <f>VLOOKUP(F534,[2]装箱单!$A:$C,3,0)</f>
        <v>五款硅胶手感球</v>
      </c>
      <c r="H534" s="67">
        <v>478</v>
      </c>
      <c r="I534" s="68">
        <f t="shared" si="116"/>
        <v>1434</v>
      </c>
      <c r="J534" s="68" t="s">
        <v>32</v>
      </c>
      <c r="K534" s="68" t="s">
        <v>33</v>
      </c>
      <c r="L534" s="69">
        <v>478</v>
      </c>
      <c r="M534" s="65">
        <f t="shared" si="114"/>
        <v>9.956911312332</v>
      </c>
      <c r="N534" s="69" t="s">
        <v>34</v>
      </c>
      <c r="O534" s="67"/>
      <c r="P534" s="74"/>
      <c r="Q534" s="71">
        <f>VLOOKUP($F534,[2]装箱单!$A:$E,5,0)</f>
        <v>26.99</v>
      </c>
      <c r="R534" s="71">
        <f>VLOOKUP($F534,[2]装箱单!$A:$F,6,0)</f>
        <v>27.31</v>
      </c>
      <c r="S534" s="71">
        <f>VLOOKUP($F534,[2]装箱单!$A:$G,7,0)</f>
        <v>28.26</v>
      </c>
      <c r="T534" s="72">
        <f>VLOOKUP($F534,[2]装箱单!$A:$J,10,0)</f>
        <v>0.020830358394</v>
      </c>
      <c r="U534" s="73">
        <f t="shared" si="115"/>
        <v>9.956911312332</v>
      </c>
      <c r="V534" s="12"/>
    </row>
    <row r="535" s="1" customFormat="1" ht="29.1" customHeight="1" spans="1:22">
      <c r="A535" s="62">
        <v>46233</v>
      </c>
      <c r="B535" s="63" t="s">
        <v>40</v>
      </c>
      <c r="C535" s="64" t="s">
        <v>1882</v>
      </c>
      <c r="D535" s="66" t="s">
        <v>1883</v>
      </c>
      <c r="E535" s="66">
        <v>999523459</v>
      </c>
      <c r="F535" s="66">
        <v>28458</v>
      </c>
      <c r="G535" s="67" t="str">
        <f>VLOOKUP(F535,[2]装箱单!$A:$C,3,0)</f>
        <v>五款硅胶手感球</v>
      </c>
      <c r="H535" s="67">
        <v>478</v>
      </c>
      <c r="I535" s="68">
        <f t="shared" si="116"/>
        <v>1434</v>
      </c>
      <c r="J535" s="68" t="s">
        <v>32</v>
      </c>
      <c r="K535" s="68" t="s">
        <v>33</v>
      </c>
      <c r="L535" s="69">
        <v>478</v>
      </c>
      <c r="M535" s="65">
        <f t="shared" si="114"/>
        <v>9.956911312332</v>
      </c>
      <c r="N535" s="69" t="s">
        <v>34</v>
      </c>
      <c r="O535" s="67"/>
      <c r="P535" s="74"/>
      <c r="Q535" s="71">
        <f>VLOOKUP($F535,[2]装箱单!$A:$E,5,0)</f>
        <v>26.99</v>
      </c>
      <c r="R535" s="71">
        <f>VLOOKUP($F535,[2]装箱单!$A:$F,6,0)</f>
        <v>27.31</v>
      </c>
      <c r="S535" s="71">
        <f>VLOOKUP($F535,[2]装箱单!$A:$G,7,0)</f>
        <v>28.26</v>
      </c>
      <c r="T535" s="72">
        <f>VLOOKUP($F535,[2]装箱单!$A:$J,10,0)</f>
        <v>0.020830358394</v>
      </c>
      <c r="U535" s="73">
        <f t="shared" si="115"/>
        <v>9.956911312332</v>
      </c>
      <c r="V535" s="12"/>
    </row>
    <row r="536" s="1" customFormat="1" ht="29.1" customHeight="1" spans="1:22">
      <c r="A536" s="62">
        <v>46233</v>
      </c>
      <c r="B536" s="63" t="s">
        <v>40</v>
      </c>
      <c r="C536" s="64" t="s">
        <v>1884</v>
      </c>
      <c r="D536" s="66" t="s">
        <v>1885</v>
      </c>
      <c r="E536" s="66">
        <v>999523525</v>
      </c>
      <c r="F536" s="66">
        <v>28458</v>
      </c>
      <c r="G536" s="67" t="str">
        <f>VLOOKUP(F536,[2]装箱单!$A:$C,3,0)</f>
        <v>五款硅胶手感球</v>
      </c>
      <c r="H536" s="67">
        <v>478</v>
      </c>
      <c r="I536" s="68">
        <f t="shared" si="116"/>
        <v>1434</v>
      </c>
      <c r="J536" s="68" t="s">
        <v>32</v>
      </c>
      <c r="K536" s="68" t="s">
        <v>33</v>
      </c>
      <c r="L536" s="69">
        <v>478</v>
      </c>
      <c r="M536" s="65">
        <f t="shared" si="114"/>
        <v>9.956911312332</v>
      </c>
      <c r="N536" s="69" t="s">
        <v>34</v>
      </c>
      <c r="O536" s="67"/>
      <c r="P536" s="74"/>
      <c r="Q536" s="71">
        <f>VLOOKUP($F536,[2]装箱单!$A:$E,5,0)</f>
        <v>26.99</v>
      </c>
      <c r="R536" s="71">
        <f>VLOOKUP($F536,[2]装箱单!$A:$F,6,0)</f>
        <v>27.31</v>
      </c>
      <c r="S536" s="71">
        <f>VLOOKUP($F536,[2]装箱单!$A:$G,7,0)</f>
        <v>28.26</v>
      </c>
      <c r="T536" s="72">
        <f>VLOOKUP($F536,[2]装箱单!$A:$J,10,0)</f>
        <v>0.020830358394</v>
      </c>
      <c r="U536" s="73">
        <f t="shared" si="115"/>
        <v>9.956911312332</v>
      </c>
      <c r="V536" s="12"/>
    </row>
    <row r="537" s="1" customFormat="1" ht="29.1" customHeight="1" spans="1:22">
      <c r="A537" s="62">
        <v>46233</v>
      </c>
      <c r="B537" s="63" t="s">
        <v>40</v>
      </c>
      <c r="C537" s="64" t="s">
        <v>1896</v>
      </c>
      <c r="D537" s="66" t="s">
        <v>1897</v>
      </c>
      <c r="E537" s="66">
        <v>993059954</v>
      </c>
      <c r="F537" s="66" t="s">
        <v>179</v>
      </c>
      <c r="G537" s="67" t="str">
        <f>VLOOKUP(F537,[2]装箱单!$A:$C,3,0)</f>
        <v>搪胶小鸭</v>
      </c>
      <c r="H537" s="67">
        <v>180</v>
      </c>
      <c r="I537" s="68">
        <f>+L537*24</f>
        <v>4320</v>
      </c>
      <c r="J537" s="68" t="s">
        <v>32</v>
      </c>
      <c r="K537" s="68" t="s">
        <v>33</v>
      </c>
      <c r="L537" s="69">
        <v>180</v>
      </c>
      <c r="M537" s="65">
        <f t="shared" si="114"/>
        <v>2.39382</v>
      </c>
      <c r="N537" s="69" t="s">
        <v>34</v>
      </c>
      <c r="O537" s="67"/>
      <c r="P537" s="74"/>
      <c r="Q537" s="71">
        <f>VLOOKUP($F537,[2]装箱单!$A:$E,5,0)</f>
        <v>31</v>
      </c>
      <c r="R537" s="71">
        <f>VLOOKUP($F537,[2]装箱单!$A:$F,6,0)</f>
        <v>22</v>
      </c>
      <c r="S537" s="71">
        <f>VLOOKUP($F537,[2]装箱单!$A:$G,7,0)</f>
        <v>19.5</v>
      </c>
      <c r="T537" s="72">
        <f>VLOOKUP($F537,[2]装箱单!$A:$J,10,0)</f>
        <v>0.013299</v>
      </c>
      <c r="U537" s="73">
        <f t="shared" si="115"/>
        <v>2.39382</v>
      </c>
      <c r="V537" s="12"/>
    </row>
    <row r="538" s="1" customFormat="1" ht="29.1" customHeight="1" spans="1:22">
      <c r="A538" s="62">
        <v>46233</v>
      </c>
      <c r="B538" s="63" t="s">
        <v>40</v>
      </c>
      <c r="C538" s="64" t="s">
        <v>1898</v>
      </c>
      <c r="D538" s="66" t="s">
        <v>1899</v>
      </c>
      <c r="E538" s="66">
        <v>996634773</v>
      </c>
      <c r="F538" s="66" t="s">
        <v>179</v>
      </c>
      <c r="G538" s="67" t="str">
        <f>VLOOKUP(F538,[2]装箱单!$A:$C,3,0)</f>
        <v>搪胶小鸭</v>
      </c>
      <c r="H538" s="67">
        <v>720</v>
      </c>
      <c r="I538" s="68">
        <f>+L538*24</f>
        <v>17280</v>
      </c>
      <c r="J538" s="68" t="s">
        <v>32</v>
      </c>
      <c r="K538" s="68" t="s">
        <v>33</v>
      </c>
      <c r="L538" s="69">
        <v>720</v>
      </c>
      <c r="M538" s="65">
        <f t="shared" si="114"/>
        <v>9.57528</v>
      </c>
      <c r="N538" s="69" t="s">
        <v>34</v>
      </c>
      <c r="O538" s="67"/>
      <c r="P538" s="74"/>
      <c r="Q538" s="71">
        <f>VLOOKUP($F538,[2]装箱单!$A:$E,5,0)</f>
        <v>31</v>
      </c>
      <c r="R538" s="71">
        <f>VLOOKUP($F538,[2]装箱单!$A:$F,6,0)</f>
        <v>22</v>
      </c>
      <c r="S538" s="71">
        <f>VLOOKUP($F538,[2]装箱单!$A:$G,7,0)</f>
        <v>19.5</v>
      </c>
      <c r="T538" s="72">
        <f>VLOOKUP($F538,[2]装箱单!$A:$J,10,0)</f>
        <v>0.013299</v>
      </c>
      <c r="U538" s="73">
        <f t="shared" si="115"/>
        <v>9.57528</v>
      </c>
      <c r="V538" s="12"/>
    </row>
    <row r="539" s="1" customFormat="1" ht="29.1" customHeight="1" spans="1:22">
      <c r="A539" s="62">
        <v>46233</v>
      </c>
      <c r="B539" s="63" t="s">
        <v>1190</v>
      </c>
      <c r="C539" s="64" t="s">
        <v>1900</v>
      </c>
      <c r="D539" s="66" t="s">
        <v>1901</v>
      </c>
      <c r="E539" s="67" t="s">
        <v>1902</v>
      </c>
      <c r="F539" s="66">
        <v>46440</v>
      </c>
      <c r="G539" s="67" t="str">
        <f>VLOOKUP(F539,[2]装箱单!$A:$C,3,0)</f>
        <v>混装桶</v>
      </c>
      <c r="H539" s="67">
        <v>2936</v>
      </c>
      <c r="I539" s="68">
        <f>+L539*6</f>
        <v>3342</v>
      </c>
      <c r="J539" s="68" t="s">
        <v>32</v>
      </c>
      <c r="K539" s="68" t="s">
        <v>33</v>
      </c>
      <c r="L539" s="69">
        <v>557</v>
      </c>
      <c r="M539" s="65">
        <f t="shared" si="114"/>
        <v>43.6617818</v>
      </c>
      <c r="N539" s="69" t="s">
        <v>34</v>
      </c>
      <c r="O539" s="67"/>
      <c r="P539" s="74"/>
      <c r="Q539" s="71">
        <f>VLOOKUP($F539,[2]装箱单!$A:$E,5,0)</f>
        <v>41.3</v>
      </c>
      <c r="R539" s="71">
        <f>VLOOKUP($F539,[2]装箱单!$A:$F,6,0)</f>
        <v>29.2</v>
      </c>
      <c r="S539" s="71">
        <f>VLOOKUP($F539,[2]装箱单!$A:$G,7,0)</f>
        <v>65</v>
      </c>
      <c r="T539" s="72">
        <f>VLOOKUP($F539,[2]装箱单!$A:$J,10,0)</f>
        <v>0.0783874</v>
      </c>
      <c r="U539" s="73">
        <f t="shared" si="115"/>
        <v>43.6617818</v>
      </c>
      <c r="V539" s="12"/>
    </row>
    <row r="540" s="1" customFormat="1" ht="29.1" customHeight="1" spans="1:22">
      <c r="A540" s="62"/>
      <c r="B540" s="63"/>
      <c r="C540" s="64"/>
      <c r="D540" s="66"/>
      <c r="E540" s="67"/>
      <c r="F540" s="66"/>
      <c r="G540" s="67"/>
      <c r="H540" s="67"/>
      <c r="I540" s="68"/>
      <c r="J540" s="68"/>
      <c r="K540" s="68"/>
      <c r="L540" s="69"/>
      <c r="M540" s="65">
        <f>SUM(M525:M539)</f>
        <v>135.293910725648</v>
      </c>
      <c r="N540" s="69"/>
      <c r="O540" s="67"/>
      <c r="P540" s="75"/>
      <c r="Q540" s="71"/>
      <c r="R540" s="71"/>
      <c r="S540" s="71"/>
      <c r="T540" s="72"/>
      <c r="U540" s="73"/>
      <c r="V540" s="12"/>
    </row>
    <row r="541" s="1" customFormat="1" ht="29.1" customHeight="1" spans="1:22">
      <c r="A541" s="62">
        <v>46234</v>
      </c>
      <c r="B541" s="63" t="s">
        <v>1190</v>
      </c>
      <c r="C541" s="64" t="s">
        <v>1900</v>
      </c>
      <c r="D541" s="66" t="s">
        <v>1901</v>
      </c>
      <c r="E541" s="67" t="s">
        <v>1902</v>
      </c>
      <c r="F541" s="66">
        <v>46440</v>
      </c>
      <c r="G541" s="67" t="str">
        <f>VLOOKUP(F541,[2]装箱单!$A:$C,3,0)</f>
        <v>混装桶</v>
      </c>
      <c r="H541" s="67">
        <v>2936</v>
      </c>
      <c r="I541" s="68">
        <f>+L541*6</f>
        <v>11052</v>
      </c>
      <c r="J541" s="68" t="s">
        <v>32</v>
      </c>
      <c r="K541" s="68" t="s">
        <v>33</v>
      </c>
      <c r="L541" s="69">
        <v>1842</v>
      </c>
      <c r="M541" s="65">
        <f t="shared" ref="M541:M549" si="117">+U541</f>
        <v>144.3895908</v>
      </c>
      <c r="N541" s="69" t="s">
        <v>34</v>
      </c>
      <c r="O541" s="67"/>
      <c r="P541" s="70" t="s">
        <v>1903</v>
      </c>
      <c r="Q541" s="71">
        <f>VLOOKUP($F541,[2]装箱单!$A:$E,5,0)</f>
        <v>41.3</v>
      </c>
      <c r="R541" s="71">
        <f>VLOOKUP($F541,[2]装箱单!$A:$F,6,0)</f>
        <v>29.2</v>
      </c>
      <c r="S541" s="71">
        <f>VLOOKUP($F541,[2]装箱单!$A:$G,7,0)</f>
        <v>65</v>
      </c>
      <c r="T541" s="72">
        <f>VLOOKUP($F541,[2]装箱单!$A:$J,10,0)</f>
        <v>0.0783874</v>
      </c>
      <c r="U541" s="73">
        <f t="shared" ref="U541:U549" si="118">+T541*L541</f>
        <v>144.3895908</v>
      </c>
      <c r="V541" s="12"/>
    </row>
    <row r="542" s="1" customFormat="1" ht="29.1" customHeight="1" spans="1:22">
      <c r="A542" s="62">
        <v>46234</v>
      </c>
      <c r="B542" s="63" t="s">
        <v>1904</v>
      </c>
      <c r="C542" s="64" t="s">
        <v>1905</v>
      </c>
      <c r="D542" s="66" t="s">
        <v>1906</v>
      </c>
      <c r="E542" s="67" t="s">
        <v>1907</v>
      </c>
      <c r="F542" s="66" t="s">
        <v>175</v>
      </c>
      <c r="G542" s="67" t="str">
        <f>VLOOKUP(F542,[2]装箱单!$A:$C,3,0)</f>
        <v>投影米奇</v>
      </c>
      <c r="H542" s="67">
        <v>50</v>
      </c>
      <c r="I542" s="68">
        <f t="shared" ref="I542:I545" si="119">+L542*4</f>
        <v>200</v>
      </c>
      <c r="J542" s="68" t="s">
        <v>32</v>
      </c>
      <c r="K542" s="68" t="s">
        <v>33</v>
      </c>
      <c r="L542" s="69">
        <v>50</v>
      </c>
      <c r="M542" s="65">
        <f t="shared" si="117"/>
        <v>5.0247603133625</v>
      </c>
      <c r="N542" s="69" t="s">
        <v>34</v>
      </c>
      <c r="O542" s="67"/>
      <c r="P542" s="74"/>
      <c r="Q542" s="71">
        <f>VLOOKUP($F542,[2]装箱单!$A:$E,5,0)</f>
        <v>64.135</v>
      </c>
      <c r="R542" s="71">
        <f>VLOOKUP($F542,[2]装箱单!$A:$F,6,0)</f>
        <v>36.83</v>
      </c>
      <c r="S542" s="71">
        <f>VLOOKUP($F542,[2]装箱单!$A:$G,7,0)</f>
        <v>42.545</v>
      </c>
      <c r="T542" s="72">
        <f>VLOOKUP($F542,[2]装箱单!$A:$J,10,0)</f>
        <v>0.10049520626725</v>
      </c>
      <c r="U542" s="73">
        <f t="shared" si="118"/>
        <v>5.0247603133625</v>
      </c>
      <c r="V542" s="12"/>
    </row>
    <row r="543" s="1" customFormat="1" ht="29.1" customHeight="1" spans="1:22">
      <c r="A543" s="62"/>
      <c r="B543" s="63"/>
      <c r="C543" s="64"/>
      <c r="D543" s="66"/>
      <c r="E543" s="67"/>
      <c r="F543" s="66"/>
      <c r="G543" s="67"/>
      <c r="H543" s="67"/>
      <c r="I543" s="68"/>
      <c r="J543" s="68"/>
      <c r="K543" s="68"/>
      <c r="L543" s="69"/>
      <c r="M543" s="65">
        <f>SUM(M541:M542)</f>
        <v>149.414351113362</v>
      </c>
      <c r="N543" s="69"/>
      <c r="O543" s="67"/>
      <c r="P543" s="75"/>
      <c r="Q543" s="71"/>
      <c r="R543" s="71"/>
      <c r="S543" s="71"/>
      <c r="T543" s="72"/>
      <c r="U543" s="73"/>
      <c r="V543" s="12"/>
    </row>
    <row r="544" s="1" customFormat="1" ht="29.1" customHeight="1" spans="1:22">
      <c r="A544" s="62">
        <v>46238</v>
      </c>
      <c r="B544" s="63" t="s">
        <v>52</v>
      </c>
      <c r="C544" s="64">
        <v>47174</v>
      </c>
      <c r="D544" s="66" t="s">
        <v>1908</v>
      </c>
      <c r="E544" s="67"/>
      <c r="F544" s="66">
        <v>320399</v>
      </c>
      <c r="G544" s="67" t="str">
        <f>VLOOKUP(F544,[2]装箱单!$A:$C,3,0)</f>
        <v>猫家族</v>
      </c>
      <c r="H544" s="67">
        <v>1500</v>
      </c>
      <c r="I544" s="68">
        <f t="shared" si="119"/>
        <v>6000</v>
      </c>
      <c r="J544" s="68" t="s">
        <v>32</v>
      </c>
      <c r="K544" s="68" t="s">
        <v>33</v>
      </c>
      <c r="L544" s="69">
        <v>1500</v>
      </c>
      <c r="M544" s="65">
        <f t="shared" si="117"/>
        <v>15.435</v>
      </c>
      <c r="N544" s="69" t="s">
        <v>34</v>
      </c>
      <c r="O544" s="67"/>
      <c r="P544" s="70" t="s">
        <v>1909</v>
      </c>
      <c r="Q544" s="71">
        <f>VLOOKUP($F544,[2]装箱单!$A:$E,5,0)</f>
        <v>24.5</v>
      </c>
      <c r="R544" s="71">
        <f>VLOOKUP($F544,[2]装箱单!$A:$F,6,0)</f>
        <v>21</v>
      </c>
      <c r="S544" s="71">
        <f>VLOOKUP($F544,[2]装箱单!$A:$G,7,0)</f>
        <v>20</v>
      </c>
      <c r="T544" s="72">
        <f>VLOOKUP($F544,[2]装箱单!$A:$J,10,0)</f>
        <v>0.01029</v>
      </c>
      <c r="U544" s="73">
        <f t="shared" si="118"/>
        <v>15.435</v>
      </c>
      <c r="V544" s="12"/>
    </row>
    <row r="545" s="1" customFormat="1" ht="29.1" customHeight="1" spans="1:22">
      <c r="A545" s="62">
        <v>46238</v>
      </c>
      <c r="B545" s="63" t="s">
        <v>52</v>
      </c>
      <c r="C545" s="64">
        <v>47192</v>
      </c>
      <c r="D545" s="66" t="s">
        <v>1910</v>
      </c>
      <c r="E545" s="67"/>
      <c r="F545" s="66">
        <v>320401</v>
      </c>
      <c r="G545" s="67" t="str">
        <f>VLOOKUP(F545,[2]装箱单!$A:$C,3,0)</f>
        <v>狗家族</v>
      </c>
      <c r="H545" s="67">
        <v>1500</v>
      </c>
      <c r="I545" s="68">
        <f t="shared" si="119"/>
        <v>6000</v>
      </c>
      <c r="J545" s="68" t="s">
        <v>32</v>
      </c>
      <c r="K545" s="68" t="s">
        <v>33</v>
      </c>
      <c r="L545" s="69">
        <v>1500</v>
      </c>
      <c r="M545" s="65">
        <f t="shared" si="117"/>
        <v>15.435</v>
      </c>
      <c r="N545" s="69" t="s">
        <v>34</v>
      </c>
      <c r="O545" s="67"/>
      <c r="P545" s="74"/>
      <c r="Q545" s="71">
        <f>VLOOKUP($F545,[2]装箱单!$A:$E,5,0)</f>
        <v>24.5</v>
      </c>
      <c r="R545" s="71">
        <f>VLOOKUP($F545,[2]装箱单!$A:$F,6,0)</f>
        <v>21</v>
      </c>
      <c r="S545" s="71">
        <f>VLOOKUP($F545,[2]装箱单!$A:$G,7,0)</f>
        <v>20</v>
      </c>
      <c r="T545" s="72">
        <f>VLOOKUP($F545,[2]装箱单!$A:$J,10,0)</f>
        <v>0.01029</v>
      </c>
      <c r="U545" s="73">
        <f t="shared" si="118"/>
        <v>15.435</v>
      </c>
      <c r="V545" s="12"/>
    </row>
    <row r="546" s="1" customFormat="1" ht="29.1" customHeight="1" spans="1:22">
      <c r="A546" s="62">
        <v>46238</v>
      </c>
      <c r="B546" s="63" t="s">
        <v>52</v>
      </c>
      <c r="C546" s="64">
        <v>47174</v>
      </c>
      <c r="D546" s="66" t="s">
        <v>1908</v>
      </c>
      <c r="E546" s="67"/>
      <c r="F546" s="66">
        <v>320635</v>
      </c>
      <c r="G546" s="67" t="str">
        <f>VLOOKUP(F546,[2]装箱单!$A:$C,3,0)</f>
        <v>校车</v>
      </c>
      <c r="H546" s="67">
        <v>1500</v>
      </c>
      <c r="I546" s="68">
        <f t="shared" ref="I546:I549" si="120">+L546*2</f>
        <v>3000</v>
      </c>
      <c r="J546" s="68" t="s">
        <v>32</v>
      </c>
      <c r="K546" s="68" t="s">
        <v>33</v>
      </c>
      <c r="L546" s="69">
        <v>1500</v>
      </c>
      <c r="M546" s="65">
        <f t="shared" si="117"/>
        <v>23.680104786</v>
      </c>
      <c r="N546" s="69" t="s">
        <v>34</v>
      </c>
      <c r="O546" s="67"/>
      <c r="P546" s="74"/>
      <c r="Q546" s="71">
        <f>VLOOKUP($F546,[2]装箱单!$A:$E,5,0)</f>
        <v>35.18</v>
      </c>
      <c r="R546" s="71">
        <f>VLOOKUP($F546,[2]装箱单!$A:$F,6,0)</f>
        <v>27.18</v>
      </c>
      <c r="S546" s="71">
        <f>VLOOKUP($F546,[2]装箱单!$A:$G,7,0)</f>
        <v>16.51</v>
      </c>
      <c r="T546" s="72">
        <f>VLOOKUP($F546,[2]装箱单!$A:$J,10,0)</f>
        <v>0.015786736524</v>
      </c>
      <c r="U546" s="73">
        <f t="shared" si="118"/>
        <v>23.680104786</v>
      </c>
      <c r="V546" s="12"/>
    </row>
    <row r="547" s="1" customFormat="1" ht="29.1" customHeight="1" spans="1:22">
      <c r="A547" s="62">
        <v>46238</v>
      </c>
      <c r="B547" s="63" t="s">
        <v>52</v>
      </c>
      <c r="C547" s="64">
        <v>47174</v>
      </c>
      <c r="D547" s="66" t="s">
        <v>1908</v>
      </c>
      <c r="E547" s="67"/>
      <c r="F547" s="66">
        <v>320916</v>
      </c>
      <c r="G547" s="67" t="str">
        <f>VLOOKUP(F547,[2]装箱单!$A:$C,3,0)</f>
        <v>糕屋</v>
      </c>
      <c r="H547" s="67">
        <v>1500</v>
      </c>
      <c r="I547" s="68">
        <f t="shared" si="120"/>
        <v>3000</v>
      </c>
      <c r="J547" s="68" t="s">
        <v>32</v>
      </c>
      <c r="K547" s="68" t="s">
        <v>33</v>
      </c>
      <c r="L547" s="69">
        <v>1500</v>
      </c>
      <c r="M547" s="65">
        <f t="shared" si="117"/>
        <v>38.7144387</v>
      </c>
      <c r="N547" s="69" t="s">
        <v>34</v>
      </c>
      <c r="O547" s="67"/>
      <c r="P547" s="74"/>
      <c r="Q547" s="71">
        <f>VLOOKUP($F547,[2]装箱单!$A:$E,5,0)</f>
        <v>38.1</v>
      </c>
      <c r="R547" s="71">
        <f>VLOOKUP($F547,[2]装箱单!$A:$F,6,0)</f>
        <v>30.48</v>
      </c>
      <c r="S547" s="71">
        <f>VLOOKUP($F547,[2]装箱单!$A:$G,7,0)</f>
        <v>22.225</v>
      </c>
      <c r="T547" s="72">
        <f>VLOOKUP($F547,[2]装箱单!$A:$J,10,0)</f>
        <v>0.0258096258</v>
      </c>
      <c r="U547" s="73">
        <f t="shared" si="118"/>
        <v>38.7144387</v>
      </c>
      <c r="V547" s="12"/>
    </row>
    <row r="548" s="1" customFormat="1" ht="29.1" customHeight="1" spans="1:22">
      <c r="A548" s="62">
        <v>46238</v>
      </c>
      <c r="B548" s="63" t="s">
        <v>52</v>
      </c>
      <c r="C548" s="64">
        <v>47174</v>
      </c>
      <c r="D548" s="66" t="s">
        <v>1908</v>
      </c>
      <c r="E548" s="67"/>
      <c r="F548" s="66" t="s">
        <v>63</v>
      </c>
      <c r="G548" s="67" t="str">
        <f>VLOOKUP(F548,[2]装箱单!$A:$C,3,0)</f>
        <v>卷发女孩</v>
      </c>
      <c r="H548" s="67">
        <v>750</v>
      </c>
      <c r="I548" s="68">
        <f>+L548*4</f>
        <v>3000</v>
      </c>
      <c r="J548" s="68" t="s">
        <v>32</v>
      </c>
      <c r="K548" s="68" t="s">
        <v>33</v>
      </c>
      <c r="L548" s="69">
        <v>750</v>
      </c>
      <c r="M548" s="65">
        <f t="shared" si="117"/>
        <v>11.41691265</v>
      </c>
      <c r="N548" s="69" t="s">
        <v>34</v>
      </c>
      <c r="O548" s="67"/>
      <c r="P548" s="74"/>
      <c r="Q548" s="71">
        <f>VLOOKUP($F548,[2]装箱单!$A:$E,5,0)</f>
        <v>27.94</v>
      </c>
      <c r="R548" s="71">
        <f>VLOOKUP($F548,[2]装箱单!$A:$F,6,0)</f>
        <v>16.51</v>
      </c>
      <c r="S548" s="71">
        <f>VLOOKUP($F548,[2]装箱单!$A:$G,7,0)</f>
        <v>33</v>
      </c>
      <c r="T548" s="72">
        <f>VLOOKUP($F548,[2]装箱单!$A:$J,10,0)</f>
        <v>0.0152225502</v>
      </c>
      <c r="U548" s="73">
        <f t="shared" si="118"/>
        <v>11.41691265</v>
      </c>
      <c r="V548" s="12"/>
    </row>
    <row r="549" s="1" customFormat="1" ht="29.1" customHeight="1" spans="1:22">
      <c r="A549" s="62">
        <v>46238</v>
      </c>
      <c r="B549" s="63" t="s">
        <v>52</v>
      </c>
      <c r="C549" s="64">
        <v>47174</v>
      </c>
      <c r="D549" s="66" t="s">
        <v>1908</v>
      </c>
      <c r="E549" s="67"/>
      <c r="F549" s="66">
        <v>320923</v>
      </c>
      <c r="G549" s="67" t="str">
        <f>VLOOKUP(F549,[2]装箱单!$A:$C,3,0)</f>
        <v>花店</v>
      </c>
      <c r="H549" s="67">
        <v>1500</v>
      </c>
      <c r="I549" s="68">
        <f t="shared" si="120"/>
        <v>2560</v>
      </c>
      <c r="J549" s="68" t="s">
        <v>32</v>
      </c>
      <c r="K549" s="68" t="s">
        <v>33</v>
      </c>
      <c r="L549" s="69">
        <v>1280</v>
      </c>
      <c r="M549" s="65">
        <f t="shared" si="117"/>
        <v>33.7152902912</v>
      </c>
      <c r="N549" s="69" t="s">
        <v>34</v>
      </c>
      <c r="O549" s="67"/>
      <c r="P549" s="74"/>
      <c r="Q549" s="71">
        <f>VLOOKUP($F549,[2]装箱单!$A:$E,5,0)</f>
        <v>39.94</v>
      </c>
      <c r="R549" s="71">
        <f>VLOOKUP($F549,[2]装箱单!$A:$F,6,0)</f>
        <v>30.1</v>
      </c>
      <c r="S549" s="71">
        <f>VLOOKUP($F549,[2]装箱单!$A:$G,7,0)</f>
        <v>21.91</v>
      </c>
      <c r="T549" s="72">
        <f>VLOOKUP($F549,[2]装箱单!$A:$J,10,0)</f>
        <v>0.02634007054</v>
      </c>
      <c r="U549" s="73">
        <f t="shared" si="118"/>
        <v>33.7152902912</v>
      </c>
      <c r="V549" s="12"/>
    </row>
    <row r="550" s="1" customFormat="1" ht="29.1" customHeight="1" spans="1:22">
      <c r="A550" s="62"/>
      <c r="B550" s="63"/>
      <c r="C550" s="64"/>
      <c r="D550" s="66"/>
      <c r="E550" s="67"/>
      <c r="F550" s="66"/>
      <c r="G550" s="67"/>
      <c r="H550" s="67"/>
      <c r="I550" s="68"/>
      <c r="J550" s="68"/>
      <c r="K550" s="68"/>
      <c r="L550" s="69"/>
      <c r="M550" s="65">
        <f>SUM(M544:M549)</f>
        <v>138.3967464272</v>
      </c>
      <c r="N550" s="69"/>
      <c r="O550" s="67"/>
      <c r="P550" s="75"/>
      <c r="Q550" s="71"/>
      <c r="R550" s="71"/>
      <c r="S550" s="71"/>
      <c r="T550" s="72"/>
      <c r="U550" s="73"/>
      <c r="V550" s="12"/>
    </row>
    <row r="551" s="1" customFormat="1" ht="29.1" customHeight="1" spans="1:22">
      <c r="A551" s="62">
        <v>46238</v>
      </c>
      <c r="B551" s="63" t="s">
        <v>1190</v>
      </c>
      <c r="C551" s="64" t="s">
        <v>1900</v>
      </c>
      <c r="D551" s="66" t="s">
        <v>1901</v>
      </c>
      <c r="E551" s="67" t="s">
        <v>1902</v>
      </c>
      <c r="F551" s="66">
        <v>46440</v>
      </c>
      <c r="G551" s="67" t="str">
        <f>VLOOKUP(F551,[2]装箱单!$A:$C,3,0)</f>
        <v>混装桶</v>
      </c>
      <c r="H551" s="67">
        <v>2936</v>
      </c>
      <c r="I551" s="68">
        <f>+L551*6</f>
        <v>3222</v>
      </c>
      <c r="J551" s="68" t="s">
        <v>32</v>
      </c>
      <c r="K551" s="68" t="s">
        <v>33</v>
      </c>
      <c r="L551" s="69">
        <f>2936-557-1842</f>
        <v>537</v>
      </c>
      <c r="M551" s="65">
        <f t="shared" ref="M551:M555" si="121">+U551</f>
        <v>42.0940338</v>
      </c>
      <c r="N551" s="69" t="s">
        <v>34</v>
      </c>
      <c r="O551" s="67"/>
      <c r="P551" s="70" t="s">
        <v>183</v>
      </c>
      <c r="Q551" s="71">
        <f>VLOOKUP($F551,[2]装箱单!$A:$E,5,0)</f>
        <v>41.3</v>
      </c>
      <c r="R551" s="71">
        <f>VLOOKUP($F551,[2]装箱单!$A:$F,6,0)</f>
        <v>29.2</v>
      </c>
      <c r="S551" s="71">
        <f>VLOOKUP($F551,[2]装箱单!$A:$G,7,0)</f>
        <v>65</v>
      </c>
      <c r="T551" s="72">
        <f>VLOOKUP($F551,[2]装箱单!$A:$J,10,0)</f>
        <v>0.0783874</v>
      </c>
      <c r="U551" s="73">
        <f t="shared" ref="U551:U555" si="122">+T551*L551</f>
        <v>42.0940338</v>
      </c>
      <c r="V551" s="12"/>
    </row>
    <row r="552" s="1" customFormat="1" ht="29.1" customHeight="1" spans="1:22">
      <c r="A552" s="62">
        <v>46238</v>
      </c>
      <c r="B552" s="63" t="s">
        <v>1190</v>
      </c>
      <c r="C552" s="64" t="s">
        <v>1911</v>
      </c>
      <c r="D552" s="66" t="s">
        <v>1912</v>
      </c>
      <c r="E552" s="67" t="s">
        <v>1913</v>
      </c>
      <c r="F552" s="66">
        <v>46440</v>
      </c>
      <c r="G552" s="67" t="str">
        <f>VLOOKUP(F552,[2]装箱单!$A:$C,3,0)</f>
        <v>混装桶</v>
      </c>
      <c r="H552" s="67">
        <v>328</v>
      </c>
      <c r="I552" s="68">
        <f>+L552*6</f>
        <v>1968</v>
      </c>
      <c r="J552" s="68" t="s">
        <v>32</v>
      </c>
      <c r="K552" s="68" t="s">
        <v>33</v>
      </c>
      <c r="L552" s="69">
        <v>328</v>
      </c>
      <c r="M552" s="65">
        <f t="shared" si="121"/>
        <v>25.7110672</v>
      </c>
      <c r="N552" s="69" t="s">
        <v>34</v>
      </c>
      <c r="O552" s="67"/>
      <c r="P552" s="74"/>
      <c r="Q552" s="71">
        <f>VLOOKUP($F552,[2]装箱单!$A:$E,5,0)</f>
        <v>41.3</v>
      </c>
      <c r="R552" s="71">
        <f>VLOOKUP($F552,[2]装箱单!$A:$F,6,0)</f>
        <v>29.2</v>
      </c>
      <c r="S552" s="71">
        <f>VLOOKUP($F552,[2]装箱单!$A:$G,7,0)</f>
        <v>65</v>
      </c>
      <c r="T552" s="72">
        <f>VLOOKUP($F552,[2]装箱单!$A:$J,10,0)</f>
        <v>0.0783874</v>
      </c>
      <c r="U552" s="73">
        <f t="shared" si="122"/>
        <v>25.7110672</v>
      </c>
      <c r="V552" s="12"/>
    </row>
    <row r="553" s="1" customFormat="1" ht="29.1" customHeight="1" spans="1:22">
      <c r="A553" s="62">
        <v>46238</v>
      </c>
      <c r="B553" s="63" t="s">
        <v>1914</v>
      </c>
      <c r="C553" s="64" t="s">
        <v>1915</v>
      </c>
      <c r="D553" s="66" t="s">
        <v>1916</v>
      </c>
      <c r="E553" s="67" t="s">
        <v>1917</v>
      </c>
      <c r="F553" s="66">
        <v>33410</v>
      </c>
      <c r="G553" s="67" t="str">
        <f>VLOOKUP(F553,[2]装箱单!$A:$C,3,0)</f>
        <v>搪胶小鸭</v>
      </c>
      <c r="H553" s="67">
        <v>20</v>
      </c>
      <c r="I553" s="68">
        <f>+L553*400</f>
        <v>8000</v>
      </c>
      <c r="J553" s="68" t="s">
        <v>32</v>
      </c>
      <c r="K553" s="68" t="s">
        <v>33</v>
      </c>
      <c r="L553" s="69">
        <v>20</v>
      </c>
      <c r="M553" s="65">
        <f t="shared" si="121"/>
        <v>6.246788256</v>
      </c>
      <c r="N553" s="69" t="s">
        <v>34</v>
      </c>
      <c r="O553" s="67"/>
      <c r="P553" s="74"/>
      <c r="Q553" s="71">
        <f>VLOOKUP($F553,[2]装箱单!$A:$E,5,0)</f>
        <v>52.83</v>
      </c>
      <c r="R553" s="71">
        <f>VLOOKUP($F553,[2]装箱单!$A:$F,6,0)</f>
        <v>52.32</v>
      </c>
      <c r="S553" s="71">
        <f>VLOOKUP($F553,[2]装箱单!$A:$G,7,0)</f>
        <v>113</v>
      </c>
      <c r="T553" s="72">
        <f>VLOOKUP($F553,[2]装箱单!$A:$J,10,0)</f>
        <v>0.3123394128</v>
      </c>
      <c r="U553" s="73">
        <f t="shared" si="122"/>
        <v>6.246788256</v>
      </c>
      <c r="V553" s="12"/>
    </row>
    <row r="554" s="1" customFormat="1" ht="29.1" customHeight="1" spans="1:22">
      <c r="A554" s="62">
        <v>46238</v>
      </c>
      <c r="B554" s="63" t="s">
        <v>40</v>
      </c>
      <c r="C554" s="64" t="s">
        <v>1918</v>
      </c>
      <c r="D554" s="66" t="s">
        <v>1919</v>
      </c>
      <c r="E554" s="140" t="s">
        <v>1920</v>
      </c>
      <c r="F554" s="66" t="s">
        <v>179</v>
      </c>
      <c r="G554" s="67" t="str">
        <f>VLOOKUP(F554,[2]装箱单!$A:$C,3,0)</f>
        <v>搪胶小鸭</v>
      </c>
      <c r="H554" s="67">
        <v>90</v>
      </c>
      <c r="I554" s="68">
        <f>+L554*24</f>
        <v>2160</v>
      </c>
      <c r="J554" s="68" t="s">
        <v>32</v>
      </c>
      <c r="K554" s="68" t="s">
        <v>33</v>
      </c>
      <c r="L554" s="69">
        <v>90</v>
      </c>
      <c r="M554" s="65">
        <f t="shared" si="121"/>
        <v>1.19691</v>
      </c>
      <c r="N554" s="69" t="s">
        <v>34</v>
      </c>
      <c r="O554" s="67"/>
      <c r="P554" s="74"/>
      <c r="Q554" s="71">
        <f>VLOOKUP($F554,[2]装箱单!$A:$E,5,0)</f>
        <v>31</v>
      </c>
      <c r="R554" s="71">
        <f>VLOOKUP($F554,[2]装箱单!$A:$F,6,0)</f>
        <v>22</v>
      </c>
      <c r="S554" s="71">
        <f>VLOOKUP($F554,[2]装箱单!$A:$G,7,0)</f>
        <v>19.5</v>
      </c>
      <c r="T554" s="72">
        <f>VLOOKUP($F554,[2]装箱单!$A:$J,10,0)</f>
        <v>0.013299</v>
      </c>
      <c r="U554" s="73">
        <f t="shared" si="122"/>
        <v>1.19691</v>
      </c>
      <c r="V554" s="12"/>
    </row>
    <row r="555" s="1" customFormat="1" ht="29.1" customHeight="1" spans="1:22">
      <c r="A555" s="62">
        <v>46238</v>
      </c>
      <c r="B555" s="63" t="s">
        <v>177</v>
      </c>
      <c r="C555" s="64" t="s">
        <v>1921</v>
      </c>
      <c r="D555" s="66" t="s">
        <v>1922</v>
      </c>
      <c r="E555" s="67" t="s">
        <v>1923</v>
      </c>
      <c r="F555" s="66">
        <v>33410</v>
      </c>
      <c r="G555" s="67" t="str">
        <f>VLOOKUP(F555,[2]装箱单!$A:$C,3,0)</f>
        <v>搪胶小鸭</v>
      </c>
      <c r="H555" s="67">
        <v>1600</v>
      </c>
      <c r="I555" s="68">
        <f>+L555*400</f>
        <v>71600</v>
      </c>
      <c r="J555" s="68" t="s">
        <v>32</v>
      </c>
      <c r="K555" s="68" t="s">
        <v>33</v>
      </c>
      <c r="L555" s="69">
        <v>179</v>
      </c>
      <c r="M555" s="65">
        <f t="shared" si="121"/>
        <v>55.9087548912</v>
      </c>
      <c r="N555" s="69" t="s">
        <v>34</v>
      </c>
      <c r="O555" s="67"/>
      <c r="P555" s="74"/>
      <c r="Q555" s="71">
        <f>VLOOKUP($F555,[2]装箱单!$A:$E,5,0)</f>
        <v>52.83</v>
      </c>
      <c r="R555" s="71">
        <f>VLOOKUP($F555,[2]装箱单!$A:$F,6,0)</f>
        <v>52.32</v>
      </c>
      <c r="S555" s="71">
        <f>VLOOKUP($F555,[2]装箱单!$A:$G,7,0)</f>
        <v>113</v>
      </c>
      <c r="T555" s="72">
        <f>VLOOKUP($F555,[2]装箱单!$A:$J,10,0)</f>
        <v>0.3123394128</v>
      </c>
      <c r="U555" s="73">
        <f t="shared" si="122"/>
        <v>55.9087548912</v>
      </c>
      <c r="V555" s="12"/>
    </row>
    <row r="556" s="1" customFormat="1" ht="29.1" customHeight="1" spans="1:22">
      <c r="A556" s="62"/>
      <c r="B556" s="63"/>
      <c r="C556" s="64"/>
      <c r="D556" s="66"/>
      <c r="E556" s="67"/>
      <c r="F556" s="66"/>
      <c r="G556" s="67"/>
      <c r="H556" s="67"/>
      <c r="I556" s="68"/>
      <c r="J556" s="68"/>
      <c r="K556" s="68"/>
      <c r="L556" s="69"/>
      <c r="M556" s="65">
        <f>SUM(M551:M555)</f>
        <v>131.1575541472</v>
      </c>
      <c r="N556" s="69"/>
      <c r="O556" s="67"/>
      <c r="P556" s="75"/>
      <c r="Q556" s="71"/>
      <c r="R556" s="71"/>
      <c r="S556" s="71"/>
      <c r="T556" s="72"/>
      <c r="U556" s="73"/>
      <c r="V556" s="12"/>
    </row>
    <row r="557" s="1" customFormat="1" ht="29.1" customHeight="1" spans="1:22">
      <c r="A557" s="62">
        <v>46239</v>
      </c>
      <c r="B557" s="63" t="s">
        <v>52</v>
      </c>
      <c r="C557" s="64">
        <v>47174</v>
      </c>
      <c r="D557" s="66" t="s">
        <v>1908</v>
      </c>
      <c r="E557" s="67"/>
      <c r="F557" s="66">
        <v>320923</v>
      </c>
      <c r="G557" s="67" t="str">
        <f>VLOOKUP(F557,[2]装箱单!$A:$C,3,0)</f>
        <v>花店</v>
      </c>
      <c r="H557" s="67">
        <v>1500</v>
      </c>
      <c r="I557" s="68">
        <f>+L557*2</f>
        <v>440</v>
      </c>
      <c r="J557" s="68" t="s">
        <v>32</v>
      </c>
      <c r="K557" s="68" t="s">
        <v>33</v>
      </c>
      <c r="L557" s="69">
        <f>1500-1280</f>
        <v>220</v>
      </c>
      <c r="M557" s="65">
        <f t="shared" ref="M557:M568" si="123">+U557</f>
        <v>5.7948155188</v>
      </c>
      <c r="N557" s="69" t="s">
        <v>34</v>
      </c>
      <c r="O557" s="67"/>
      <c r="P557" s="94" t="s">
        <v>239</v>
      </c>
      <c r="Q557" s="71">
        <f>VLOOKUP($F557,[2]装箱单!$A:$E,5,0)</f>
        <v>39.94</v>
      </c>
      <c r="R557" s="71">
        <f>VLOOKUP($F557,[2]装箱单!$A:$F,6,0)</f>
        <v>30.1</v>
      </c>
      <c r="S557" s="71">
        <f>VLOOKUP($F557,[2]装箱单!$A:$G,7,0)</f>
        <v>21.91</v>
      </c>
      <c r="T557" s="72">
        <f>VLOOKUP($F557,[2]装箱单!$A:$J,10,0)</f>
        <v>0.02634007054</v>
      </c>
      <c r="U557" s="73">
        <f t="shared" ref="U557:U568" si="124">+T557*L557</f>
        <v>5.7948155188</v>
      </c>
      <c r="V557" s="12"/>
    </row>
    <row r="558" s="1" customFormat="1" ht="29.1" customHeight="1" spans="1:22">
      <c r="A558" s="62">
        <v>46242</v>
      </c>
      <c r="B558" s="63" t="s">
        <v>173</v>
      </c>
      <c r="C558" s="64" t="s">
        <v>1924</v>
      </c>
      <c r="D558" s="66" t="s">
        <v>1925</v>
      </c>
      <c r="E558" s="67" t="s">
        <v>1926</v>
      </c>
      <c r="F558" s="66" t="s">
        <v>45</v>
      </c>
      <c r="G558" s="67" t="str">
        <f>VLOOKUP(F558,[2]装箱单!$A:$C,3,0)</f>
        <v>鸭子</v>
      </c>
      <c r="H558" s="67">
        <v>111</v>
      </c>
      <c r="I558" s="68">
        <f t="shared" ref="I558:I563" si="125">+L558*18</f>
        <v>1998</v>
      </c>
      <c r="J558" s="68" t="s">
        <v>32</v>
      </c>
      <c r="K558" s="68" t="s">
        <v>33</v>
      </c>
      <c r="L558" s="69">
        <v>111</v>
      </c>
      <c r="M558" s="65">
        <f t="shared" si="123"/>
        <v>0.6430243994325</v>
      </c>
      <c r="N558" s="69" t="s">
        <v>34</v>
      </c>
      <c r="O558" s="67" t="s">
        <v>1141</v>
      </c>
      <c r="P558" s="101" t="s">
        <v>137</v>
      </c>
      <c r="Q558" s="71">
        <f>VLOOKUP($F558,[2]装箱单!$A:$E,5,0)</f>
        <v>32.385</v>
      </c>
      <c r="R558" s="71">
        <f>VLOOKUP($F558,[2]装箱单!$A:$F,6,0)</f>
        <v>18.78</v>
      </c>
      <c r="S558" s="71">
        <f>VLOOKUP($F558,[2]装箱单!$A:$G,7,0)</f>
        <v>9.525</v>
      </c>
      <c r="T558" s="72">
        <f>VLOOKUP($F558,[2]装箱单!$A:$J,10,0)</f>
        <v>0.0057930126075</v>
      </c>
      <c r="U558" s="73">
        <f t="shared" si="124"/>
        <v>0.6430243994325</v>
      </c>
      <c r="V558" s="12"/>
    </row>
    <row r="559" s="1" customFormat="1" ht="29.1" customHeight="1" spans="1:22">
      <c r="A559" s="62">
        <v>46242</v>
      </c>
      <c r="B559" s="63" t="s">
        <v>77</v>
      </c>
      <c r="C559" s="64" t="s">
        <v>1927</v>
      </c>
      <c r="D559" s="66" t="s">
        <v>1928</v>
      </c>
      <c r="E559" s="67" t="s">
        <v>1929</v>
      </c>
      <c r="F559" s="66" t="s">
        <v>111</v>
      </c>
      <c r="G559" s="67" t="str">
        <f>VLOOKUP(F559,[2]装箱单!$A:$C,3,0)</f>
        <v>鸭子</v>
      </c>
      <c r="H559" s="67">
        <v>329</v>
      </c>
      <c r="I559" s="68">
        <f t="shared" si="125"/>
        <v>5922</v>
      </c>
      <c r="J559" s="68" t="s">
        <v>32</v>
      </c>
      <c r="K559" s="68" t="s">
        <v>33</v>
      </c>
      <c r="L559" s="69">
        <v>329</v>
      </c>
      <c r="M559" s="65">
        <f t="shared" si="123"/>
        <v>1.9059011478675</v>
      </c>
      <c r="N559" s="69" t="s">
        <v>34</v>
      </c>
      <c r="O559" s="67" t="s">
        <v>1930</v>
      </c>
      <c r="P559" s="91"/>
      <c r="Q559" s="71">
        <f>VLOOKUP($F559,[2]装箱单!$A:$E,5,0)</f>
        <v>32.385</v>
      </c>
      <c r="R559" s="71">
        <f>VLOOKUP($F559,[2]装箱单!$A:$F,6,0)</f>
        <v>18.78</v>
      </c>
      <c r="S559" s="71">
        <f>VLOOKUP($F559,[2]装箱单!$A:$G,7,0)</f>
        <v>9.525</v>
      </c>
      <c r="T559" s="72">
        <f>VLOOKUP($F559,[2]装箱单!$A:$J,10,0)</f>
        <v>0.0057930126075</v>
      </c>
      <c r="U559" s="73">
        <f t="shared" si="124"/>
        <v>1.9059011478675</v>
      </c>
      <c r="V559" s="12"/>
    </row>
    <row r="560" s="1" customFormat="1" ht="29.1" customHeight="1" spans="1:22">
      <c r="A560" s="62">
        <v>46242</v>
      </c>
      <c r="B560" s="63" t="s">
        <v>77</v>
      </c>
      <c r="C560" s="64" t="s">
        <v>1927</v>
      </c>
      <c r="D560" s="66" t="s">
        <v>1928</v>
      </c>
      <c r="E560" s="67" t="s">
        <v>1929</v>
      </c>
      <c r="F560" s="66" t="s">
        <v>45</v>
      </c>
      <c r="G560" s="67" t="str">
        <f>VLOOKUP(F560,[2]装箱单!$A:$C,3,0)</f>
        <v>鸭子</v>
      </c>
      <c r="H560" s="67">
        <v>682</v>
      </c>
      <c r="I560" s="68">
        <f t="shared" si="125"/>
        <v>12276</v>
      </c>
      <c r="J560" s="68" t="s">
        <v>32</v>
      </c>
      <c r="K560" s="68" t="s">
        <v>33</v>
      </c>
      <c r="L560" s="69">
        <v>682</v>
      </c>
      <c r="M560" s="65">
        <f t="shared" si="123"/>
        <v>3.950834598315</v>
      </c>
      <c r="N560" s="69" t="s">
        <v>34</v>
      </c>
      <c r="O560" s="81" t="s">
        <v>773</v>
      </c>
      <c r="P560" s="91"/>
      <c r="Q560" s="71">
        <f>VLOOKUP($F560,[2]装箱单!$A:$E,5,0)</f>
        <v>32.385</v>
      </c>
      <c r="R560" s="71">
        <f>VLOOKUP($F560,[2]装箱单!$A:$F,6,0)</f>
        <v>18.78</v>
      </c>
      <c r="S560" s="71">
        <f>VLOOKUP($F560,[2]装箱单!$A:$G,7,0)</f>
        <v>9.525</v>
      </c>
      <c r="T560" s="72">
        <f>VLOOKUP($F560,[2]装箱单!$A:$J,10,0)</f>
        <v>0.0057930126075</v>
      </c>
      <c r="U560" s="73">
        <f t="shared" si="124"/>
        <v>3.950834598315</v>
      </c>
      <c r="V560" s="12"/>
    </row>
    <row r="561" s="1" customFormat="1" ht="29.1" customHeight="1" spans="1:22">
      <c r="A561" s="62">
        <v>46242</v>
      </c>
      <c r="B561" s="63" t="s">
        <v>77</v>
      </c>
      <c r="C561" s="64" t="s">
        <v>1927</v>
      </c>
      <c r="D561" s="66" t="s">
        <v>1928</v>
      </c>
      <c r="E561" s="67" t="s">
        <v>1929</v>
      </c>
      <c r="F561" s="66" t="s">
        <v>45</v>
      </c>
      <c r="G561" s="67" t="str">
        <f>VLOOKUP(F561,[2]装箱单!$A:$C,3,0)</f>
        <v>鸭子</v>
      </c>
      <c r="H561" s="67">
        <v>818</v>
      </c>
      <c r="I561" s="68">
        <f t="shared" si="125"/>
        <v>14724</v>
      </c>
      <c r="J561" s="68" t="s">
        <v>32</v>
      </c>
      <c r="K561" s="68" t="s">
        <v>33</v>
      </c>
      <c r="L561" s="69">
        <v>818</v>
      </c>
      <c r="M561" s="65">
        <f t="shared" si="123"/>
        <v>4.738684312935</v>
      </c>
      <c r="N561" s="69" t="s">
        <v>34</v>
      </c>
      <c r="O561" s="81" t="s">
        <v>775</v>
      </c>
      <c r="P561" s="91"/>
      <c r="Q561" s="71">
        <f>VLOOKUP($F561,[2]装箱单!$A:$E,5,0)</f>
        <v>32.385</v>
      </c>
      <c r="R561" s="71">
        <f>VLOOKUP($F561,[2]装箱单!$A:$F,6,0)</f>
        <v>18.78</v>
      </c>
      <c r="S561" s="71">
        <f>VLOOKUP($F561,[2]装箱单!$A:$G,7,0)</f>
        <v>9.525</v>
      </c>
      <c r="T561" s="72">
        <f>VLOOKUP($F561,[2]装箱单!$A:$J,10,0)</f>
        <v>0.0057930126075</v>
      </c>
      <c r="U561" s="73">
        <f t="shared" si="124"/>
        <v>4.738684312935</v>
      </c>
      <c r="V561" s="12"/>
    </row>
    <row r="562" s="1" customFormat="1" ht="29.1" customHeight="1" spans="1:22">
      <c r="A562" s="62">
        <v>46242</v>
      </c>
      <c r="B562" s="63" t="s">
        <v>77</v>
      </c>
      <c r="C562" s="64" t="s">
        <v>1927</v>
      </c>
      <c r="D562" s="66" t="s">
        <v>1928</v>
      </c>
      <c r="E562" s="67" t="s">
        <v>1929</v>
      </c>
      <c r="F562" s="66" t="s">
        <v>45</v>
      </c>
      <c r="G562" s="67" t="str">
        <f>VLOOKUP(F562,[2]装箱单!$A:$C,3,0)</f>
        <v>鸭子</v>
      </c>
      <c r="H562" s="67">
        <v>888</v>
      </c>
      <c r="I562" s="68">
        <f t="shared" si="125"/>
        <v>15984</v>
      </c>
      <c r="J562" s="68" t="s">
        <v>32</v>
      </c>
      <c r="K562" s="68" t="s">
        <v>33</v>
      </c>
      <c r="L562" s="69">
        <v>888</v>
      </c>
      <c r="M562" s="65">
        <f t="shared" si="123"/>
        <v>5.14419519546</v>
      </c>
      <c r="N562" s="69" t="s">
        <v>34</v>
      </c>
      <c r="O562" s="81" t="s">
        <v>778</v>
      </c>
      <c r="P562" s="91"/>
      <c r="Q562" s="71">
        <f>VLOOKUP($F562,[2]装箱单!$A:$E,5,0)</f>
        <v>32.385</v>
      </c>
      <c r="R562" s="71">
        <f>VLOOKUP($F562,[2]装箱单!$A:$F,6,0)</f>
        <v>18.78</v>
      </c>
      <c r="S562" s="71">
        <f>VLOOKUP($F562,[2]装箱单!$A:$G,7,0)</f>
        <v>9.525</v>
      </c>
      <c r="T562" s="72">
        <f>VLOOKUP($F562,[2]装箱单!$A:$J,10,0)</f>
        <v>0.0057930126075</v>
      </c>
      <c r="U562" s="73">
        <f t="shared" si="124"/>
        <v>5.14419519546</v>
      </c>
      <c r="V562" s="12"/>
    </row>
    <row r="563" s="1" customFormat="1" ht="29.1" customHeight="1" spans="1:22">
      <c r="A563" s="62">
        <v>46242</v>
      </c>
      <c r="B563" s="63" t="s">
        <v>77</v>
      </c>
      <c r="C563" s="64" t="s">
        <v>1927</v>
      </c>
      <c r="D563" s="66" t="s">
        <v>1928</v>
      </c>
      <c r="E563" s="67" t="s">
        <v>1929</v>
      </c>
      <c r="F563" s="66" t="s">
        <v>45</v>
      </c>
      <c r="G563" s="67" t="str">
        <f>VLOOKUP(F563,[2]装箱单!$A:$C,3,0)</f>
        <v>鸭子</v>
      </c>
      <c r="H563" s="67">
        <v>987</v>
      </c>
      <c r="I563" s="68">
        <f t="shared" si="125"/>
        <v>17766</v>
      </c>
      <c r="J563" s="68" t="s">
        <v>32</v>
      </c>
      <c r="K563" s="68" t="s">
        <v>33</v>
      </c>
      <c r="L563" s="69">
        <v>987</v>
      </c>
      <c r="M563" s="65">
        <f t="shared" si="123"/>
        <v>5.7177034436025</v>
      </c>
      <c r="N563" s="69" t="s">
        <v>34</v>
      </c>
      <c r="O563" s="81" t="s">
        <v>781</v>
      </c>
      <c r="P563" s="91"/>
      <c r="Q563" s="71">
        <f>VLOOKUP($F563,[2]装箱单!$A:$E,5,0)</f>
        <v>32.385</v>
      </c>
      <c r="R563" s="71">
        <f>VLOOKUP($F563,[2]装箱单!$A:$F,6,0)</f>
        <v>18.78</v>
      </c>
      <c r="S563" s="71">
        <f>VLOOKUP($F563,[2]装箱单!$A:$G,7,0)</f>
        <v>9.525</v>
      </c>
      <c r="T563" s="72">
        <f>VLOOKUP($F563,[2]装箱单!$A:$J,10,0)</f>
        <v>0.0057930126075</v>
      </c>
      <c r="U563" s="73">
        <f t="shared" si="124"/>
        <v>5.7177034436025</v>
      </c>
      <c r="V563" s="12"/>
    </row>
    <row r="564" s="1" customFormat="1" ht="29.1" customHeight="1" spans="1:22">
      <c r="A564" s="62">
        <v>46242</v>
      </c>
      <c r="B564" s="63" t="s">
        <v>40</v>
      </c>
      <c r="C564" s="64" t="s">
        <v>1931</v>
      </c>
      <c r="D564" s="66" t="s">
        <v>1932</v>
      </c>
      <c r="E564" s="140" t="s">
        <v>1933</v>
      </c>
      <c r="F564" s="66">
        <v>28483</v>
      </c>
      <c r="G564" s="67" t="str">
        <f>VLOOKUP(F564,[2]装箱单!$A:$C,3,0)</f>
        <v>振动球</v>
      </c>
      <c r="H564" s="67">
        <v>2340</v>
      </c>
      <c r="I564" s="68">
        <f t="shared" ref="I564:I566" si="126">+L564</f>
        <v>2340</v>
      </c>
      <c r="J564" s="68" t="s">
        <v>32</v>
      </c>
      <c r="K564" s="68" t="s">
        <v>33</v>
      </c>
      <c r="L564" s="69">
        <v>2340</v>
      </c>
      <c r="M564" s="65">
        <f t="shared" si="123"/>
        <v>13.5080946</v>
      </c>
      <c r="N564" s="69" t="s">
        <v>34</v>
      </c>
      <c r="O564" s="67" t="s">
        <v>1934</v>
      </c>
      <c r="P564" s="91"/>
      <c r="Q564" s="71">
        <f>VLOOKUP($F564,[2]装箱单!$A:$E,5,0)</f>
        <v>16.83</v>
      </c>
      <c r="R564" s="71">
        <f>VLOOKUP($F564,[2]装箱单!$A:$F,6,0)</f>
        <v>17.15</v>
      </c>
      <c r="S564" s="71">
        <f>VLOOKUP($F564,[2]装箱单!$A:$G,7,0)</f>
        <v>20</v>
      </c>
      <c r="T564" s="72">
        <f>VLOOKUP($F564,[2]装箱单!$A:$J,10,0)</f>
        <v>0.00577269</v>
      </c>
      <c r="U564" s="73">
        <f t="shared" si="124"/>
        <v>13.5080946</v>
      </c>
      <c r="V564" s="12"/>
    </row>
    <row r="565" s="1" customFormat="1" ht="29.1" customHeight="1" spans="1:22">
      <c r="A565" s="62">
        <v>46242</v>
      </c>
      <c r="B565" s="63" t="s">
        <v>40</v>
      </c>
      <c r="C565" s="64" t="s">
        <v>1876</v>
      </c>
      <c r="D565" s="66" t="s">
        <v>1877</v>
      </c>
      <c r="E565" s="140" t="s">
        <v>1935</v>
      </c>
      <c r="F565" s="66">
        <v>28483</v>
      </c>
      <c r="G565" s="67" t="str">
        <f>VLOOKUP(F565,[2]装箱单!$A:$C,3,0)</f>
        <v>振动球</v>
      </c>
      <c r="H565" s="67">
        <v>1800</v>
      </c>
      <c r="I565" s="68">
        <f t="shared" si="126"/>
        <v>1800</v>
      </c>
      <c r="J565" s="68" t="s">
        <v>32</v>
      </c>
      <c r="K565" s="68" t="s">
        <v>33</v>
      </c>
      <c r="L565" s="69">
        <v>1800</v>
      </c>
      <c r="M565" s="65">
        <f t="shared" si="123"/>
        <v>10.390842</v>
      </c>
      <c r="N565" s="69" t="s">
        <v>34</v>
      </c>
      <c r="O565" s="67" t="s">
        <v>1934</v>
      </c>
      <c r="P565" s="91"/>
      <c r="Q565" s="71">
        <f>VLOOKUP($F565,[2]装箱单!$A:$E,5,0)</f>
        <v>16.83</v>
      </c>
      <c r="R565" s="71">
        <f>VLOOKUP($F565,[2]装箱单!$A:$F,6,0)</f>
        <v>17.15</v>
      </c>
      <c r="S565" s="71">
        <f>VLOOKUP($F565,[2]装箱单!$A:$G,7,0)</f>
        <v>20</v>
      </c>
      <c r="T565" s="72">
        <f>VLOOKUP($F565,[2]装箱单!$A:$J,10,0)</f>
        <v>0.00577269</v>
      </c>
      <c r="U565" s="73">
        <f t="shared" si="124"/>
        <v>10.390842</v>
      </c>
      <c r="V565" s="12"/>
    </row>
    <row r="566" s="1" customFormat="1" ht="29.1" customHeight="1" spans="1:22">
      <c r="A566" s="62">
        <v>46242</v>
      </c>
      <c r="B566" s="63" t="s">
        <v>40</v>
      </c>
      <c r="C566" s="64" t="s">
        <v>1884</v>
      </c>
      <c r="D566" s="66" t="s">
        <v>1885</v>
      </c>
      <c r="E566" s="140" t="s">
        <v>1936</v>
      </c>
      <c r="F566" s="66">
        <v>28483</v>
      </c>
      <c r="G566" s="67" t="str">
        <f>VLOOKUP(F566,[2]装箱单!$A:$C,3,0)</f>
        <v>振动球</v>
      </c>
      <c r="H566" s="67">
        <v>1800</v>
      </c>
      <c r="I566" s="68">
        <f t="shared" si="126"/>
        <v>1800</v>
      </c>
      <c r="J566" s="68" t="s">
        <v>32</v>
      </c>
      <c r="K566" s="68" t="s">
        <v>33</v>
      </c>
      <c r="L566" s="69">
        <v>1800</v>
      </c>
      <c r="M566" s="65">
        <f t="shared" si="123"/>
        <v>10.390842</v>
      </c>
      <c r="N566" s="69" t="s">
        <v>34</v>
      </c>
      <c r="O566" s="67" t="s">
        <v>1934</v>
      </c>
      <c r="P566" s="91"/>
      <c r="Q566" s="71">
        <f>VLOOKUP($F566,[2]装箱单!$A:$E,5,0)</f>
        <v>16.83</v>
      </c>
      <c r="R566" s="71">
        <f>VLOOKUP($F566,[2]装箱单!$A:$F,6,0)</f>
        <v>17.15</v>
      </c>
      <c r="S566" s="71">
        <f>VLOOKUP($F566,[2]装箱单!$A:$G,7,0)</f>
        <v>20</v>
      </c>
      <c r="T566" s="72">
        <f>VLOOKUP($F566,[2]装箱单!$A:$J,10,0)</f>
        <v>0.00577269</v>
      </c>
      <c r="U566" s="73">
        <f t="shared" si="124"/>
        <v>10.390842</v>
      </c>
      <c r="V566" s="12"/>
    </row>
    <row r="567" s="1" customFormat="1" ht="29.1" customHeight="1" spans="1:22">
      <c r="A567" s="62">
        <v>46242</v>
      </c>
      <c r="B567" s="63" t="s">
        <v>146</v>
      </c>
      <c r="C567" s="64" t="s">
        <v>1937</v>
      </c>
      <c r="D567" s="66" t="s">
        <v>1938</v>
      </c>
      <c r="E567" s="67">
        <v>2592526</v>
      </c>
      <c r="F567" s="66">
        <v>46462</v>
      </c>
      <c r="G567" s="67" t="str">
        <f>VLOOKUP(F567,[2]装箱单!$A:$C,3,0)</f>
        <v>史迪仔系列</v>
      </c>
      <c r="H567" s="67">
        <v>2327</v>
      </c>
      <c r="I567" s="68">
        <f>+L567*2</f>
        <v>4654</v>
      </c>
      <c r="J567" s="68" t="s">
        <v>32</v>
      </c>
      <c r="K567" s="68" t="s">
        <v>33</v>
      </c>
      <c r="L567" s="69">
        <v>2327</v>
      </c>
      <c r="M567" s="65">
        <f t="shared" si="123"/>
        <v>52.045025860464</v>
      </c>
      <c r="N567" s="69" t="s">
        <v>34</v>
      </c>
      <c r="O567" s="67"/>
      <c r="P567" s="91"/>
      <c r="Q567" s="71">
        <f>VLOOKUP($F567,[2]装箱单!$A:$E,5,0)</f>
        <v>40.01</v>
      </c>
      <c r="R567" s="71">
        <f>VLOOKUP($F567,[2]装箱单!$A:$F,6,0)</f>
        <v>26.67</v>
      </c>
      <c r="S567" s="71">
        <f>VLOOKUP($F567,[2]装箱单!$A:$G,7,0)</f>
        <v>20.96</v>
      </c>
      <c r="T567" s="72">
        <f>VLOOKUP($F567,[2]装箱单!$A:$J,10,0)</f>
        <v>0.022365718032</v>
      </c>
      <c r="U567" s="73">
        <f t="shared" si="124"/>
        <v>52.045025860464</v>
      </c>
      <c r="V567" s="12"/>
    </row>
    <row r="568" s="1" customFormat="1" ht="29.1" customHeight="1" spans="1:22">
      <c r="A568" s="62">
        <v>46242</v>
      </c>
      <c r="B568" s="63" t="s">
        <v>146</v>
      </c>
      <c r="C568" s="64" t="s">
        <v>1939</v>
      </c>
      <c r="D568" s="66" t="s">
        <v>1940</v>
      </c>
      <c r="E568" s="67">
        <v>2592525</v>
      </c>
      <c r="F568" s="66">
        <v>46496</v>
      </c>
      <c r="G568" s="67" t="str">
        <f>VLOOKUP(F568,[2]装箱单!$A:$C,3,0)</f>
        <v>米妮系列</v>
      </c>
      <c r="H568" s="67">
        <v>1850</v>
      </c>
      <c r="I568" s="68">
        <f>+L568*2</f>
        <v>848</v>
      </c>
      <c r="J568" s="68" t="s">
        <v>32</v>
      </c>
      <c r="K568" s="68" t="s">
        <v>33</v>
      </c>
      <c r="L568" s="69">
        <v>424</v>
      </c>
      <c r="M568" s="65">
        <f t="shared" si="123"/>
        <v>9.483064445568</v>
      </c>
      <c r="N568" s="69" t="s">
        <v>34</v>
      </c>
      <c r="O568" s="67"/>
      <c r="P568" s="91"/>
      <c r="Q568" s="71">
        <f>VLOOKUP($F568,[2]装箱单!$A:$E,5,0)</f>
        <v>40.01</v>
      </c>
      <c r="R568" s="71">
        <f>VLOOKUP($F568,[2]装箱单!$A:$F,6,0)</f>
        <v>26.67</v>
      </c>
      <c r="S568" s="71">
        <f>VLOOKUP($F568,[2]装箱单!$A:$G,7,0)</f>
        <v>20.96</v>
      </c>
      <c r="T568" s="72">
        <f>VLOOKUP($F568,[2]装箱单!$A:$J,10,0)</f>
        <v>0.022365718032</v>
      </c>
      <c r="U568" s="73">
        <f t="shared" si="124"/>
        <v>9.483064445568</v>
      </c>
      <c r="V568" s="12"/>
    </row>
    <row r="569" s="1" customFormat="1" ht="29.1" customHeight="1" spans="1:22">
      <c r="A569" s="62"/>
      <c r="B569" s="63"/>
      <c r="C569" s="64"/>
      <c r="D569" s="66"/>
      <c r="E569" s="67"/>
      <c r="F569" s="66"/>
      <c r="G569" s="67"/>
      <c r="H569" s="67"/>
      <c r="I569" s="68"/>
      <c r="J569" s="68"/>
      <c r="K569" s="68"/>
      <c r="L569" s="69"/>
      <c r="M569" s="65">
        <f>SUM(M558:M568)</f>
        <v>117.918212003644</v>
      </c>
      <c r="N569" s="69"/>
      <c r="O569" s="67"/>
      <c r="P569" s="87"/>
      <c r="Q569" s="71"/>
      <c r="R569" s="71"/>
      <c r="S569" s="71"/>
      <c r="T569" s="72"/>
      <c r="U569" s="73"/>
      <c r="V569" s="12"/>
    </row>
    <row r="570" s="1" customFormat="1" ht="29.1" customHeight="1" spans="1:22">
      <c r="A570" s="62">
        <v>46244</v>
      </c>
      <c r="B570" s="63" t="s">
        <v>40</v>
      </c>
      <c r="C570" s="64" t="s">
        <v>1941</v>
      </c>
      <c r="D570" s="66" t="s">
        <v>1942</v>
      </c>
      <c r="E570" s="140" t="s">
        <v>1943</v>
      </c>
      <c r="F570" s="66">
        <v>28481</v>
      </c>
      <c r="G570" s="67" t="str">
        <f>VLOOKUP(F570,[2]装箱单!$A:$C,3,0)</f>
        <v>骰子</v>
      </c>
      <c r="H570" s="67">
        <v>480</v>
      </c>
      <c r="I570" s="68">
        <f t="shared" ref="I570:I575" si="127">+L570*4</f>
        <v>1920</v>
      </c>
      <c r="J570" s="68" t="s">
        <v>32</v>
      </c>
      <c r="K570" s="68" t="s">
        <v>33</v>
      </c>
      <c r="L570" s="69">
        <v>480</v>
      </c>
      <c r="M570" s="65">
        <f t="shared" ref="M570:M583" si="128">+U570</f>
        <v>4.83828876384</v>
      </c>
      <c r="N570" s="69" t="s">
        <v>34</v>
      </c>
      <c r="O570" s="67"/>
      <c r="P570" s="70" t="s">
        <v>1909</v>
      </c>
      <c r="Q570" s="71">
        <f>VLOOKUP($F570,[2]装箱单!$A:$E,5,0)</f>
        <v>23.81</v>
      </c>
      <c r="R570" s="71">
        <f>VLOOKUP($F570,[2]装箱单!$A:$F,6,0)</f>
        <v>17.78</v>
      </c>
      <c r="S570" s="71">
        <f>VLOOKUP($F570,[2]装箱单!$A:$G,7,0)</f>
        <v>23.81</v>
      </c>
      <c r="T570" s="72">
        <f>VLOOKUP($F570,[2]装箱单!$A:$J,10,0)</f>
        <v>0.010079768258</v>
      </c>
      <c r="U570" s="73">
        <f t="shared" ref="U570:U583" si="129">+T570*L570</f>
        <v>4.83828876384</v>
      </c>
      <c r="V570" s="12"/>
    </row>
    <row r="571" s="1" customFormat="1" ht="29.1" customHeight="1" spans="1:22">
      <c r="A571" s="62">
        <v>46244</v>
      </c>
      <c r="B571" s="63" t="s">
        <v>40</v>
      </c>
      <c r="C571" s="64" t="s">
        <v>1944</v>
      </c>
      <c r="D571" s="66" t="s">
        <v>1945</v>
      </c>
      <c r="E571" s="140" t="s">
        <v>1946</v>
      </c>
      <c r="F571" s="66">
        <v>28481</v>
      </c>
      <c r="G571" s="67" t="str">
        <f>VLOOKUP(F571,[2]装箱单!$A:$C,3,0)</f>
        <v>骰子</v>
      </c>
      <c r="H571" s="67">
        <v>480</v>
      </c>
      <c r="I571" s="68">
        <f t="shared" si="127"/>
        <v>1920</v>
      </c>
      <c r="J571" s="68" t="s">
        <v>32</v>
      </c>
      <c r="K571" s="68" t="s">
        <v>33</v>
      </c>
      <c r="L571" s="69">
        <v>480</v>
      </c>
      <c r="M571" s="65">
        <f t="shared" si="128"/>
        <v>4.83828876384</v>
      </c>
      <c r="N571" s="69" t="s">
        <v>34</v>
      </c>
      <c r="O571" s="67"/>
      <c r="P571" s="74"/>
      <c r="Q571" s="71">
        <f>VLOOKUP($F571,[2]装箱单!$A:$E,5,0)</f>
        <v>23.81</v>
      </c>
      <c r="R571" s="71">
        <f>VLOOKUP($F571,[2]装箱单!$A:$F,6,0)</f>
        <v>17.78</v>
      </c>
      <c r="S571" s="71">
        <f>VLOOKUP($F571,[2]装箱单!$A:$G,7,0)</f>
        <v>23.81</v>
      </c>
      <c r="T571" s="72">
        <f>VLOOKUP($F571,[2]装箱单!$A:$J,10,0)</f>
        <v>0.010079768258</v>
      </c>
      <c r="U571" s="73">
        <f t="shared" si="129"/>
        <v>4.83828876384</v>
      </c>
      <c r="V571" s="12"/>
    </row>
    <row r="572" s="1" customFormat="1" ht="29.1" customHeight="1" spans="1:22">
      <c r="A572" s="62">
        <v>46244</v>
      </c>
      <c r="B572" s="63" t="s">
        <v>40</v>
      </c>
      <c r="C572" s="64" t="s">
        <v>1947</v>
      </c>
      <c r="D572" s="66" t="s">
        <v>1948</v>
      </c>
      <c r="E572" s="140" t="s">
        <v>1949</v>
      </c>
      <c r="F572" s="66">
        <v>28481</v>
      </c>
      <c r="G572" s="67" t="str">
        <f>VLOOKUP(F572,[2]装箱单!$A:$C,3,0)</f>
        <v>骰子</v>
      </c>
      <c r="H572" s="67">
        <v>480</v>
      </c>
      <c r="I572" s="68">
        <f t="shared" si="127"/>
        <v>1920</v>
      </c>
      <c r="J572" s="68" t="s">
        <v>32</v>
      </c>
      <c r="K572" s="68" t="s">
        <v>33</v>
      </c>
      <c r="L572" s="69">
        <v>480</v>
      </c>
      <c r="M572" s="65">
        <f t="shared" si="128"/>
        <v>4.83828876384</v>
      </c>
      <c r="N572" s="69" t="s">
        <v>34</v>
      </c>
      <c r="O572" s="67"/>
      <c r="P572" s="74"/>
      <c r="Q572" s="71">
        <f>VLOOKUP($F572,[2]装箱单!$A:$E,5,0)</f>
        <v>23.81</v>
      </c>
      <c r="R572" s="71">
        <f>VLOOKUP($F572,[2]装箱单!$A:$F,6,0)</f>
        <v>17.78</v>
      </c>
      <c r="S572" s="71">
        <f>VLOOKUP($F572,[2]装箱单!$A:$G,7,0)</f>
        <v>23.81</v>
      </c>
      <c r="T572" s="72">
        <f>VLOOKUP($F572,[2]装箱单!$A:$J,10,0)</f>
        <v>0.010079768258</v>
      </c>
      <c r="U572" s="73">
        <f t="shared" si="129"/>
        <v>4.83828876384</v>
      </c>
      <c r="V572" s="12"/>
    </row>
    <row r="573" s="1" customFormat="1" ht="29.1" customHeight="1" spans="1:22">
      <c r="A573" s="62">
        <v>46244</v>
      </c>
      <c r="B573" s="63" t="s">
        <v>40</v>
      </c>
      <c r="C573" s="64" t="s">
        <v>1950</v>
      </c>
      <c r="D573" s="66" t="s">
        <v>1951</v>
      </c>
      <c r="E573" s="140" t="s">
        <v>1952</v>
      </c>
      <c r="F573" s="66">
        <v>28481</v>
      </c>
      <c r="G573" s="67" t="str">
        <f>VLOOKUP(F573,[2]装箱单!$A:$C,3,0)</f>
        <v>骰子</v>
      </c>
      <c r="H573" s="67">
        <v>480</v>
      </c>
      <c r="I573" s="68">
        <f t="shared" si="127"/>
        <v>1920</v>
      </c>
      <c r="J573" s="68" t="s">
        <v>32</v>
      </c>
      <c r="K573" s="68" t="s">
        <v>33</v>
      </c>
      <c r="L573" s="69">
        <v>480</v>
      </c>
      <c r="M573" s="65">
        <f t="shared" si="128"/>
        <v>4.83828876384</v>
      </c>
      <c r="N573" s="69" t="s">
        <v>34</v>
      </c>
      <c r="O573" s="67"/>
      <c r="P573" s="74"/>
      <c r="Q573" s="71">
        <f>VLOOKUP($F573,[2]装箱单!$A:$E,5,0)</f>
        <v>23.81</v>
      </c>
      <c r="R573" s="71">
        <f>VLOOKUP($F573,[2]装箱单!$A:$F,6,0)</f>
        <v>17.78</v>
      </c>
      <c r="S573" s="71">
        <f>VLOOKUP($F573,[2]装箱单!$A:$G,7,0)</f>
        <v>23.81</v>
      </c>
      <c r="T573" s="72">
        <f>VLOOKUP($F573,[2]装箱单!$A:$J,10,0)</f>
        <v>0.010079768258</v>
      </c>
      <c r="U573" s="73">
        <f t="shared" si="129"/>
        <v>4.83828876384</v>
      </c>
      <c r="V573" s="12"/>
    </row>
    <row r="574" s="1" customFormat="1" ht="29.1" customHeight="1" spans="1:22">
      <c r="A574" s="62">
        <v>46244</v>
      </c>
      <c r="B574" s="63" t="s">
        <v>40</v>
      </c>
      <c r="C574" s="64" t="s">
        <v>1953</v>
      </c>
      <c r="D574" s="66" t="s">
        <v>1954</v>
      </c>
      <c r="E574" s="140" t="s">
        <v>1955</v>
      </c>
      <c r="F574" s="66">
        <v>28481</v>
      </c>
      <c r="G574" s="67" t="str">
        <f>VLOOKUP(F574,[2]装箱单!$A:$C,3,0)</f>
        <v>骰子</v>
      </c>
      <c r="H574" s="67">
        <v>480</v>
      </c>
      <c r="I574" s="68">
        <f t="shared" si="127"/>
        <v>1920</v>
      </c>
      <c r="J574" s="68" t="s">
        <v>32</v>
      </c>
      <c r="K574" s="68" t="s">
        <v>33</v>
      </c>
      <c r="L574" s="69">
        <v>480</v>
      </c>
      <c r="M574" s="65">
        <f t="shared" si="128"/>
        <v>4.83828876384</v>
      </c>
      <c r="N574" s="69" t="s">
        <v>34</v>
      </c>
      <c r="O574" s="67"/>
      <c r="P574" s="74"/>
      <c r="Q574" s="71">
        <f>VLOOKUP($F574,[2]装箱单!$A:$E,5,0)</f>
        <v>23.81</v>
      </c>
      <c r="R574" s="71">
        <f>VLOOKUP($F574,[2]装箱单!$A:$F,6,0)</f>
        <v>17.78</v>
      </c>
      <c r="S574" s="71">
        <f>VLOOKUP($F574,[2]装箱单!$A:$G,7,0)</f>
        <v>23.81</v>
      </c>
      <c r="T574" s="72">
        <f>VLOOKUP($F574,[2]装箱单!$A:$J,10,0)</f>
        <v>0.010079768258</v>
      </c>
      <c r="U574" s="73">
        <f t="shared" si="129"/>
        <v>4.83828876384</v>
      </c>
      <c r="V574" s="12"/>
    </row>
    <row r="575" s="1" customFormat="1" ht="29.1" customHeight="1" spans="1:22">
      <c r="A575" s="62">
        <v>46244</v>
      </c>
      <c r="B575" s="63" t="s">
        <v>40</v>
      </c>
      <c r="C575" s="64" t="s">
        <v>1956</v>
      </c>
      <c r="D575" s="66" t="s">
        <v>1957</v>
      </c>
      <c r="E575" s="140" t="s">
        <v>1958</v>
      </c>
      <c r="F575" s="66">
        <v>28481</v>
      </c>
      <c r="G575" s="67" t="str">
        <f>VLOOKUP(F575,[2]装箱单!$A:$C,3,0)</f>
        <v>骰子</v>
      </c>
      <c r="H575" s="67">
        <v>480</v>
      </c>
      <c r="I575" s="68">
        <f t="shared" si="127"/>
        <v>1920</v>
      </c>
      <c r="J575" s="68" t="s">
        <v>32</v>
      </c>
      <c r="K575" s="68" t="s">
        <v>33</v>
      </c>
      <c r="L575" s="69">
        <v>480</v>
      </c>
      <c r="M575" s="65">
        <f t="shared" si="128"/>
        <v>4.83828876384</v>
      </c>
      <c r="N575" s="69" t="s">
        <v>34</v>
      </c>
      <c r="O575" s="67"/>
      <c r="P575" s="74"/>
      <c r="Q575" s="71">
        <f>VLOOKUP($F575,[2]装箱单!$A:$E,5,0)</f>
        <v>23.81</v>
      </c>
      <c r="R575" s="71">
        <f>VLOOKUP($F575,[2]装箱单!$A:$F,6,0)</f>
        <v>17.78</v>
      </c>
      <c r="S575" s="71">
        <f>VLOOKUP($F575,[2]装箱单!$A:$G,7,0)</f>
        <v>23.81</v>
      </c>
      <c r="T575" s="72">
        <f>VLOOKUP($F575,[2]装箱单!$A:$J,10,0)</f>
        <v>0.010079768258</v>
      </c>
      <c r="U575" s="73">
        <f t="shared" si="129"/>
        <v>4.83828876384</v>
      </c>
      <c r="V575" s="12"/>
    </row>
    <row r="576" s="1" customFormat="1" ht="29.1" customHeight="1" spans="1:22">
      <c r="A576" s="62">
        <v>46244</v>
      </c>
      <c r="B576" s="63" t="s">
        <v>40</v>
      </c>
      <c r="C576" s="64" t="s">
        <v>1953</v>
      </c>
      <c r="D576" s="66" t="s">
        <v>1954</v>
      </c>
      <c r="E576" s="140" t="s">
        <v>1955</v>
      </c>
      <c r="F576" s="66" t="s">
        <v>306</v>
      </c>
      <c r="G576" s="67" t="str">
        <f>VLOOKUP(F576,[2]装箱单!$A:$C,3,0)</f>
        <v>背包狗</v>
      </c>
      <c r="H576" s="67">
        <v>573</v>
      </c>
      <c r="I576" s="68">
        <f>+L576</f>
        <v>573</v>
      </c>
      <c r="J576" s="68" t="s">
        <v>32</v>
      </c>
      <c r="K576" s="68" t="s">
        <v>33</v>
      </c>
      <c r="L576" s="69">
        <v>573</v>
      </c>
      <c r="M576" s="65">
        <f t="shared" si="128"/>
        <v>9.031802017005</v>
      </c>
      <c r="N576" s="69" t="s">
        <v>34</v>
      </c>
      <c r="O576" s="67"/>
      <c r="P576" s="74"/>
      <c r="Q576" s="71">
        <f>VLOOKUP($F576,[2]装箱单!$A:$E,5,0)</f>
        <v>24.13</v>
      </c>
      <c r="R576" s="71">
        <f>VLOOKUP($F576,[2]装箱单!$A:$F,6,0)</f>
        <v>19.05</v>
      </c>
      <c r="S576" s="71">
        <f>VLOOKUP($F576,[2]装箱单!$A:$G,7,0)</f>
        <v>34.29</v>
      </c>
      <c r="T576" s="72">
        <f>VLOOKUP($F576,[2]装箱单!$A:$J,10,0)</f>
        <v>0.015762307185</v>
      </c>
      <c r="U576" s="73">
        <f t="shared" si="129"/>
        <v>9.031802017005</v>
      </c>
      <c r="V576" s="12"/>
    </row>
    <row r="577" s="1" customFormat="1" ht="29.1" customHeight="1" spans="1:22">
      <c r="A577" s="62">
        <v>46244</v>
      </c>
      <c r="B577" s="63" t="s">
        <v>77</v>
      </c>
      <c r="C577" s="64" t="s">
        <v>1927</v>
      </c>
      <c r="D577" s="66" t="s">
        <v>1928</v>
      </c>
      <c r="E577" s="67" t="s">
        <v>1929</v>
      </c>
      <c r="F577" s="66" t="s">
        <v>45</v>
      </c>
      <c r="G577" s="67" t="str">
        <f>VLOOKUP(F577,[2]装箱单!$A:$C,3,0)</f>
        <v>鸭子</v>
      </c>
      <c r="H577" s="67">
        <v>1058</v>
      </c>
      <c r="I577" s="68">
        <f t="shared" ref="I577:I581" si="130">+L577*18</f>
        <v>19044</v>
      </c>
      <c r="J577" s="68" t="s">
        <v>32</v>
      </c>
      <c r="K577" s="68" t="s">
        <v>33</v>
      </c>
      <c r="L577" s="69">
        <v>1058</v>
      </c>
      <c r="M577" s="65">
        <f t="shared" si="128"/>
        <v>6.129007338735</v>
      </c>
      <c r="N577" s="69" t="s">
        <v>34</v>
      </c>
      <c r="O577" s="67" t="s">
        <v>774</v>
      </c>
      <c r="P577" s="74"/>
      <c r="Q577" s="71">
        <f>VLOOKUP($F577,[2]装箱单!$A:$E,5,0)</f>
        <v>32.385</v>
      </c>
      <c r="R577" s="71">
        <f>VLOOKUP($F577,[2]装箱单!$A:$F,6,0)</f>
        <v>18.78</v>
      </c>
      <c r="S577" s="71">
        <f>VLOOKUP($F577,[2]装箱单!$A:$G,7,0)</f>
        <v>9.525</v>
      </c>
      <c r="T577" s="72">
        <f>VLOOKUP($F577,[2]装箱单!$A:$J,10,0)</f>
        <v>0.0057930126075</v>
      </c>
      <c r="U577" s="73">
        <f t="shared" si="129"/>
        <v>6.129007338735</v>
      </c>
      <c r="V577" s="12"/>
    </row>
    <row r="578" s="1" customFormat="1" ht="29.1" customHeight="1" spans="1:22">
      <c r="A578" s="62">
        <v>46244</v>
      </c>
      <c r="B578" s="63" t="s">
        <v>77</v>
      </c>
      <c r="C578" s="64" t="s">
        <v>1927</v>
      </c>
      <c r="D578" s="66" t="s">
        <v>1928</v>
      </c>
      <c r="E578" s="67" t="s">
        <v>1929</v>
      </c>
      <c r="F578" s="66" t="s">
        <v>45</v>
      </c>
      <c r="G578" s="67" t="str">
        <f>VLOOKUP(F578,[2]装箱单!$A:$C,3,0)</f>
        <v>鸭子</v>
      </c>
      <c r="H578" s="67">
        <v>588</v>
      </c>
      <c r="I578" s="68">
        <f t="shared" si="130"/>
        <v>10584</v>
      </c>
      <c r="J578" s="68" t="s">
        <v>32</v>
      </c>
      <c r="K578" s="68" t="s">
        <v>33</v>
      </c>
      <c r="L578" s="69">
        <v>588</v>
      </c>
      <c r="M578" s="65">
        <f t="shared" si="128"/>
        <v>3.40629141321</v>
      </c>
      <c r="N578" s="69" t="s">
        <v>34</v>
      </c>
      <c r="O578" s="67" t="s">
        <v>776</v>
      </c>
      <c r="P578" s="74"/>
      <c r="Q578" s="71">
        <f>VLOOKUP($F578,[2]装箱单!$A:$E,5,0)</f>
        <v>32.385</v>
      </c>
      <c r="R578" s="71">
        <f>VLOOKUP($F578,[2]装箱单!$A:$F,6,0)</f>
        <v>18.78</v>
      </c>
      <c r="S578" s="71">
        <f>VLOOKUP($F578,[2]装箱单!$A:$G,7,0)</f>
        <v>9.525</v>
      </c>
      <c r="T578" s="72">
        <f>VLOOKUP($F578,[2]装箱单!$A:$J,10,0)</f>
        <v>0.0057930126075</v>
      </c>
      <c r="U578" s="73">
        <f t="shared" si="129"/>
        <v>3.40629141321</v>
      </c>
      <c r="V578" s="12"/>
    </row>
    <row r="579" s="1" customFormat="1" ht="29.1" customHeight="1" spans="1:22">
      <c r="A579" s="62">
        <v>46244</v>
      </c>
      <c r="B579" s="63" t="s">
        <v>77</v>
      </c>
      <c r="C579" s="64" t="s">
        <v>1927</v>
      </c>
      <c r="D579" s="66" t="s">
        <v>1928</v>
      </c>
      <c r="E579" s="67" t="s">
        <v>1929</v>
      </c>
      <c r="F579" s="66" t="s">
        <v>45</v>
      </c>
      <c r="G579" s="67" t="str">
        <f>VLOOKUP(F579,[2]装箱单!$A:$C,3,0)</f>
        <v>鸭子</v>
      </c>
      <c r="H579" s="67">
        <v>611</v>
      </c>
      <c r="I579" s="68">
        <f t="shared" si="130"/>
        <v>10998</v>
      </c>
      <c r="J579" s="68" t="s">
        <v>32</v>
      </c>
      <c r="K579" s="68" t="s">
        <v>33</v>
      </c>
      <c r="L579" s="69">
        <v>611</v>
      </c>
      <c r="M579" s="65">
        <f t="shared" si="128"/>
        <v>3.5395307031825</v>
      </c>
      <c r="N579" s="69" t="s">
        <v>34</v>
      </c>
      <c r="O579" s="67" t="s">
        <v>777</v>
      </c>
      <c r="P579" s="74"/>
      <c r="Q579" s="71">
        <f>VLOOKUP($F579,[2]装箱单!$A:$E,5,0)</f>
        <v>32.385</v>
      </c>
      <c r="R579" s="71">
        <f>VLOOKUP($F579,[2]装箱单!$A:$F,6,0)</f>
        <v>18.78</v>
      </c>
      <c r="S579" s="71">
        <f>VLOOKUP($F579,[2]装箱单!$A:$G,7,0)</f>
        <v>9.525</v>
      </c>
      <c r="T579" s="72">
        <f>VLOOKUP($F579,[2]装箱单!$A:$J,10,0)</f>
        <v>0.0057930126075</v>
      </c>
      <c r="U579" s="73">
        <f t="shared" si="129"/>
        <v>3.5395307031825</v>
      </c>
      <c r="V579" s="12"/>
    </row>
    <row r="580" s="1" customFormat="1" ht="29.1" customHeight="1" spans="1:22">
      <c r="A580" s="62">
        <v>46244</v>
      </c>
      <c r="B580" s="63" t="s">
        <v>77</v>
      </c>
      <c r="C580" s="64" t="s">
        <v>1927</v>
      </c>
      <c r="D580" s="66" t="s">
        <v>1928</v>
      </c>
      <c r="E580" s="67" t="s">
        <v>1929</v>
      </c>
      <c r="F580" s="66" t="s">
        <v>45</v>
      </c>
      <c r="G580" s="67" t="str">
        <f>VLOOKUP(F580,[2]装箱单!$A:$C,3,0)</f>
        <v>鸭子</v>
      </c>
      <c r="H580" s="67">
        <v>705</v>
      </c>
      <c r="I580" s="68">
        <f t="shared" si="130"/>
        <v>12690</v>
      </c>
      <c r="J580" s="68" t="s">
        <v>32</v>
      </c>
      <c r="K580" s="68" t="s">
        <v>33</v>
      </c>
      <c r="L580" s="69">
        <v>705</v>
      </c>
      <c r="M580" s="65">
        <f t="shared" si="128"/>
        <v>4.0840738882875</v>
      </c>
      <c r="N580" s="69" t="s">
        <v>34</v>
      </c>
      <c r="O580" s="67" t="s">
        <v>779</v>
      </c>
      <c r="P580" s="74"/>
      <c r="Q580" s="71">
        <f>VLOOKUP($F580,[2]装箱单!$A:$E,5,0)</f>
        <v>32.385</v>
      </c>
      <c r="R580" s="71">
        <f>VLOOKUP($F580,[2]装箱单!$A:$F,6,0)</f>
        <v>18.78</v>
      </c>
      <c r="S580" s="71">
        <f>VLOOKUP($F580,[2]装箱单!$A:$G,7,0)</f>
        <v>9.525</v>
      </c>
      <c r="T580" s="72">
        <f>VLOOKUP($F580,[2]装箱单!$A:$J,10,0)</f>
        <v>0.0057930126075</v>
      </c>
      <c r="U580" s="73">
        <f t="shared" si="129"/>
        <v>4.0840738882875</v>
      </c>
      <c r="V580" s="12"/>
    </row>
    <row r="581" s="1" customFormat="1" ht="29.1" customHeight="1" spans="1:22">
      <c r="A581" s="62">
        <v>46244</v>
      </c>
      <c r="B581" s="63" t="s">
        <v>77</v>
      </c>
      <c r="C581" s="64" t="s">
        <v>1927</v>
      </c>
      <c r="D581" s="66" t="s">
        <v>1928</v>
      </c>
      <c r="E581" s="67" t="s">
        <v>1929</v>
      </c>
      <c r="F581" s="66" t="s">
        <v>45</v>
      </c>
      <c r="G581" s="67" t="str">
        <f>VLOOKUP(F581,[2]装箱单!$A:$C,3,0)</f>
        <v>鸭子</v>
      </c>
      <c r="H581" s="67">
        <v>691</v>
      </c>
      <c r="I581" s="68">
        <f t="shared" si="130"/>
        <v>12438</v>
      </c>
      <c r="J581" s="68" t="s">
        <v>32</v>
      </c>
      <c r="K581" s="68" t="s">
        <v>33</v>
      </c>
      <c r="L581" s="69">
        <v>691</v>
      </c>
      <c r="M581" s="65">
        <f t="shared" si="128"/>
        <v>4.0029717117825</v>
      </c>
      <c r="N581" s="69" t="s">
        <v>34</v>
      </c>
      <c r="O581" s="67" t="s">
        <v>780</v>
      </c>
      <c r="P581" s="74"/>
      <c r="Q581" s="71">
        <f>VLOOKUP($F581,[2]装箱单!$A:$E,5,0)</f>
        <v>32.385</v>
      </c>
      <c r="R581" s="71">
        <f>VLOOKUP($F581,[2]装箱单!$A:$F,6,0)</f>
        <v>18.78</v>
      </c>
      <c r="S581" s="71">
        <f>VLOOKUP($F581,[2]装箱单!$A:$G,7,0)</f>
        <v>9.525</v>
      </c>
      <c r="T581" s="72">
        <f>VLOOKUP($F581,[2]装箱单!$A:$J,10,0)</f>
        <v>0.0057930126075</v>
      </c>
      <c r="U581" s="73">
        <f t="shared" si="129"/>
        <v>4.0029717117825</v>
      </c>
      <c r="V581" s="12"/>
    </row>
    <row r="582" s="1" customFormat="1" ht="29.1" customHeight="1" spans="1:22">
      <c r="A582" s="62">
        <v>46244</v>
      </c>
      <c r="B582" s="63" t="s">
        <v>146</v>
      </c>
      <c r="C582" s="64" t="s">
        <v>1959</v>
      </c>
      <c r="D582" s="66" t="s">
        <v>1960</v>
      </c>
      <c r="E582" s="67">
        <v>2592528</v>
      </c>
      <c r="F582" s="66">
        <v>46092</v>
      </c>
      <c r="G582" s="67" t="str">
        <f>VLOOKUP(F582,[2]装箱单!$A:$C,3,0)</f>
        <v>玩具总动员系列</v>
      </c>
      <c r="H582" s="67">
        <v>2486</v>
      </c>
      <c r="I582" s="68">
        <f>+L582*2</f>
        <v>4972</v>
      </c>
      <c r="J582" s="68" t="s">
        <v>32</v>
      </c>
      <c r="K582" s="68" t="s">
        <v>33</v>
      </c>
      <c r="L582" s="69">
        <v>2486</v>
      </c>
      <c r="M582" s="65">
        <f t="shared" si="128"/>
        <v>55.601175027552</v>
      </c>
      <c r="N582" s="69" t="s">
        <v>34</v>
      </c>
      <c r="O582" s="67"/>
      <c r="P582" s="74"/>
      <c r="Q582" s="71">
        <f>VLOOKUP($F582,[2]装箱单!$A:$E,5,0)</f>
        <v>40.01</v>
      </c>
      <c r="R582" s="71">
        <f>VLOOKUP($F582,[2]装箱单!$A:$F,6,0)</f>
        <v>26.67</v>
      </c>
      <c r="S582" s="71">
        <f>VLOOKUP($F582,[2]装箱单!$A:$G,7,0)</f>
        <v>20.96</v>
      </c>
      <c r="T582" s="72">
        <f>VLOOKUP($F582,[2]装箱单!$A:$J,10,0)</f>
        <v>0.022365718032</v>
      </c>
      <c r="U582" s="73">
        <f t="shared" si="129"/>
        <v>55.601175027552</v>
      </c>
      <c r="V582" s="12"/>
    </row>
    <row r="583" s="1" customFormat="1" ht="29.1" customHeight="1" spans="1:22">
      <c r="A583" s="62">
        <v>46238</v>
      </c>
      <c r="B583" s="63" t="s">
        <v>177</v>
      </c>
      <c r="C583" s="64" t="s">
        <v>1921</v>
      </c>
      <c r="D583" s="66" t="s">
        <v>1922</v>
      </c>
      <c r="E583" s="67" t="s">
        <v>1923</v>
      </c>
      <c r="F583" s="66">
        <v>33410</v>
      </c>
      <c r="G583" s="67" t="str">
        <f>VLOOKUP(F583,[2]装箱单!$A:$C,3,0)</f>
        <v>搪胶小鸭</v>
      </c>
      <c r="H583" s="67">
        <v>1600</v>
      </c>
      <c r="I583" s="68">
        <f>+L583*400</f>
        <v>24000</v>
      </c>
      <c r="J583" s="68" t="s">
        <v>32</v>
      </c>
      <c r="K583" s="68" t="s">
        <v>33</v>
      </c>
      <c r="L583" s="69">
        <v>60</v>
      </c>
      <c r="M583" s="65">
        <f t="shared" si="128"/>
        <v>18.740364768</v>
      </c>
      <c r="N583" s="69" t="s">
        <v>34</v>
      </c>
      <c r="O583" s="67"/>
      <c r="P583" s="74"/>
      <c r="Q583" s="71">
        <f>VLOOKUP($F583,[2]装箱单!$A:$E,5,0)</f>
        <v>52.83</v>
      </c>
      <c r="R583" s="71">
        <f>VLOOKUP($F583,[2]装箱单!$A:$F,6,0)</f>
        <v>52.32</v>
      </c>
      <c r="S583" s="71">
        <f>VLOOKUP($F583,[2]装箱单!$A:$G,7,0)</f>
        <v>113</v>
      </c>
      <c r="T583" s="72">
        <f>VLOOKUP($F583,[2]装箱单!$A:$J,10,0)</f>
        <v>0.3123394128</v>
      </c>
      <c r="U583" s="73">
        <f t="shared" si="129"/>
        <v>18.740364768</v>
      </c>
      <c r="V583" s="12"/>
    </row>
    <row r="584" s="1" customFormat="1" ht="29.1" customHeight="1" spans="1:22">
      <c r="A584" s="62"/>
      <c r="B584" s="63"/>
      <c r="C584" s="64"/>
      <c r="D584" s="66"/>
      <c r="E584" s="67"/>
      <c r="F584" s="66"/>
      <c r="G584" s="67"/>
      <c r="H584" s="67"/>
      <c r="I584" s="68"/>
      <c r="J584" s="68"/>
      <c r="K584" s="68"/>
      <c r="L584" s="69"/>
      <c r="M584" s="65">
        <f>SUM(M570:M583)</f>
        <v>133.564949450795</v>
      </c>
      <c r="N584" s="69"/>
      <c r="O584" s="67"/>
      <c r="P584" s="75"/>
      <c r="Q584" s="71"/>
      <c r="R584" s="71"/>
      <c r="S584" s="71"/>
      <c r="T584" s="72"/>
      <c r="U584" s="73"/>
      <c r="V584" s="12"/>
    </row>
    <row r="585" s="1" customFormat="1" ht="29.1" customHeight="1" spans="1:22">
      <c r="A585" s="62">
        <v>46246</v>
      </c>
      <c r="B585" s="63" t="s">
        <v>40</v>
      </c>
      <c r="C585" s="64" t="s">
        <v>1961</v>
      </c>
      <c r="D585" s="66" t="s">
        <v>1962</v>
      </c>
      <c r="E585" s="140" t="s">
        <v>1963</v>
      </c>
      <c r="F585" s="66">
        <v>28483</v>
      </c>
      <c r="G585" s="67" t="str">
        <f>VLOOKUP(F585,[2]装箱单!$A:$C,3,0)</f>
        <v>振动球</v>
      </c>
      <c r="H585" s="67">
        <v>4320</v>
      </c>
      <c r="I585" s="68">
        <f t="shared" ref="I585:I588" si="131">+L585</f>
        <v>4320</v>
      </c>
      <c r="J585" s="68" t="s">
        <v>32</v>
      </c>
      <c r="K585" s="68" t="s">
        <v>33</v>
      </c>
      <c r="L585" s="69">
        <v>4320</v>
      </c>
      <c r="M585" s="65">
        <f t="shared" ref="M585:M592" si="132">+U585</f>
        <v>24.9380208</v>
      </c>
      <c r="N585" s="69" t="s">
        <v>34</v>
      </c>
      <c r="O585" s="67"/>
      <c r="P585" s="70" t="s">
        <v>1964</v>
      </c>
      <c r="Q585" s="71">
        <f>VLOOKUP($F585,[2]装箱单!$A:$E,5,0)</f>
        <v>16.83</v>
      </c>
      <c r="R585" s="71">
        <f>VLOOKUP($F585,[2]装箱单!$A:$F,6,0)</f>
        <v>17.15</v>
      </c>
      <c r="S585" s="71">
        <f>VLOOKUP($F585,[2]装箱单!$A:$G,7,0)</f>
        <v>20</v>
      </c>
      <c r="T585" s="72">
        <f>VLOOKUP($F585,[2]装箱单!$A:$J,10,0)</f>
        <v>0.00577269</v>
      </c>
      <c r="U585" s="73">
        <f t="shared" ref="U585:U592" si="133">+T585*L585</f>
        <v>24.9380208</v>
      </c>
      <c r="V585" s="12"/>
    </row>
    <row r="586" s="1" customFormat="1" ht="29.1" customHeight="1" spans="1:22">
      <c r="A586" s="62">
        <v>46246</v>
      </c>
      <c r="B586" s="63" t="s">
        <v>40</v>
      </c>
      <c r="C586" s="64" t="s">
        <v>1965</v>
      </c>
      <c r="D586" s="66" t="s">
        <v>1966</v>
      </c>
      <c r="E586" s="140" t="s">
        <v>1967</v>
      </c>
      <c r="F586" s="66">
        <v>28483</v>
      </c>
      <c r="G586" s="67" t="str">
        <f>VLOOKUP(F586,[2]装箱单!$A:$C,3,0)</f>
        <v>振动球</v>
      </c>
      <c r="H586" s="67">
        <v>2160</v>
      </c>
      <c r="I586" s="68">
        <f t="shared" si="131"/>
        <v>2160</v>
      </c>
      <c r="J586" s="68" t="s">
        <v>32</v>
      </c>
      <c r="K586" s="68" t="s">
        <v>33</v>
      </c>
      <c r="L586" s="69">
        <v>2160</v>
      </c>
      <c r="M586" s="65">
        <f t="shared" si="132"/>
        <v>12.4690104</v>
      </c>
      <c r="N586" s="69" t="s">
        <v>34</v>
      </c>
      <c r="O586" s="67"/>
      <c r="P586" s="74"/>
      <c r="Q586" s="71">
        <f>VLOOKUP($F586,[2]装箱单!$A:$E,5,0)</f>
        <v>16.83</v>
      </c>
      <c r="R586" s="71">
        <f>VLOOKUP($F586,[2]装箱单!$A:$F,6,0)</f>
        <v>17.15</v>
      </c>
      <c r="S586" s="71">
        <f>VLOOKUP($F586,[2]装箱单!$A:$G,7,0)</f>
        <v>20</v>
      </c>
      <c r="T586" s="72">
        <f>VLOOKUP($F586,[2]装箱单!$A:$J,10,0)</f>
        <v>0.00577269</v>
      </c>
      <c r="U586" s="73">
        <f t="shared" si="133"/>
        <v>12.4690104</v>
      </c>
      <c r="V586" s="12"/>
    </row>
    <row r="587" s="1" customFormat="1" ht="29.1" customHeight="1" spans="1:22">
      <c r="A587" s="62">
        <v>46246</v>
      </c>
      <c r="B587" s="63" t="s">
        <v>40</v>
      </c>
      <c r="C587" s="64" t="s">
        <v>1953</v>
      </c>
      <c r="D587" s="66" t="s">
        <v>1954</v>
      </c>
      <c r="E587" s="140" t="s">
        <v>1955</v>
      </c>
      <c r="F587" s="66">
        <v>28483</v>
      </c>
      <c r="G587" s="67" t="str">
        <f>VLOOKUP(F587,[2]装箱单!$A:$C,3,0)</f>
        <v>振动球</v>
      </c>
      <c r="H587" s="67">
        <v>2340</v>
      </c>
      <c r="I587" s="68">
        <f t="shared" si="131"/>
        <v>2340</v>
      </c>
      <c r="J587" s="68" t="s">
        <v>32</v>
      </c>
      <c r="K587" s="68" t="s">
        <v>33</v>
      </c>
      <c r="L587" s="69">
        <v>2340</v>
      </c>
      <c r="M587" s="65">
        <f t="shared" si="132"/>
        <v>13.5080946</v>
      </c>
      <c r="N587" s="69" t="s">
        <v>34</v>
      </c>
      <c r="O587" s="67"/>
      <c r="P587" s="74"/>
      <c r="Q587" s="71">
        <f>VLOOKUP($F587,[2]装箱单!$A:$E,5,0)</f>
        <v>16.83</v>
      </c>
      <c r="R587" s="71">
        <f>VLOOKUP($F587,[2]装箱单!$A:$F,6,0)</f>
        <v>17.15</v>
      </c>
      <c r="S587" s="71">
        <f>VLOOKUP($F587,[2]装箱单!$A:$G,7,0)</f>
        <v>20</v>
      </c>
      <c r="T587" s="72">
        <f>VLOOKUP($F587,[2]装箱单!$A:$J,10,0)</f>
        <v>0.00577269</v>
      </c>
      <c r="U587" s="73">
        <f t="shared" si="133"/>
        <v>13.5080946</v>
      </c>
      <c r="V587" s="12"/>
    </row>
    <row r="588" s="1" customFormat="1" ht="29.1" customHeight="1" spans="1:22">
      <c r="A588" s="62">
        <v>46246</v>
      </c>
      <c r="B588" s="63" t="s">
        <v>40</v>
      </c>
      <c r="C588" s="64" t="s">
        <v>1880</v>
      </c>
      <c r="D588" s="66" t="s">
        <v>1881</v>
      </c>
      <c r="E588" s="140" t="s">
        <v>1968</v>
      </c>
      <c r="F588" s="66">
        <v>28483</v>
      </c>
      <c r="G588" s="67" t="str">
        <f>VLOOKUP(F588,[2]装箱单!$A:$C,3,0)</f>
        <v>振动球</v>
      </c>
      <c r="H588" s="67">
        <v>1800</v>
      </c>
      <c r="I588" s="68">
        <f t="shared" si="131"/>
        <v>1800</v>
      </c>
      <c r="J588" s="68" t="s">
        <v>32</v>
      </c>
      <c r="K588" s="68" t="s">
        <v>33</v>
      </c>
      <c r="L588" s="69">
        <v>1800</v>
      </c>
      <c r="M588" s="65">
        <f t="shared" si="132"/>
        <v>10.390842</v>
      </c>
      <c r="N588" s="69" t="s">
        <v>57</v>
      </c>
      <c r="O588" s="67" t="s">
        <v>1969</v>
      </c>
      <c r="P588" s="74"/>
      <c r="Q588" s="71">
        <f>VLOOKUP($F588,[2]装箱单!$A:$E,5,0)</f>
        <v>16.83</v>
      </c>
      <c r="R588" s="71">
        <f>VLOOKUP($F588,[2]装箱单!$A:$F,6,0)</f>
        <v>17.15</v>
      </c>
      <c r="S588" s="71">
        <f>VLOOKUP($F588,[2]装箱单!$A:$G,7,0)</f>
        <v>20</v>
      </c>
      <c r="T588" s="72">
        <f>VLOOKUP($F588,[2]装箱单!$A:$J,10,0)</f>
        <v>0.00577269</v>
      </c>
      <c r="U588" s="73">
        <f t="shared" si="133"/>
        <v>10.390842</v>
      </c>
      <c r="V588" s="12"/>
    </row>
    <row r="589" s="1" customFormat="1" ht="29.1" customHeight="1" spans="1:22">
      <c r="A589" s="62">
        <v>46246</v>
      </c>
      <c r="B589" s="63" t="s">
        <v>146</v>
      </c>
      <c r="C589" s="64" t="s">
        <v>1939</v>
      </c>
      <c r="D589" s="66" t="s">
        <v>1940</v>
      </c>
      <c r="E589" s="67">
        <v>2592525</v>
      </c>
      <c r="F589" s="66">
        <v>46496</v>
      </c>
      <c r="G589" s="67" t="str">
        <f>VLOOKUP(F589,[2]装箱单!$A:$C,3,0)</f>
        <v>米妮系列</v>
      </c>
      <c r="H589" s="67">
        <v>1850</v>
      </c>
      <c r="I589" s="68">
        <f t="shared" ref="I589:I595" si="134">+L589*2</f>
        <v>2852</v>
      </c>
      <c r="J589" s="68" t="s">
        <v>32</v>
      </c>
      <c r="K589" s="68" t="s">
        <v>33</v>
      </c>
      <c r="L589" s="69">
        <f>1850-424</f>
        <v>1426</v>
      </c>
      <c r="M589" s="65">
        <f t="shared" si="132"/>
        <v>31.893513913632</v>
      </c>
      <c r="N589" s="69" t="s">
        <v>34</v>
      </c>
      <c r="O589" s="67" t="s">
        <v>1969</v>
      </c>
      <c r="P589" s="74"/>
      <c r="Q589" s="71">
        <f>VLOOKUP($F589,[2]装箱单!$A:$E,5,0)</f>
        <v>40.01</v>
      </c>
      <c r="R589" s="71">
        <f>VLOOKUP($F589,[2]装箱单!$A:$F,6,0)</f>
        <v>26.67</v>
      </c>
      <c r="S589" s="71">
        <f>VLOOKUP($F589,[2]装箱单!$A:$G,7,0)</f>
        <v>20.96</v>
      </c>
      <c r="T589" s="72">
        <f>VLOOKUP($F589,[2]装箱单!$A:$J,10,0)</f>
        <v>0.022365718032</v>
      </c>
      <c r="U589" s="73">
        <f t="shared" si="133"/>
        <v>31.893513913632</v>
      </c>
      <c r="V589" s="12"/>
    </row>
    <row r="590" s="1" customFormat="1" ht="29.1" customHeight="1" spans="1:22">
      <c r="A590" s="62">
        <v>46246</v>
      </c>
      <c r="B590" s="63" t="s">
        <v>52</v>
      </c>
      <c r="C590" s="64">
        <v>47192</v>
      </c>
      <c r="D590" s="66" t="s">
        <v>1910</v>
      </c>
      <c r="E590" s="67"/>
      <c r="F590" s="66">
        <v>320635</v>
      </c>
      <c r="G590" s="67" t="str">
        <f>VLOOKUP(F590,[2]装箱单!$A:$C,3,0)</f>
        <v>校车</v>
      </c>
      <c r="H590" s="67">
        <v>1500</v>
      </c>
      <c r="I590" s="68">
        <f t="shared" si="134"/>
        <v>3000</v>
      </c>
      <c r="J590" s="68" t="s">
        <v>32</v>
      </c>
      <c r="K590" s="68" t="s">
        <v>33</v>
      </c>
      <c r="L590" s="69">
        <v>1500</v>
      </c>
      <c r="M590" s="65">
        <f t="shared" si="132"/>
        <v>23.680104786</v>
      </c>
      <c r="N590" s="69" t="s">
        <v>57</v>
      </c>
      <c r="O590" s="67" t="s">
        <v>1969</v>
      </c>
      <c r="P590" s="74"/>
      <c r="Q590" s="71">
        <f>VLOOKUP($F590,[2]装箱单!$A:$E,5,0)</f>
        <v>35.18</v>
      </c>
      <c r="R590" s="71">
        <f>VLOOKUP($F590,[2]装箱单!$A:$F,6,0)</f>
        <v>27.18</v>
      </c>
      <c r="S590" s="71">
        <f>VLOOKUP($F590,[2]装箱单!$A:$G,7,0)</f>
        <v>16.51</v>
      </c>
      <c r="T590" s="72">
        <f>VLOOKUP($F590,[2]装箱单!$A:$J,10,0)</f>
        <v>0.015786736524</v>
      </c>
      <c r="U590" s="73">
        <f t="shared" si="133"/>
        <v>23.680104786</v>
      </c>
      <c r="V590" s="12"/>
    </row>
    <row r="591" s="1" customFormat="1" ht="29.1" customHeight="1" spans="1:22">
      <c r="A591" s="62">
        <v>46246</v>
      </c>
      <c r="B591" s="63" t="s">
        <v>40</v>
      </c>
      <c r="C591" s="64" t="s">
        <v>1894</v>
      </c>
      <c r="D591" s="66" t="s">
        <v>1895</v>
      </c>
      <c r="E591" s="140" t="s">
        <v>1970</v>
      </c>
      <c r="F591" s="66">
        <v>28458</v>
      </c>
      <c r="G591" s="67" t="str">
        <f>VLOOKUP(F591,[2]装箱单!$A:$C,3,0)</f>
        <v>五款硅胶手感球</v>
      </c>
      <c r="H591" s="67">
        <v>478</v>
      </c>
      <c r="I591" s="68">
        <f>+L591*3</f>
        <v>1434</v>
      </c>
      <c r="J591" s="68" t="s">
        <v>32</v>
      </c>
      <c r="K591" s="68" t="s">
        <v>33</v>
      </c>
      <c r="L591" s="69">
        <v>478</v>
      </c>
      <c r="M591" s="65">
        <f t="shared" si="132"/>
        <v>9.956911312332</v>
      </c>
      <c r="N591" s="69" t="s">
        <v>57</v>
      </c>
      <c r="O591" s="67"/>
      <c r="P591" s="74"/>
      <c r="Q591" s="71">
        <f>VLOOKUP($F591,[2]装箱单!$A:$E,5,0)</f>
        <v>26.99</v>
      </c>
      <c r="R591" s="71">
        <f>VLOOKUP($F591,[2]装箱单!$A:$F,6,0)</f>
        <v>27.31</v>
      </c>
      <c r="S591" s="71">
        <f>VLOOKUP($F591,[2]装箱单!$A:$G,7,0)</f>
        <v>28.26</v>
      </c>
      <c r="T591" s="72">
        <f>VLOOKUP($F591,[2]装箱单!$A:$J,10,0)</f>
        <v>0.020830358394</v>
      </c>
      <c r="U591" s="73">
        <f t="shared" si="133"/>
        <v>9.956911312332</v>
      </c>
      <c r="V591" s="12"/>
    </row>
    <row r="592" s="1" customFormat="1" ht="29.1" customHeight="1" spans="1:22">
      <c r="A592" s="62">
        <v>46246</v>
      </c>
      <c r="B592" s="63" t="s">
        <v>40</v>
      </c>
      <c r="C592" s="64" t="s">
        <v>1947</v>
      </c>
      <c r="D592" s="66" t="s">
        <v>1948</v>
      </c>
      <c r="E592" s="140" t="s">
        <v>1949</v>
      </c>
      <c r="F592" s="66">
        <v>28458</v>
      </c>
      <c r="G592" s="67" t="str">
        <f>VLOOKUP(F592,[2]装箱单!$A:$C,3,0)</f>
        <v>五款硅胶手感球</v>
      </c>
      <c r="H592" s="67">
        <v>478</v>
      </c>
      <c r="I592" s="68">
        <f>+L592*3</f>
        <v>714</v>
      </c>
      <c r="J592" s="68" t="s">
        <v>32</v>
      </c>
      <c r="K592" s="68" t="s">
        <v>33</v>
      </c>
      <c r="L592" s="69">
        <v>238</v>
      </c>
      <c r="M592" s="65">
        <f t="shared" si="132"/>
        <v>4.957625297772</v>
      </c>
      <c r="N592" s="69" t="s">
        <v>57</v>
      </c>
      <c r="O592" s="67"/>
      <c r="P592" s="74"/>
      <c r="Q592" s="71">
        <f>VLOOKUP($F592,[2]装箱单!$A:$E,5,0)</f>
        <v>26.99</v>
      </c>
      <c r="R592" s="71">
        <f>VLOOKUP($F592,[2]装箱单!$A:$F,6,0)</f>
        <v>27.31</v>
      </c>
      <c r="S592" s="71">
        <f>VLOOKUP($F592,[2]装箱单!$A:$G,7,0)</f>
        <v>28.26</v>
      </c>
      <c r="T592" s="72">
        <f>VLOOKUP($F592,[2]装箱单!$A:$J,10,0)</f>
        <v>0.020830358394</v>
      </c>
      <c r="U592" s="73">
        <f t="shared" si="133"/>
        <v>4.957625297772</v>
      </c>
      <c r="V592" s="12"/>
    </row>
    <row r="593" s="1" customFormat="1" ht="29.1" customHeight="1" spans="1:22">
      <c r="A593" s="62"/>
      <c r="B593" s="63"/>
      <c r="C593" s="64"/>
      <c r="D593" s="66"/>
      <c r="E593" s="67"/>
      <c r="F593" s="66"/>
      <c r="G593" s="67"/>
      <c r="H593" s="67"/>
      <c r="I593" s="68"/>
      <c r="J593" s="68"/>
      <c r="K593" s="68"/>
      <c r="L593" s="69"/>
      <c r="M593" s="65">
        <f>SUM(M585:M592)</f>
        <v>131.794123109736</v>
      </c>
      <c r="N593" s="69"/>
      <c r="O593" s="67"/>
      <c r="P593" s="75"/>
      <c r="Q593" s="71"/>
      <c r="R593" s="71"/>
      <c r="S593" s="71"/>
      <c r="T593" s="72"/>
      <c r="U593" s="73"/>
      <c r="V593" s="12"/>
    </row>
    <row r="594" s="1" customFormat="1" ht="29.1" customHeight="1" spans="1:22">
      <c r="A594" s="62">
        <v>46246</v>
      </c>
      <c r="B594" s="63" t="s">
        <v>146</v>
      </c>
      <c r="C594" s="64" t="s">
        <v>1971</v>
      </c>
      <c r="D594" s="66" t="s">
        <v>1972</v>
      </c>
      <c r="E594" s="67">
        <v>2592524</v>
      </c>
      <c r="F594" s="66">
        <v>46094</v>
      </c>
      <c r="G594" s="67" t="str">
        <f>VLOOKUP(F594,[2]装箱单!$A:$C,3,0)</f>
        <v>漫威系列</v>
      </c>
      <c r="H594" s="67">
        <v>1999</v>
      </c>
      <c r="I594" s="68">
        <f t="shared" si="134"/>
        <v>3998</v>
      </c>
      <c r="J594" s="68" t="s">
        <v>32</v>
      </c>
      <c r="K594" s="68" t="s">
        <v>33</v>
      </c>
      <c r="L594" s="69">
        <v>1999</v>
      </c>
      <c r="M594" s="65">
        <f t="shared" ref="M594:M600" si="135">+U594</f>
        <v>44.709070345968</v>
      </c>
      <c r="N594" s="69" t="s">
        <v>34</v>
      </c>
      <c r="O594" s="67" t="s">
        <v>1969</v>
      </c>
      <c r="P594" s="70" t="s">
        <v>766</v>
      </c>
      <c r="Q594" s="71">
        <f>VLOOKUP($F594,[2]装箱单!$A:$E,5,0)</f>
        <v>40.01</v>
      </c>
      <c r="R594" s="71">
        <f>VLOOKUP($F594,[2]装箱单!$A:$F,6,0)</f>
        <v>26.67</v>
      </c>
      <c r="S594" s="71">
        <f>VLOOKUP($F594,[2]装箱单!$A:$G,7,0)</f>
        <v>20.96</v>
      </c>
      <c r="T594" s="72">
        <f>VLOOKUP($F594,[2]装箱单!$A:$J,10,0)</f>
        <v>0.022365718032</v>
      </c>
      <c r="U594" s="73">
        <f t="shared" ref="U594:U600" si="136">+T594*L594</f>
        <v>44.709070345968</v>
      </c>
      <c r="V594" s="12"/>
    </row>
    <row r="595" s="1" customFormat="1" ht="29.1" customHeight="1" spans="1:22">
      <c r="A595" s="62">
        <v>46246</v>
      </c>
      <c r="B595" s="63" t="s">
        <v>146</v>
      </c>
      <c r="C595" s="64" t="s">
        <v>1973</v>
      </c>
      <c r="D595" s="66" t="s">
        <v>1974</v>
      </c>
      <c r="E595" s="67">
        <v>2592527</v>
      </c>
      <c r="F595" s="66">
        <v>46132</v>
      </c>
      <c r="G595" s="67" t="str">
        <f>VLOOKUP(F595,[2]装箱单!$A:$C,3,0)</f>
        <v>赛车总动员系列</v>
      </c>
      <c r="H595" s="67">
        <v>2084</v>
      </c>
      <c r="I595" s="68">
        <f t="shared" si="134"/>
        <v>4168</v>
      </c>
      <c r="J595" s="68" t="s">
        <v>32</v>
      </c>
      <c r="K595" s="68" t="s">
        <v>33</v>
      </c>
      <c r="L595" s="69">
        <v>2084</v>
      </c>
      <c r="M595" s="65">
        <f t="shared" si="135"/>
        <v>46.610156378688</v>
      </c>
      <c r="N595" s="69" t="s">
        <v>34</v>
      </c>
      <c r="O595" s="67" t="s">
        <v>1969</v>
      </c>
      <c r="P595" s="74"/>
      <c r="Q595" s="71">
        <f>VLOOKUP($F595,[2]装箱单!$A:$E,5,0)</f>
        <v>40.01</v>
      </c>
      <c r="R595" s="71">
        <f>VLOOKUP($F595,[2]装箱单!$A:$F,6,0)</f>
        <v>26.67</v>
      </c>
      <c r="S595" s="71">
        <f>VLOOKUP($F595,[2]装箱单!$A:$G,7,0)</f>
        <v>20.96</v>
      </c>
      <c r="T595" s="72">
        <f>VLOOKUP($F595,[2]装箱单!$A:$J,10,0)</f>
        <v>0.022365718032</v>
      </c>
      <c r="U595" s="73">
        <f t="shared" si="136"/>
        <v>46.610156378688</v>
      </c>
      <c r="V595" s="12"/>
    </row>
    <row r="596" s="1" customFormat="1" ht="29.1" customHeight="1" spans="1:22">
      <c r="A596" s="62">
        <v>46246</v>
      </c>
      <c r="B596" s="63" t="s">
        <v>52</v>
      </c>
      <c r="C596" s="64">
        <v>47192</v>
      </c>
      <c r="D596" s="66" t="s">
        <v>1910</v>
      </c>
      <c r="E596" s="67"/>
      <c r="F596" s="66" t="s">
        <v>63</v>
      </c>
      <c r="G596" s="67" t="str">
        <f>VLOOKUP(F596,[2]装箱单!$A:$C,3,0)</f>
        <v>卷发女孩</v>
      </c>
      <c r="H596" s="67">
        <v>750</v>
      </c>
      <c r="I596" s="68">
        <f>+L596*4</f>
        <v>3000</v>
      </c>
      <c r="J596" s="68" t="s">
        <v>32</v>
      </c>
      <c r="K596" s="68" t="s">
        <v>33</v>
      </c>
      <c r="L596" s="69">
        <v>750</v>
      </c>
      <c r="M596" s="65">
        <f t="shared" si="135"/>
        <v>11.41691265</v>
      </c>
      <c r="N596" s="69" t="s">
        <v>57</v>
      </c>
      <c r="O596" s="67" t="s">
        <v>1969</v>
      </c>
      <c r="P596" s="74"/>
      <c r="Q596" s="71">
        <f>VLOOKUP($F596,[2]装箱单!$A:$E,5,0)</f>
        <v>27.94</v>
      </c>
      <c r="R596" s="71">
        <f>VLOOKUP($F596,[2]装箱单!$A:$F,6,0)</f>
        <v>16.51</v>
      </c>
      <c r="S596" s="71">
        <f>VLOOKUP($F596,[2]装箱单!$A:$G,7,0)</f>
        <v>33</v>
      </c>
      <c r="T596" s="72">
        <f>VLOOKUP($F596,[2]装箱单!$A:$J,10,0)</f>
        <v>0.0152225502</v>
      </c>
      <c r="U596" s="73">
        <f t="shared" si="136"/>
        <v>11.41691265</v>
      </c>
      <c r="V596" s="12"/>
    </row>
    <row r="597" s="1" customFormat="1" ht="29.1" customHeight="1" spans="1:22">
      <c r="A597" s="62">
        <v>46246</v>
      </c>
      <c r="B597" s="63" t="s">
        <v>40</v>
      </c>
      <c r="C597" s="64" t="s">
        <v>1975</v>
      </c>
      <c r="D597" s="66" t="s">
        <v>1976</v>
      </c>
      <c r="E597" s="67" t="s">
        <v>1977</v>
      </c>
      <c r="F597" s="66" t="s">
        <v>179</v>
      </c>
      <c r="G597" s="67" t="str">
        <f>VLOOKUP(F597,[2]装箱单!$A:$C,3,0)</f>
        <v>搪胶小鸭</v>
      </c>
      <c r="H597" s="67">
        <v>180</v>
      </c>
      <c r="I597" s="68">
        <f t="shared" ref="I597:I600" si="137">+L597*24</f>
        <v>4320</v>
      </c>
      <c r="J597" s="68" t="s">
        <v>32</v>
      </c>
      <c r="K597" s="68" t="s">
        <v>33</v>
      </c>
      <c r="L597" s="69">
        <v>180</v>
      </c>
      <c r="M597" s="65">
        <f t="shared" si="135"/>
        <v>2.39382</v>
      </c>
      <c r="N597" s="69" t="s">
        <v>34</v>
      </c>
      <c r="O597" s="67"/>
      <c r="P597" s="74"/>
      <c r="Q597" s="71">
        <f>VLOOKUP($F597,[2]装箱单!$A:$E,5,0)</f>
        <v>31</v>
      </c>
      <c r="R597" s="71">
        <f>VLOOKUP($F597,[2]装箱单!$A:$F,6,0)</f>
        <v>22</v>
      </c>
      <c r="S597" s="71">
        <f>VLOOKUP($F597,[2]装箱单!$A:$G,7,0)</f>
        <v>19.5</v>
      </c>
      <c r="T597" s="72">
        <f>VLOOKUP($F597,[2]装箱单!$A:$J,10,0)</f>
        <v>0.013299</v>
      </c>
      <c r="U597" s="73">
        <f t="shared" si="136"/>
        <v>2.39382</v>
      </c>
      <c r="V597" s="12"/>
    </row>
    <row r="598" s="1" customFormat="1" ht="29.1" customHeight="1" spans="1:22">
      <c r="A598" s="62">
        <v>46246</v>
      </c>
      <c r="B598" s="63" t="s">
        <v>40</v>
      </c>
      <c r="C598" s="64" t="s">
        <v>1978</v>
      </c>
      <c r="D598" s="66" t="s">
        <v>1979</v>
      </c>
      <c r="E598" s="67" t="s">
        <v>1980</v>
      </c>
      <c r="F598" s="66" t="s">
        <v>179</v>
      </c>
      <c r="G598" s="67" t="str">
        <f>VLOOKUP(F598,[2]装箱单!$A:$C,3,0)</f>
        <v>搪胶小鸭</v>
      </c>
      <c r="H598" s="67">
        <v>540</v>
      </c>
      <c r="I598" s="68">
        <f t="shared" si="137"/>
        <v>12960</v>
      </c>
      <c r="J598" s="68" t="s">
        <v>32</v>
      </c>
      <c r="K598" s="68" t="s">
        <v>33</v>
      </c>
      <c r="L598" s="69">
        <v>540</v>
      </c>
      <c r="M598" s="65">
        <f t="shared" si="135"/>
        <v>7.18146</v>
      </c>
      <c r="N598" s="69" t="s">
        <v>34</v>
      </c>
      <c r="O598" s="67"/>
      <c r="P598" s="74"/>
      <c r="Q598" s="71">
        <f>VLOOKUP($F598,[2]装箱单!$A:$E,5,0)</f>
        <v>31</v>
      </c>
      <c r="R598" s="71">
        <f>VLOOKUP($F598,[2]装箱单!$A:$F,6,0)</f>
        <v>22</v>
      </c>
      <c r="S598" s="71">
        <f>VLOOKUP($F598,[2]装箱单!$A:$G,7,0)</f>
        <v>19.5</v>
      </c>
      <c r="T598" s="72">
        <f>VLOOKUP($F598,[2]装箱单!$A:$J,10,0)</f>
        <v>0.013299</v>
      </c>
      <c r="U598" s="73">
        <f t="shared" si="136"/>
        <v>7.18146</v>
      </c>
      <c r="V598" s="12"/>
    </row>
    <row r="599" s="1" customFormat="1" ht="29.1" customHeight="1" spans="1:22">
      <c r="A599" s="62">
        <v>46246</v>
      </c>
      <c r="B599" s="63" t="s">
        <v>40</v>
      </c>
      <c r="C599" s="64" t="s">
        <v>1981</v>
      </c>
      <c r="D599" s="66" t="s">
        <v>1982</v>
      </c>
      <c r="E599" s="67" t="s">
        <v>1983</v>
      </c>
      <c r="F599" s="66" t="s">
        <v>179</v>
      </c>
      <c r="G599" s="67" t="str">
        <f>VLOOKUP(F599,[2]装箱单!$A:$C,3,0)</f>
        <v>搪胶小鸭</v>
      </c>
      <c r="H599" s="67">
        <v>360</v>
      </c>
      <c r="I599" s="68">
        <f t="shared" si="137"/>
        <v>8640</v>
      </c>
      <c r="J599" s="68" t="s">
        <v>32</v>
      </c>
      <c r="K599" s="68" t="s">
        <v>33</v>
      </c>
      <c r="L599" s="69">
        <v>360</v>
      </c>
      <c r="M599" s="65">
        <f t="shared" si="135"/>
        <v>4.78764</v>
      </c>
      <c r="N599" s="69" t="s">
        <v>34</v>
      </c>
      <c r="O599" s="67" t="s">
        <v>1984</v>
      </c>
      <c r="P599" s="74"/>
      <c r="Q599" s="71">
        <f>VLOOKUP($F599,[2]装箱单!$A:$E,5,0)</f>
        <v>31</v>
      </c>
      <c r="R599" s="71">
        <f>VLOOKUP($F599,[2]装箱单!$A:$F,6,0)</f>
        <v>22</v>
      </c>
      <c r="S599" s="71">
        <f>VLOOKUP($F599,[2]装箱单!$A:$G,7,0)</f>
        <v>19.5</v>
      </c>
      <c r="T599" s="72">
        <f>VLOOKUP($F599,[2]装箱单!$A:$J,10,0)</f>
        <v>0.013299</v>
      </c>
      <c r="U599" s="73">
        <f t="shared" si="136"/>
        <v>4.78764</v>
      </c>
      <c r="V599" s="12"/>
    </row>
    <row r="600" s="1" customFormat="1" ht="29.1" customHeight="1" spans="1:22">
      <c r="A600" s="62">
        <v>46246</v>
      </c>
      <c r="B600" s="63" t="s">
        <v>40</v>
      </c>
      <c r="C600" s="64" t="s">
        <v>1985</v>
      </c>
      <c r="D600" s="66" t="s">
        <v>1986</v>
      </c>
      <c r="E600" s="67" t="s">
        <v>1987</v>
      </c>
      <c r="F600" s="66" t="s">
        <v>179</v>
      </c>
      <c r="G600" s="67" t="str">
        <f>VLOOKUP(F600,[2]装箱单!$A:$C,3,0)</f>
        <v>搪胶小鸭</v>
      </c>
      <c r="H600" s="67">
        <v>720</v>
      </c>
      <c r="I600" s="68">
        <f t="shared" si="137"/>
        <v>12960</v>
      </c>
      <c r="J600" s="68" t="s">
        <v>32</v>
      </c>
      <c r="K600" s="68" t="s">
        <v>33</v>
      </c>
      <c r="L600" s="69">
        <v>540</v>
      </c>
      <c r="M600" s="65">
        <f t="shared" si="135"/>
        <v>7.18146</v>
      </c>
      <c r="N600" s="69" t="s">
        <v>34</v>
      </c>
      <c r="O600" s="67"/>
      <c r="P600" s="74"/>
      <c r="Q600" s="71">
        <f>VLOOKUP($F600,[2]装箱单!$A:$E,5,0)</f>
        <v>31</v>
      </c>
      <c r="R600" s="71">
        <f>VLOOKUP($F600,[2]装箱单!$A:$F,6,0)</f>
        <v>22</v>
      </c>
      <c r="S600" s="71">
        <f>VLOOKUP($F600,[2]装箱单!$A:$G,7,0)</f>
        <v>19.5</v>
      </c>
      <c r="T600" s="72">
        <f>VLOOKUP($F600,[2]装箱单!$A:$J,10,0)</f>
        <v>0.013299</v>
      </c>
      <c r="U600" s="73">
        <f t="shared" si="136"/>
        <v>7.18146</v>
      </c>
      <c r="V600" s="12"/>
    </row>
    <row r="601" s="1" customFormat="1" ht="29.1" customHeight="1" spans="1:22">
      <c r="A601" s="62"/>
      <c r="B601" s="63"/>
      <c r="C601" s="64"/>
      <c r="D601" s="66"/>
      <c r="E601" s="67"/>
      <c r="F601" s="66"/>
      <c r="G601" s="67"/>
      <c r="H601" s="67"/>
      <c r="I601" s="68"/>
      <c r="J601" s="68"/>
      <c r="K601" s="68"/>
      <c r="L601" s="69"/>
      <c r="M601" s="65">
        <f>SUM(M594:M600)</f>
        <v>124.280519374656</v>
      </c>
      <c r="N601" s="69"/>
      <c r="O601" s="67"/>
      <c r="P601" s="75"/>
      <c r="Q601" s="71"/>
      <c r="R601" s="71"/>
      <c r="S601" s="71"/>
      <c r="T601" s="72"/>
      <c r="U601" s="73"/>
      <c r="V601" s="12"/>
    </row>
    <row r="602" s="1" customFormat="1" ht="29.1" customHeight="1" spans="1:22">
      <c r="A602" s="62">
        <v>46248</v>
      </c>
      <c r="B602" s="63" t="s">
        <v>1168</v>
      </c>
      <c r="C602" s="64">
        <v>47518</v>
      </c>
      <c r="D602" s="66" t="s">
        <v>1988</v>
      </c>
      <c r="E602" s="67" t="s">
        <v>1989</v>
      </c>
      <c r="F602" s="66" t="s">
        <v>1990</v>
      </c>
      <c r="G602" s="67" t="str">
        <f>VLOOKUP(F602,[2]装箱单!$A:$C,3,0)</f>
        <v>（470725/320630）混装</v>
      </c>
      <c r="H602" s="67">
        <v>1500</v>
      </c>
      <c r="I602" s="68">
        <f t="shared" ref="I602:I605" si="138">+L602*4</f>
        <v>3600</v>
      </c>
      <c r="J602" s="68" t="s">
        <v>32</v>
      </c>
      <c r="K602" s="68" t="s">
        <v>33</v>
      </c>
      <c r="L602" s="102">
        <v>900</v>
      </c>
      <c r="M602" s="65">
        <f t="shared" ref="M602:M606" si="139">+U602</f>
        <v>9.225</v>
      </c>
      <c r="N602" s="69" t="s">
        <v>34</v>
      </c>
      <c r="O602" s="67"/>
      <c r="P602" s="70" t="s">
        <v>128</v>
      </c>
      <c r="Q602" s="71">
        <f>VLOOKUP($F602,[2]装箱单!$A:$E,5,0)</f>
        <v>25</v>
      </c>
      <c r="R602" s="71">
        <f>VLOOKUP($F602,[2]装箱单!$A:$F,6,0)</f>
        <v>20.5</v>
      </c>
      <c r="S602" s="71">
        <f>VLOOKUP($F602,[2]装箱单!$A:$G,7,0)</f>
        <v>20</v>
      </c>
      <c r="T602" s="72">
        <f>VLOOKUP($F602,[2]装箱单!$A:$J,10,0)</f>
        <v>0.01025</v>
      </c>
      <c r="U602" s="73">
        <f t="shared" ref="U602:U606" si="140">+T602*L602</f>
        <v>9.225</v>
      </c>
      <c r="V602" s="12"/>
    </row>
    <row r="603" s="1" customFormat="1" ht="29.1" customHeight="1" spans="1:22">
      <c r="A603" s="62">
        <v>46248</v>
      </c>
      <c r="B603" s="63" t="s">
        <v>1168</v>
      </c>
      <c r="C603" s="64">
        <v>47520</v>
      </c>
      <c r="D603" s="66" t="s">
        <v>1988</v>
      </c>
      <c r="E603" s="67" t="s">
        <v>1863</v>
      </c>
      <c r="F603" s="66" t="s">
        <v>1990</v>
      </c>
      <c r="G603" s="67" t="str">
        <f>VLOOKUP(F603,[2]装箱单!$A:$C,3,0)</f>
        <v>（470725/320630）混装</v>
      </c>
      <c r="H603" s="67">
        <v>1000</v>
      </c>
      <c r="I603" s="68">
        <f t="shared" si="138"/>
        <v>4000</v>
      </c>
      <c r="J603" s="68" t="s">
        <v>32</v>
      </c>
      <c r="K603" s="68" t="s">
        <v>33</v>
      </c>
      <c r="L603" s="69">
        <v>1000</v>
      </c>
      <c r="M603" s="65">
        <f t="shared" si="139"/>
        <v>10.25</v>
      </c>
      <c r="N603" s="69" t="s">
        <v>34</v>
      </c>
      <c r="O603" s="67"/>
      <c r="P603" s="74"/>
      <c r="Q603" s="71">
        <f>VLOOKUP($F603,[2]装箱单!$A:$E,5,0)</f>
        <v>25</v>
      </c>
      <c r="R603" s="71">
        <f>VLOOKUP($F603,[2]装箱单!$A:$F,6,0)</f>
        <v>20.5</v>
      </c>
      <c r="S603" s="71">
        <f>VLOOKUP($F603,[2]装箱单!$A:$G,7,0)</f>
        <v>20</v>
      </c>
      <c r="T603" s="72">
        <f>VLOOKUP($F603,[2]装箱单!$A:$J,10,0)</f>
        <v>0.01025</v>
      </c>
      <c r="U603" s="73">
        <f t="shared" si="140"/>
        <v>10.25</v>
      </c>
      <c r="V603" s="12"/>
    </row>
    <row r="604" s="1" customFormat="1" ht="29.1" customHeight="1" spans="1:22">
      <c r="A604" s="62">
        <v>46248</v>
      </c>
      <c r="B604" s="63" t="s">
        <v>1168</v>
      </c>
      <c r="C604" s="64">
        <v>47518</v>
      </c>
      <c r="D604" s="66" t="s">
        <v>1991</v>
      </c>
      <c r="E604" s="67" t="s">
        <v>1989</v>
      </c>
      <c r="F604" s="66">
        <v>570929</v>
      </c>
      <c r="G604" s="67" t="str">
        <f>VLOOKUP(F604,[2]装箱单!$A:$C,3,0)</f>
        <v>（195/785/629/627）混装</v>
      </c>
      <c r="H604" s="67">
        <v>2500</v>
      </c>
      <c r="I604" s="68">
        <f t="shared" si="138"/>
        <v>10000</v>
      </c>
      <c r="J604" s="68" t="s">
        <v>32</v>
      </c>
      <c r="K604" s="68" t="s">
        <v>33</v>
      </c>
      <c r="L604" s="69">
        <v>2500</v>
      </c>
      <c r="M604" s="65">
        <f t="shared" si="139"/>
        <v>25.68321</v>
      </c>
      <c r="N604" s="69" t="s">
        <v>34</v>
      </c>
      <c r="O604" s="67"/>
      <c r="P604" s="74"/>
      <c r="Q604" s="71">
        <f>VLOOKUP($F604,[2]装箱单!$A:$E,5,0)</f>
        <v>28.89</v>
      </c>
      <c r="R604" s="71">
        <f>VLOOKUP($F604,[2]装箱单!$A:$F,6,0)</f>
        <v>17.78</v>
      </c>
      <c r="S604" s="71">
        <f>VLOOKUP($F604,[2]装箱单!$A:$G,7,0)</f>
        <v>20</v>
      </c>
      <c r="T604" s="72">
        <f>VLOOKUP($F604,[2]装箱单!$A:$J,10,0)</f>
        <v>0.010273284</v>
      </c>
      <c r="U604" s="73">
        <f t="shared" si="140"/>
        <v>25.68321</v>
      </c>
      <c r="V604" s="12"/>
    </row>
    <row r="605" s="1" customFormat="1" ht="29.1" customHeight="1" spans="1:22">
      <c r="A605" s="62">
        <v>46248</v>
      </c>
      <c r="B605" s="63" t="s">
        <v>1168</v>
      </c>
      <c r="C605" s="64">
        <v>47519</v>
      </c>
      <c r="D605" s="66" t="s">
        <v>1991</v>
      </c>
      <c r="E605" s="67" t="s">
        <v>1860</v>
      </c>
      <c r="F605" s="66">
        <v>570929</v>
      </c>
      <c r="G605" s="67" t="str">
        <f>VLOOKUP(F605,[2]装箱单!$A:$C,3,0)</f>
        <v>（195/785/629/627）混装</v>
      </c>
      <c r="H605" s="67">
        <v>5000</v>
      </c>
      <c r="I605" s="68">
        <f t="shared" si="138"/>
        <v>20000</v>
      </c>
      <c r="J605" s="68" t="s">
        <v>32</v>
      </c>
      <c r="K605" s="68" t="s">
        <v>33</v>
      </c>
      <c r="L605" s="69">
        <v>5000</v>
      </c>
      <c r="M605" s="65">
        <f t="shared" si="139"/>
        <v>51.36642</v>
      </c>
      <c r="N605" s="69" t="s">
        <v>34</v>
      </c>
      <c r="O605" s="67"/>
      <c r="P605" s="74"/>
      <c r="Q605" s="71">
        <f>VLOOKUP($F605,[2]装箱单!$A:$E,5,0)</f>
        <v>28.89</v>
      </c>
      <c r="R605" s="71">
        <f>VLOOKUP($F605,[2]装箱单!$A:$F,6,0)</f>
        <v>17.78</v>
      </c>
      <c r="S605" s="71">
        <f>VLOOKUP($F605,[2]装箱单!$A:$G,7,0)</f>
        <v>20</v>
      </c>
      <c r="T605" s="72">
        <f>VLOOKUP($F605,[2]装箱单!$A:$J,10,0)</f>
        <v>0.010273284</v>
      </c>
      <c r="U605" s="73">
        <f t="shared" si="140"/>
        <v>51.36642</v>
      </c>
      <c r="V605" s="12"/>
    </row>
    <row r="606" s="1" customFormat="1" ht="29.1" customHeight="1" spans="1:22">
      <c r="A606" s="62">
        <v>46248</v>
      </c>
      <c r="B606" s="63" t="s">
        <v>1992</v>
      </c>
      <c r="C606" s="64" t="s">
        <v>1993</v>
      </c>
      <c r="D606" s="66" t="s">
        <v>1994</v>
      </c>
      <c r="E606" s="67">
        <v>4400565308</v>
      </c>
      <c r="F606" s="66">
        <v>46496</v>
      </c>
      <c r="G606" s="67" t="str">
        <f>VLOOKUP(F606,[2]装箱单!$A:$C,3,0)</f>
        <v>米妮系列</v>
      </c>
      <c r="H606" s="67">
        <v>1123</v>
      </c>
      <c r="I606" s="68">
        <f>+L606*2</f>
        <v>2246</v>
      </c>
      <c r="J606" s="68" t="s">
        <v>32</v>
      </c>
      <c r="K606" s="68" t="s">
        <v>33</v>
      </c>
      <c r="L606" s="69">
        <v>1123</v>
      </c>
      <c r="M606" s="65">
        <f t="shared" si="139"/>
        <v>25.116701349936</v>
      </c>
      <c r="N606" s="69" t="s">
        <v>57</v>
      </c>
      <c r="O606" s="67"/>
      <c r="P606" s="74"/>
      <c r="Q606" s="71">
        <f>VLOOKUP($F606,[2]装箱单!$A:$E,5,0)</f>
        <v>40.01</v>
      </c>
      <c r="R606" s="71">
        <f>VLOOKUP($F606,[2]装箱单!$A:$F,6,0)</f>
        <v>26.67</v>
      </c>
      <c r="S606" s="71">
        <f>VLOOKUP($F606,[2]装箱单!$A:$G,7,0)</f>
        <v>20.96</v>
      </c>
      <c r="T606" s="72">
        <f>VLOOKUP($F606,[2]装箱单!$A:$J,10,0)</f>
        <v>0.022365718032</v>
      </c>
      <c r="U606" s="73">
        <f t="shared" si="140"/>
        <v>25.116701349936</v>
      </c>
      <c r="V606" s="12"/>
    </row>
    <row r="607" s="1" customFormat="1" ht="29.1" customHeight="1" spans="1:22">
      <c r="A607" s="62"/>
      <c r="B607" s="63"/>
      <c r="C607" s="64"/>
      <c r="D607" s="66"/>
      <c r="E607" s="67"/>
      <c r="F607" s="66"/>
      <c r="G607" s="67"/>
      <c r="H607" s="67"/>
      <c r="I607" s="68"/>
      <c r="J607" s="68"/>
      <c r="K607" s="68"/>
      <c r="L607" s="69"/>
      <c r="M607" s="65">
        <f>SUM(M602:M606)</f>
        <v>121.641331349936</v>
      </c>
      <c r="N607" s="69"/>
      <c r="O607" s="67"/>
      <c r="P607" s="75"/>
      <c r="Q607" s="71"/>
      <c r="R607" s="71"/>
      <c r="S607" s="71"/>
      <c r="T607" s="72"/>
      <c r="U607" s="73"/>
      <c r="V607" s="12"/>
    </row>
    <row r="608" s="1" customFormat="1" ht="29.1" customHeight="1" spans="1:22">
      <c r="A608" s="62">
        <v>46249</v>
      </c>
      <c r="B608" s="63" t="s">
        <v>1168</v>
      </c>
      <c r="C608" s="64">
        <v>47519</v>
      </c>
      <c r="D608" s="66" t="s">
        <v>1861</v>
      </c>
      <c r="E608" s="67" t="s">
        <v>1860</v>
      </c>
      <c r="F608" s="66">
        <v>320403</v>
      </c>
      <c r="G608" s="67" t="str">
        <f>VLOOKUP(F608,[2]装箱单!$A:$C,3,0)</f>
        <v>各种角色公仔组合</v>
      </c>
      <c r="H608" s="67">
        <v>938</v>
      </c>
      <c r="I608" s="68">
        <f>+L608*16</f>
        <v>15008</v>
      </c>
      <c r="J608" s="68" t="s">
        <v>32</v>
      </c>
      <c r="K608" s="68" t="s">
        <v>33</v>
      </c>
      <c r="L608" s="69">
        <v>938</v>
      </c>
      <c r="M608" s="65">
        <f t="shared" ref="M608:M617" si="141">+U608</f>
        <v>7.191646</v>
      </c>
      <c r="N608" s="69" t="s">
        <v>34</v>
      </c>
      <c r="O608" s="67"/>
      <c r="P608" s="70" t="s">
        <v>1995</v>
      </c>
      <c r="Q608" s="71">
        <f>VLOOKUP($F608,[2]装箱单!$A:$E,5,0)</f>
        <v>22</v>
      </c>
      <c r="R608" s="71">
        <f>VLOOKUP($F608,[2]装箱单!$A:$F,6,0)</f>
        <v>17</v>
      </c>
      <c r="S608" s="71">
        <f>VLOOKUP($F608,[2]装箱单!$A:$G,7,0)</f>
        <v>20.5</v>
      </c>
      <c r="T608" s="72">
        <f>VLOOKUP($F608,[2]装箱单!$A:$J,10,0)</f>
        <v>0.007667</v>
      </c>
      <c r="U608" s="73">
        <f t="shared" ref="U608:U617" si="142">+T608*L608</f>
        <v>7.191646</v>
      </c>
      <c r="V608" s="12"/>
    </row>
    <row r="609" s="1" customFormat="1" ht="29.1" customHeight="1" spans="1:22">
      <c r="A609" s="62">
        <v>46249</v>
      </c>
      <c r="B609" s="63" t="s">
        <v>1168</v>
      </c>
      <c r="C609" s="64">
        <v>47520</v>
      </c>
      <c r="D609" s="66" t="s">
        <v>1861</v>
      </c>
      <c r="E609" s="67" t="s">
        <v>1863</v>
      </c>
      <c r="F609" s="66">
        <v>320403</v>
      </c>
      <c r="G609" s="67" t="str">
        <f>VLOOKUP(F609,[2]装箱单!$A:$C,3,0)</f>
        <v>各种角色公仔组合</v>
      </c>
      <c r="H609" s="67">
        <v>313</v>
      </c>
      <c r="I609" s="68">
        <f>+L609*16</f>
        <v>5008</v>
      </c>
      <c r="J609" s="68" t="s">
        <v>32</v>
      </c>
      <c r="K609" s="68" t="s">
        <v>33</v>
      </c>
      <c r="L609" s="69">
        <v>313</v>
      </c>
      <c r="M609" s="65">
        <f t="shared" si="141"/>
        <v>2.399771</v>
      </c>
      <c r="N609" s="69" t="s">
        <v>34</v>
      </c>
      <c r="O609" s="67"/>
      <c r="P609" s="74"/>
      <c r="Q609" s="71">
        <f>VLOOKUP($F609,[2]装箱单!$A:$E,5,0)</f>
        <v>22</v>
      </c>
      <c r="R609" s="71">
        <f>VLOOKUP($F609,[2]装箱单!$A:$F,6,0)</f>
        <v>17</v>
      </c>
      <c r="S609" s="71">
        <f>VLOOKUP($F609,[2]装箱单!$A:$G,7,0)</f>
        <v>20.5</v>
      </c>
      <c r="T609" s="72">
        <f>VLOOKUP($F609,[2]装箱单!$A:$J,10,0)</f>
        <v>0.007667</v>
      </c>
      <c r="U609" s="73">
        <f t="shared" si="142"/>
        <v>2.399771</v>
      </c>
      <c r="V609" s="12"/>
    </row>
    <row r="610" s="1" customFormat="1" ht="29.1" customHeight="1" spans="1:22">
      <c r="A610" s="62">
        <v>46249</v>
      </c>
      <c r="B610" s="63" t="s">
        <v>1168</v>
      </c>
      <c r="C610" s="64">
        <v>47518</v>
      </c>
      <c r="D610" s="66" t="s">
        <v>1996</v>
      </c>
      <c r="E610" s="67" t="s">
        <v>1989</v>
      </c>
      <c r="F610" s="66">
        <v>320915</v>
      </c>
      <c r="G610" s="67" t="str">
        <f>VLOOKUP(F610,[2]装箱单!$A:$C,3,0)</f>
        <v>圣装伙伴</v>
      </c>
      <c r="H610" s="67">
        <v>1000</v>
      </c>
      <c r="I610" s="68">
        <f>+L610*4</f>
        <v>4000</v>
      </c>
      <c r="J610" s="68" t="s">
        <v>32</v>
      </c>
      <c r="K610" s="68" t="s">
        <v>33</v>
      </c>
      <c r="L610" s="69">
        <v>1000</v>
      </c>
      <c r="M610" s="65">
        <f t="shared" si="141"/>
        <v>15.75</v>
      </c>
      <c r="N610" s="69" t="s">
        <v>34</v>
      </c>
      <c r="O610" s="67"/>
      <c r="P610" s="74"/>
      <c r="Q610" s="71">
        <f>VLOOKUP($F610,[2]装箱单!$A:$E,5,0)</f>
        <v>31.5</v>
      </c>
      <c r="R610" s="71">
        <f>VLOOKUP($F610,[2]装箱单!$A:$F,6,0)</f>
        <v>25</v>
      </c>
      <c r="S610" s="71">
        <f>VLOOKUP($F610,[2]装箱单!$A:$G,7,0)</f>
        <v>20</v>
      </c>
      <c r="T610" s="72">
        <f>VLOOKUP($F610,[2]装箱单!$A:$J,10,0)</f>
        <v>0.01575</v>
      </c>
      <c r="U610" s="73">
        <f t="shared" si="142"/>
        <v>15.75</v>
      </c>
      <c r="V610" s="12"/>
    </row>
    <row r="611" s="1" customFormat="1" ht="29.1" customHeight="1" spans="1:22">
      <c r="A611" s="62">
        <v>46249</v>
      </c>
      <c r="B611" s="63" t="s">
        <v>1168</v>
      </c>
      <c r="C611" s="64">
        <v>47519</v>
      </c>
      <c r="D611" s="66" t="s">
        <v>1996</v>
      </c>
      <c r="E611" s="67" t="s">
        <v>1860</v>
      </c>
      <c r="F611" s="66">
        <v>320915</v>
      </c>
      <c r="G611" s="67" t="str">
        <f>VLOOKUP(F611,[2]装箱单!$A:$C,3,0)</f>
        <v>圣装伙伴</v>
      </c>
      <c r="H611" s="67">
        <v>1000</v>
      </c>
      <c r="I611" s="68">
        <f>+L611*4</f>
        <v>4000</v>
      </c>
      <c r="J611" s="68" t="s">
        <v>32</v>
      </c>
      <c r="K611" s="68" t="s">
        <v>33</v>
      </c>
      <c r="L611" s="69">
        <v>1000</v>
      </c>
      <c r="M611" s="65">
        <f t="shared" si="141"/>
        <v>15.75</v>
      </c>
      <c r="N611" s="69" t="s">
        <v>34</v>
      </c>
      <c r="O611" s="67"/>
      <c r="P611" s="74"/>
      <c r="Q611" s="71">
        <f>VLOOKUP($F611,[2]装箱单!$A:$E,5,0)</f>
        <v>31.5</v>
      </c>
      <c r="R611" s="71">
        <f>VLOOKUP($F611,[2]装箱单!$A:$F,6,0)</f>
        <v>25</v>
      </c>
      <c r="S611" s="71">
        <f>VLOOKUP($F611,[2]装箱单!$A:$G,7,0)</f>
        <v>20</v>
      </c>
      <c r="T611" s="72">
        <f>VLOOKUP($F611,[2]装箱单!$A:$J,10,0)</f>
        <v>0.01575</v>
      </c>
      <c r="U611" s="73">
        <f t="shared" si="142"/>
        <v>15.75</v>
      </c>
      <c r="V611" s="12"/>
    </row>
    <row r="612" s="1" customFormat="1" ht="29.1" customHeight="1" spans="1:22">
      <c r="A612" s="62">
        <v>46249</v>
      </c>
      <c r="B612" s="63" t="s">
        <v>1168</v>
      </c>
      <c r="C612" s="64">
        <v>47518</v>
      </c>
      <c r="D612" s="66" t="s">
        <v>1997</v>
      </c>
      <c r="E612" s="67" t="s">
        <v>1989</v>
      </c>
      <c r="F612" s="66">
        <v>320639</v>
      </c>
      <c r="G612" s="67" t="str">
        <f>VLOOKUP(F612,[2]装箱单!$A:$C,3,0)</f>
        <v>新货车</v>
      </c>
      <c r="H612" s="67">
        <v>2000</v>
      </c>
      <c r="I612" s="68">
        <f>+L612*2</f>
        <v>1888</v>
      </c>
      <c r="J612" s="68" t="s">
        <v>32</v>
      </c>
      <c r="K612" s="68" t="s">
        <v>33</v>
      </c>
      <c r="L612" s="69">
        <v>944</v>
      </c>
      <c r="M612" s="65">
        <f t="shared" si="141"/>
        <v>15.437107392</v>
      </c>
      <c r="N612" s="69" t="s">
        <v>34</v>
      </c>
      <c r="O612" s="67"/>
      <c r="P612" s="74"/>
      <c r="Q612" s="71">
        <f>VLOOKUP($F612,[2]装箱单!$A:$E,5,0)</f>
        <v>29.4</v>
      </c>
      <c r="R612" s="71">
        <f>VLOOKUP($F612,[2]装箱单!$A:$F,6,0)</f>
        <v>27.4</v>
      </c>
      <c r="S612" s="71">
        <f>VLOOKUP($F612,[2]装箱单!$A:$G,7,0)</f>
        <v>20.3</v>
      </c>
      <c r="T612" s="72">
        <f>VLOOKUP($F612,[2]装箱单!$A:$J,10,0)</f>
        <v>0.016352868</v>
      </c>
      <c r="U612" s="73">
        <f t="shared" si="142"/>
        <v>15.437107392</v>
      </c>
      <c r="V612" s="12"/>
    </row>
    <row r="613" s="1" customFormat="1" ht="29.1" customHeight="1" spans="1:22">
      <c r="A613" s="62">
        <v>46249</v>
      </c>
      <c r="B613" s="63" t="s">
        <v>1168</v>
      </c>
      <c r="C613" s="64">
        <v>47519</v>
      </c>
      <c r="D613" s="66" t="s">
        <v>1997</v>
      </c>
      <c r="E613" s="67" t="s">
        <v>1860</v>
      </c>
      <c r="F613" s="66">
        <v>320639</v>
      </c>
      <c r="G613" s="67" t="str">
        <f>VLOOKUP(F613,[2]装箱单!$A:$C,3,0)</f>
        <v>新货车</v>
      </c>
      <c r="H613" s="67">
        <v>1800</v>
      </c>
      <c r="I613" s="68">
        <f>+L613*2</f>
        <v>3600</v>
      </c>
      <c r="J613" s="68" t="s">
        <v>32</v>
      </c>
      <c r="K613" s="68" t="s">
        <v>33</v>
      </c>
      <c r="L613" s="69">
        <v>1800</v>
      </c>
      <c r="M613" s="65">
        <f t="shared" si="141"/>
        <v>29.4351624</v>
      </c>
      <c r="N613" s="69" t="s">
        <v>34</v>
      </c>
      <c r="O613" s="67"/>
      <c r="P613" s="74"/>
      <c r="Q613" s="71">
        <f>VLOOKUP($F613,[2]装箱单!$A:$E,5,0)</f>
        <v>29.4</v>
      </c>
      <c r="R613" s="71">
        <f>VLOOKUP($F613,[2]装箱单!$A:$F,6,0)</f>
        <v>27.4</v>
      </c>
      <c r="S613" s="71">
        <f>VLOOKUP($F613,[2]装箱单!$A:$G,7,0)</f>
        <v>20.3</v>
      </c>
      <c r="T613" s="72">
        <f>VLOOKUP($F613,[2]装箱单!$A:$J,10,0)</f>
        <v>0.016352868</v>
      </c>
      <c r="U613" s="73">
        <f t="shared" si="142"/>
        <v>29.4351624</v>
      </c>
      <c r="V613" s="12"/>
    </row>
    <row r="614" s="1" customFormat="1" ht="29.1" customHeight="1" spans="1:22">
      <c r="A614" s="62">
        <v>46249</v>
      </c>
      <c r="B614" s="63" t="s">
        <v>1168</v>
      </c>
      <c r="C614" s="64">
        <v>47519</v>
      </c>
      <c r="D614" s="66" t="s">
        <v>1998</v>
      </c>
      <c r="E614" s="67" t="s">
        <v>1860</v>
      </c>
      <c r="F614" s="66">
        <v>320410</v>
      </c>
      <c r="G614" s="67" t="str">
        <f>VLOOKUP(F614,[2]装箱单!$A:$C,3,0)</f>
        <v>巴比斯农舍</v>
      </c>
      <c r="H614" s="67">
        <v>500</v>
      </c>
      <c r="I614" s="68">
        <f>+L614</f>
        <v>500</v>
      </c>
      <c r="J614" s="68" t="s">
        <v>32</v>
      </c>
      <c r="K614" s="68" t="s">
        <v>33</v>
      </c>
      <c r="L614" s="69">
        <v>500</v>
      </c>
      <c r="M614" s="65">
        <f t="shared" si="141"/>
        <v>31.3875</v>
      </c>
      <c r="N614" s="69" t="s">
        <v>34</v>
      </c>
      <c r="O614" s="67"/>
      <c r="P614" s="74"/>
      <c r="Q614" s="71">
        <f>VLOOKUP($F614,[2]装箱单!$A:$E,5,0)</f>
        <v>62</v>
      </c>
      <c r="R614" s="71">
        <f>VLOOKUP($F614,[2]装箱单!$A:$F,6,0)</f>
        <v>25</v>
      </c>
      <c r="S614" s="71">
        <f>VLOOKUP($F614,[2]装箱单!$A:$G,7,0)</f>
        <v>40.5</v>
      </c>
      <c r="T614" s="72">
        <f>VLOOKUP($F614,[2]装箱单!$A:$J,10,0)</f>
        <v>0.062775</v>
      </c>
      <c r="U614" s="73">
        <f t="shared" si="142"/>
        <v>31.3875</v>
      </c>
      <c r="V614" s="12"/>
    </row>
    <row r="615" s="1" customFormat="1" ht="29.1" customHeight="1" spans="1:22">
      <c r="A615" s="62">
        <v>46249</v>
      </c>
      <c r="B615" s="63" t="s">
        <v>40</v>
      </c>
      <c r="C615" s="64" t="s">
        <v>1999</v>
      </c>
      <c r="D615" s="66" t="s">
        <v>2000</v>
      </c>
      <c r="E615" s="67" t="s">
        <v>2001</v>
      </c>
      <c r="F615" s="66" t="s">
        <v>179</v>
      </c>
      <c r="G615" s="67" t="str">
        <f>VLOOKUP(F615,[2]装箱单!$A:$C,3,0)</f>
        <v>搪胶小鸭</v>
      </c>
      <c r="H615" s="67">
        <v>900</v>
      </c>
      <c r="I615" s="68">
        <f>+L615*24</f>
        <v>21600</v>
      </c>
      <c r="J615" s="68" t="s">
        <v>32</v>
      </c>
      <c r="K615" s="68" t="s">
        <v>33</v>
      </c>
      <c r="L615" s="69">
        <v>900</v>
      </c>
      <c r="M615" s="65">
        <f t="shared" si="141"/>
        <v>11.9691</v>
      </c>
      <c r="N615" s="69" t="s">
        <v>34</v>
      </c>
      <c r="O615" s="67"/>
      <c r="P615" s="74"/>
      <c r="Q615" s="71">
        <f>VLOOKUP($F615,[2]装箱单!$A:$E,5,0)</f>
        <v>31</v>
      </c>
      <c r="R615" s="71">
        <f>VLOOKUP($F615,[2]装箱单!$A:$F,6,0)</f>
        <v>22</v>
      </c>
      <c r="S615" s="71">
        <f>VLOOKUP($F615,[2]装箱单!$A:$G,7,0)</f>
        <v>19.5</v>
      </c>
      <c r="T615" s="72">
        <f>VLOOKUP($F615,[2]装箱单!$A:$J,10,0)</f>
        <v>0.013299</v>
      </c>
      <c r="U615" s="73">
        <f t="shared" si="142"/>
        <v>11.9691</v>
      </c>
      <c r="V615" s="12"/>
    </row>
    <row r="616" s="1" customFormat="1" ht="29.1" customHeight="1" spans="1:22">
      <c r="A616" s="62">
        <v>46249</v>
      </c>
      <c r="B616" s="63" t="s">
        <v>40</v>
      </c>
      <c r="C616" s="64" t="s">
        <v>2002</v>
      </c>
      <c r="D616" s="66" t="s">
        <v>2003</v>
      </c>
      <c r="E616" s="67" t="s">
        <v>2004</v>
      </c>
      <c r="F616" s="66" t="s">
        <v>179</v>
      </c>
      <c r="G616" s="67" t="str">
        <f>VLOOKUP(F616,[2]装箱单!$A:$C,3,0)</f>
        <v>搪胶小鸭</v>
      </c>
      <c r="H616" s="67">
        <v>360</v>
      </c>
      <c r="I616" s="68">
        <f>+L616*24</f>
        <v>8640</v>
      </c>
      <c r="J616" s="68" t="s">
        <v>32</v>
      </c>
      <c r="K616" s="68" t="s">
        <v>33</v>
      </c>
      <c r="L616" s="69">
        <v>360</v>
      </c>
      <c r="M616" s="65">
        <f t="shared" si="141"/>
        <v>4.78764</v>
      </c>
      <c r="N616" s="69" t="s">
        <v>34</v>
      </c>
      <c r="O616" s="67"/>
      <c r="P616" s="74"/>
      <c r="Q616" s="71">
        <f>VLOOKUP($F616,[2]装箱单!$A:$E,5,0)</f>
        <v>31</v>
      </c>
      <c r="R616" s="71">
        <f>VLOOKUP($F616,[2]装箱单!$A:$F,6,0)</f>
        <v>22</v>
      </c>
      <c r="S616" s="71">
        <f>VLOOKUP($F616,[2]装箱单!$A:$G,7,0)</f>
        <v>19.5</v>
      </c>
      <c r="T616" s="72">
        <f>VLOOKUP($F616,[2]装箱单!$A:$J,10,0)</f>
        <v>0.013299</v>
      </c>
      <c r="U616" s="73">
        <f t="shared" si="142"/>
        <v>4.78764</v>
      </c>
      <c r="V616" s="12"/>
    </row>
    <row r="617" s="1" customFormat="1" ht="29.1" customHeight="1" spans="1:22">
      <c r="A617" s="62">
        <v>46249</v>
      </c>
      <c r="B617" s="63" t="s">
        <v>1168</v>
      </c>
      <c r="C617" s="64">
        <v>47518</v>
      </c>
      <c r="D617" s="66" t="s">
        <v>1988</v>
      </c>
      <c r="E617" s="67" t="s">
        <v>1989</v>
      </c>
      <c r="F617" s="66" t="s">
        <v>1990</v>
      </c>
      <c r="G617" s="67" t="str">
        <f>VLOOKUP(F617,[2]装箱单!$A:$C,3,0)</f>
        <v>（470725/320630）混装</v>
      </c>
      <c r="H617" s="67">
        <v>1500</v>
      </c>
      <c r="I617" s="68">
        <f>+L617*4</f>
        <v>2400</v>
      </c>
      <c r="J617" s="68" t="s">
        <v>32</v>
      </c>
      <c r="K617" s="68" t="s">
        <v>33</v>
      </c>
      <c r="L617" s="69">
        <f>1500-900</f>
        <v>600</v>
      </c>
      <c r="M617" s="65">
        <f t="shared" si="141"/>
        <v>6.15</v>
      </c>
      <c r="N617" s="69" t="s">
        <v>34</v>
      </c>
      <c r="O617" s="67"/>
      <c r="P617" s="74"/>
      <c r="Q617" s="71">
        <f>VLOOKUP($F617,[2]装箱单!$A:$E,5,0)</f>
        <v>25</v>
      </c>
      <c r="R617" s="71">
        <f>VLOOKUP($F617,[2]装箱单!$A:$F,6,0)</f>
        <v>20.5</v>
      </c>
      <c r="S617" s="71">
        <f>VLOOKUP($F617,[2]装箱单!$A:$G,7,0)</f>
        <v>20</v>
      </c>
      <c r="T617" s="72">
        <f>VLOOKUP($F617,[2]装箱单!$A:$J,10,0)</f>
        <v>0.01025</v>
      </c>
      <c r="U617" s="73">
        <f t="shared" si="142"/>
        <v>6.15</v>
      </c>
      <c r="V617" s="12"/>
    </row>
    <row r="618" s="1" customFormat="1" ht="29.1" customHeight="1" spans="1:22">
      <c r="A618" s="62"/>
      <c r="B618" s="63"/>
      <c r="C618" s="64"/>
      <c r="D618" s="66"/>
      <c r="E618" s="67"/>
      <c r="F618" s="66"/>
      <c r="G618" s="67"/>
      <c r="H618" s="67"/>
      <c r="I618" s="68"/>
      <c r="J618" s="68"/>
      <c r="K618" s="68"/>
      <c r="L618" s="69"/>
      <c r="M618" s="65">
        <f>SUM(M608:M617)</f>
        <v>140.257926792</v>
      </c>
      <c r="N618" s="69"/>
      <c r="O618" s="67"/>
      <c r="P618" s="75"/>
      <c r="Q618" s="71"/>
      <c r="R618" s="71"/>
      <c r="S618" s="71"/>
      <c r="T618" s="72"/>
      <c r="U618" s="73"/>
      <c r="V618" s="12"/>
    </row>
    <row r="619" s="1" customFormat="1" ht="29.1" customHeight="1" spans="1:22">
      <c r="A619" s="62">
        <v>46249</v>
      </c>
      <c r="B619" s="63" t="s">
        <v>1168</v>
      </c>
      <c r="C619" s="64">
        <v>47518</v>
      </c>
      <c r="D619" s="66" t="s">
        <v>1997</v>
      </c>
      <c r="E619" s="67" t="s">
        <v>1989</v>
      </c>
      <c r="F619" s="66">
        <v>320639</v>
      </c>
      <c r="G619" s="67" t="str">
        <f>VLOOKUP(F619,[2]装箱单!$A:$C,3,0)</f>
        <v>新货车</v>
      </c>
      <c r="H619" s="67">
        <v>2000</v>
      </c>
      <c r="I619" s="68">
        <f>+L619*2</f>
        <v>2112</v>
      </c>
      <c r="J619" s="68" t="s">
        <v>32</v>
      </c>
      <c r="K619" s="68" t="s">
        <v>33</v>
      </c>
      <c r="L619" s="69">
        <v>1056</v>
      </c>
      <c r="M619" s="65">
        <f t="shared" ref="M619:M671" si="143">+U619</f>
        <v>17.268628608</v>
      </c>
      <c r="N619" s="69" t="s">
        <v>34</v>
      </c>
      <c r="O619" s="67"/>
      <c r="P619" s="70" t="s">
        <v>239</v>
      </c>
      <c r="Q619" s="71">
        <f>VLOOKUP($F619,[2]装箱单!$A:$E,5,0)</f>
        <v>29.4</v>
      </c>
      <c r="R619" s="71">
        <f>VLOOKUP($F619,[2]装箱单!$A:$F,6,0)</f>
        <v>27.4</v>
      </c>
      <c r="S619" s="71">
        <f>VLOOKUP($F619,[2]装箱单!$A:$G,7,0)</f>
        <v>20.3</v>
      </c>
      <c r="T619" s="72">
        <f>VLOOKUP($F619,[2]装箱单!$A:$J,10,0)</f>
        <v>0.016352868</v>
      </c>
      <c r="U619" s="73">
        <f t="shared" ref="U619:U671" si="144">+T619*L619</f>
        <v>17.268628608</v>
      </c>
      <c r="V619" s="12"/>
    </row>
    <row r="620" s="1" customFormat="1" ht="29.1" customHeight="1" spans="1:22">
      <c r="A620" s="62"/>
      <c r="B620" s="63"/>
      <c r="C620" s="64"/>
      <c r="D620" s="66"/>
      <c r="E620" s="67"/>
      <c r="F620" s="66"/>
      <c r="G620" s="67"/>
      <c r="H620" s="67"/>
      <c r="I620" s="68"/>
      <c r="J620" s="68"/>
      <c r="K620" s="68"/>
      <c r="L620" s="69"/>
      <c r="M620" s="65">
        <f>SUM(M619:M619)</f>
        <v>17.268628608</v>
      </c>
      <c r="N620" s="69"/>
      <c r="O620" s="67"/>
      <c r="P620" s="75"/>
      <c r="Q620" s="71"/>
      <c r="R620" s="71"/>
      <c r="S620" s="71"/>
      <c r="T620" s="72"/>
      <c r="U620" s="73"/>
      <c r="V620" s="12"/>
    </row>
    <row r="621" s="1" customFormat="1" ht="29.1" customHeight="1" spans="1:22">
      <c r="A621" s="62">
        <v>46251</v>
      </c>
      <c r="B621" s="63" t="s">
        <v>2005</v>
      </c>
      <c r="C621" s="64" t="s">
        <v>2006</v>
      </c>
      <c r="D621" s="66">
        <v>263716</v>
      </c>
      <c r="E621" s="67"/>
      <c r="F621" s="66">
        <v>263716</v>
      </c>
      <c r="G621" s="67" t="str">
        <f>VLOOKUP(F621,[2]装箱单!$A:$C,3,0)</f>
        <v>南瓜</v>
      </c>
      <c r="H621" s="67">
        <f>200/4</f>
        <v>50</v>
      </c>
      <c r="I621" s="68">
        <v>100</v>
      </c>
      <c r="J621" s="68" t="s">
        <v>32</v>
      </c>
      <c r="K621" s="68" t="s">
        <v>33</v>
      </c>
      <c r="L621" s="69">
        <v>25</v>
      </c>
      <c r="M621" s="65">
        <f t="shared" si="143"/>
        <v>1.4416519554</v>
      </c>
      <c r="N621" s="69"/>
      <c r="O621" s="67"/>
      <c r="P621" s="70" t="s">
        <v>1732</v>
      </c>
      <c r="Q621" s="71">
        <f>VLOOKUP($F621,[2]装箱单!$A:$E,5,0)</f>
        <v>64.77</v>
      </c>
      <c r="R621" s="71">
        <f>VLOOKUP($F621,[2]装箱单!$A:$F,6,0)</f>
        <v>29.21</v>
      </c>
      <c r="S621" s="71">
        <f>VLOOKUP($F621,[2]装箱单!$A:$G,7,0)</f>
        <v>30.48</v>
      </c>
      <c r="T621" s="72">
        <f>VLOOKUP($F621,[2]装箱单!$A:$J,10,0)</f>
        <v>0.057666078216</v>
      </c>
      <c r="U621" s="73">
        <f t="shared" si="144"/>
        <v>1.4416519554</v>
      </c>
      <c r="V621" s="12"/>
    </row>
    <row r="622" s="1" customFormat="1" ht="29.1" customHeight="1" spans="1:22">
      <c r="A622" s="62">
        <v>46251</v>
      </c>
      <c r="B622" s="63" t="s">
        <v>2005</v>
      </c>
      <c r="C622" s="64" t="s">
        <v>2007</v>
      </c>
      <c r="D622" s="66">
        <v>260770</v>
      </c>
      <c r="E622" s="67"/>
      <c r="F622" s="66">
        <v>260777</v>
      </c>
      <c r="G622" s="67" t="str">
        <f>VLOOKUP(F622,[2]装箱单!$A:$C,3,0)</f>
        <v>小咖</v>
      </c>
      <c r="H622" s="67">
        <f t="shared" ref="H622:H628" si="145">200/20</f>
        <v>10</v>
      </c>
      <c r="I622" s="68">
        <v>140</v>
      </c>
      <c r="J622" s="68" t="s">
        <v>32</v>
      </c>
      <c r="K622" s="68" t="s">
        <v>33</v>
      </c>
      <c r="L622" s="69">
        <v>7</v>
      </c>
      <c r="M622" s="65">
        <f t="shared" si="143"/>
        <v>0.15650311844475</v>
      </c>
      <c r="N622" s="69"/>
      <c r="O622" s="67"/>
      <c r="P622" s="74"/>
      <c r="Q622" s="71">
        <f>VLOOKUP($F622,[2]装箱单!$A:$E,5,0)</f>
        <v>40.005</v>
      </c>
      <c r="R622" s="71">
        <f>VLOOKUP($F622,[2]装箱单!$A:$F,6,0)</f>
        <v>26.67</v>
      </c>
      <c r="S622" s="71">
        <f>VLOOKUP($F622,[2]装箱单!$A:$G,7,0)</f>
        <v>20.955</v>
      </c>
      <c r="T622" s="72">
        <f>VLOOKUP($F622,[2]装箱单!$A:$J,10,0)</f>
        <v>0.02235758834925</v>
      </c>
      <c r="U622" s="73">
        <f t="shared" si="144"/>
        <v>0.15650311844475</v>
      </c>
      <c r="V622" s="12"/>
    </row>
    <row r="623" s="1" customFormat="1" ht="29.1" customHeight="1" spans="1:22">
      <c r="A623" s="62">
        <v>46251</v>
      </c>
      <c r="B623" s="63" t="s">
        <v>2005</v>
      </c>
      <c r="C623" s="64" t="s">
        <v>2007</v>
      </c>
      <c r="D623" s="66">
        <v>260770</v>
      </c>
      <c r="E623" s="67"/>
      <c r="F623" s="66">
        <v>260775</v>
      </c>
      <c r="G623" s="67" t="str">
        <f>VLOOKUP(F623,[2]装箱单!$A:$C,3,0)</f>
        <v>小红</v>
      </c>
      <c r="H623" s="67">
        <f t="shared" si="145"/>
        <v>10</v>
      </c>
      <c r="I623" s="68">
        <v>140</v>
      </c>
      <c r="J623" s="68" t="s">
        <v>32</v>
      </c>
      <c r="K623" s="68" t="s">
        <v>33</v>
      </c>
      <c r="L623" s="69">
        <v>7</v>
      </c>
      <c r="M623" s="65">
        <f t="shared" si="143"/>
        <v>0.15650311844475</v>
      </c>
      <c r="N623" s="69"/>
      <c r="O623" s="67"/>
      <c r="P623" s="74"/>
      <c r="Q623" s="71">
        <f>VLOOKUP($F623,[2]装箱单!$A:$E,5,0)</f>
        <v>40.005</v>
      </c>
      <c r="R623" s="71">
        <f>VLOOKUP($F623,[2]装箱单!$A:$F,6,0)</f>
        <v>26.67</v>
      </c>
      <c r="S623" s="71">
        <f>VLOOKUP($F623,[2]装箱单!$A:$G,7,0)</f>
        <v>20.955</v>
      </c>
      <c r="T623" s="72">
        <f>VLOOKUP($F623,[2]装箱单!$A:$J,10,0)</f>
        <v>0.02235758834925</v>
      </c>
      <c r="U623" s="73">
        <f t="shared" si="144"/>
        <v>0.15650311844475</v>
      </c>
      <c r="V623" s="12"/>
    </row>
    <row r="624" s="1" customFormat="1" ht="29.1" customHeight="1" spans="1:22">
      <c r="A624" s="62">
        <v>46251</v>
      </c>
      <c r="B624" s="63" t="s">
        <v>2005</v>
      </c>
      <c r="C624" s="64" t="s">
        <v>2007</v>
      </c>
      <c r="D624" s="66">
        <v>260770</v>
      </c>
      <c r="E624" s="67"/>
      <c r="F624" s="66">
        <v>260771</v>
      </c>
      <c r="G624" s="67" t="str">
        <f>VLOOKUP(F624,[2]装箱单!$A:$C,3,0)</f>
        <v>小花</v>
      </c>
      <c r="H624" s="67">
        <f t="shared" si="145"/>
        <v>10</v>
      </c>
      <c r="I624" s="68">
        <v>140</v>
      </c>
      <c r="J624" s="68" t="s">
        <v>32</v>
      </c>
      <c r="K624" s="68" t="s">
        <v>33</v>
      </c>
      <c r="L624" s="69">
        <v>7</v>
      </c>
      <c r="M624" s="65">
        <f t="shared" si="143"/>
        <v>0.15650311844475</v>
      </c>
      <c r="N624" s="69"/>
      <c r="O624" s="67"/>
      <c r="P624" s="74"/>
      <c r="Q624" s="71">
        <f>VLOOKUP($F624,[2]装箱单!$A:$E,5,0)</f>
        <v>40.005</v>
      </c>
      <c r="R624" s="71">
        <f>VLOOKUP($F624,[2]装箱单!$A:$F,6,0)</f>
        <v>26.67</v>
      </c>
      <c r="S624" s="71">
        <f>VLOOKUP($F624,[2]装箱单!$A:$G,7,0)</f>
        <v>20.955</v>
      </c>
      <c r="T624" s="72">
        <f>VLOOKUP($F624,[2]装箱单!$A:$J,10,0)</f>
        <v>0.02235758834925</v>
      </c>
      <c r="U624" s="73">
        <f t="shared" si="144"/>
        <v>0.15650311844475</v>
      </c>
      <c r="V624" s="12"/>
    </row>
    <row r="625" s="1" customFormat="1" ht="29.1" customHeight="1" spans="1:22">
      <c r="A625" s="62">
        <v>46251</v>
      </c>
      <c r="B625" s="63" t="s">
        <v>2005</v>
      </c>
      <c r="C625" s="64" t="s">
        <v>2007</v>
      </c>
      <c r="D625" s="66">
        <v>260770</v>
      </c>
      <c r="E625" s="67"/>
      <c r="F625" s="66">
        <v>260776</v>
      </c>
      <c r="G625" s="67" t="str">
        <f>VLOOKUP(F625,[2]装箱单!$A:$C,3,0)</f>
        <v>小灰</v>
      </c>
      <c r="H625" s="67">
        <f t="shared" si="145"/>
        <v>10</v>
      </c>
      <c r="I625" s="68">
        <v>100</v>
      </c>
      <c r="J625" s="68" t="s">
        <v>32</v>
      </c>
      <c r="K625" s="68" t="s">
        <v>33</v>
      </c>
      <c r="L625" s="69">
        <v>5</v>
      </c>
      <c r="M625" s="65">
        <f t="shared" si="143"/>
        <v>0.11178794174625</v>
      </c>
      <c r="N625" s="69"/>
      <c r="O625" s="67"/>
      <c r="P625" s="74"/>
      <c r="Q625" s="71">
        <f>VLOOKUP($F625,[2]装箱单!$A:$E,5,0)</f>
        <v>40.005</v>
      </c>
      <c r="R625" s="71">
        <f>VLOOKUP($F625,[2]装箱单!$A:$F,6,0)</f>
        <v>26.67</v>
      </c>
      <c r="S625" s="71">
        <f>VLOOKUP($F625,[2]装箱单!$A:$G,7,0)</f>
        <v>20.955</v>
      </c>
      <c r="T625" s="72">
        <f>VLOOKUP($F625,[2]装箱单!$A:$J,10,0)</f>
        <v>0.02235758834925</v>
      </c>
      <c r="U625" s="73">
        <f t="shared" si="144"/>
        <v>0.11178794174625</v>
      </c>
      <c r="V625" s="12"/>
    </row>
    <row r="626" s="1" customFormat="1" ht="29.1" customHeight="1" spans="1:22">
      <c r="A626" s="62">
        <v>46251</v>
      </c>
      <c r="B626" s="63" t="s">
        <v>2005</v>
      </c>
      <c r="C626" s="64" t="s">
        <v>2007</v>
      </c>
      <c r="D626" s="66">
        <v>260770</v>
      </c>
      <c r="E626" s="67"/>
      <c r="F626" s="66">
        <v>260773</v>
      </c>
      <c r="G626" s="67" t="str">
        <f>VLOOKUP(F626,[2]装箱单!$A:$C,3,0)</f>
        <v>小紫</v>
      </c>
      <c r="H626" s="67">
        <f t="shared" si="145"/>
        <v>10</v>
      </c>
      <c r="I626" s="68">
        <v>160</v>
      </c>
      <c r="J626" s="68" t="s">
        <v>32</v>
      </c>
      <c r="K626" s="68" t="s">
        <v>33</v>
      </c>
      <c r="L626" s="69">
        <v>8</v>
      </c>
      <c r="M626" s="65">
        <f t="shared" si="143"/>
        <v>0.178860706794</v>
      </c>
      <c r="N626" s="69"/>
      <c r="O626" s="67"/>
      <c r="P626" s="74"/>
      <c r="Q626" s="71">
        <f>VLOOKUP($F626,[2]装箱单!$A:$E,5,0)</f>
        <v>40.005</v>
      </c>
      <c r="R626" s="71">
        <f>VLOOKUP($F626,[2]装箱单!$A:$F,6,0)</f>
        <v>26.67</v>
      </c>
      <c r="S626" s="71">
        <f>VLOOKUP($F626,[2]装箱单!$A:$G,7,0)</f>
        <v>20.955</v>
      </c>
      <c r="T626" s="72">
        <f>VLOOKUP($F626,[2]装箱单!$A:$J,10,0)</f>
        <v>0.02235758834925</v>
      </c>
      <c r="U626" s="73">
        <f t="shared" si="144"/>
        <v>0.178860706794</v>
      </c>
      <c r="V626" s="12"/>
    </row>
    <row r="627" s="1" customFormat="1" ht="29.1" customHeight="1" spans="1:22">
      <c r="A627" s="62">
        <v>46251</v>
      </c>
      <c r="B627" s="63" t="s">
        <v>2005</v>
      </c>
      <c r="C627" s="64" t="s">
        <v>2007</v>
      </c>
      <c r="D627" s="66">
        <v>260770</v>
      </c>
      <c r="E627" s="67"/>
      <c r="F627" s="66">
        <v>260774</v>
      </c>
      <c r="G627" s="67" t="str">
        <f>VLOOKUP(F627,[2]装箱单!$A:$C,3,0)</f>
        <v>小兰</v>
      </c>
      <c r="H627" s="67">
        <f t="shared" si="145"/>
        <v>10</v>
      </c>
      <c r="I627" s="68">
        <v>100</v>
      </c>
      <c r="J627" s="68" t="s">
        <v>32</v>
      </c>
      <c r="K627" s="68" t="s">
        <v>33</v>
      </c>
      <c r="L627" s="69">
        <v>5</v>
      </c>
      <c r="M627" s="65">
        <f t="shared" si="143"/>
        <v>0.11178794174625</v>
      </c>
      <c r="N627" s="69"/>
      <c r="O627" s="67"/>
      <c r="P627" s="74"/>
      <c r="Q627" s="71">
        <f>VLOOKUP($F627,[2]装箱单!$A:$E,5,0)</f>
        <v>40.005</v>
      </c>
      <c r="R627" s="71">
        <f>VLOOKUP($F627,[2]装箱单!$A:$F,6,0)</f>
        <v>26.67</v>
      </c>
      <c r="S627" s="71">
        <f>VLOOKUP($F627,[2]装箱单!$A:$G,7,0)</f>
        <v>20.955</v>
      </c>
      <c r="T627" s="72">
        <f>VLOOKUP($F627,[2]装箱单!$A:$J,10,0)</f>
        <v>0.02235758834925</v>
      </c>
      <c r="U627" s="73">
        <f t="shared" si="144"/>
        <v>0.11178794174625</v>
      </c>
      <c r="V627" s="12"/>
    </row>
    <row r="628" s="1" customFormat="1" ht="29.1" customHeight="1" spans="1:22">
      <c r="A628" s="62">
        <v>46251</v>
      </c>
      <c r="B628" s="63" t="s">
        <v>2005</v>
      </c>
      <c r="C628" s="64" t="s">
        <v>2007</v>
      </c>
      <c r="D628" s="66">
        <v>260770</v>
      </c>
      <c r="E628" s="67"/>
      <c r="F628" s="66">
        <v>260772</v>
      </c>
      <c r="G628" s="67" t="str">
        <f>VLOOKUP(F628,[2]装箱单!$A:$C,3,0)</f>
        <v>小白</v>
      </c>
      <c r="H628" s="67">
        <f t="shared" si="145"/>
        <v>10</v>
      </c>
      <c r="I628" s="68">
        <v>120</v>
      </c>
      <c r="J628" s="68" t="s">
        <v>32</v>
      </c>
      <c r="K628" s="68" t="s">
        <v>33</v>
      </c>
      <c r="L628" s="69">
        <v>6</v>
      </c>
      <c r="M628" s="65">
        <f t="shared" si="143"/>
        <v>0.1341455300955</v>
      </c>
      <c r="N628" s="69"/>
      <c r="O628" s="67"/>
      <c r="P628" s="74"/>
      <c r="Q628" s="71">
        <f>VLOOKUP($F628,[2]装箱单!$A:$E,5,0)</f>
        <v>40.005</v>
      </c>
      <c r="R628" s="71">
        <f>VLOOKUP($F628,[2]装箱单!$A:$F,6,0)</f>
        <v>26.67</v>
      </c>
      <c r="S628" s="71">
        <f>VLOOKUP($F628,[2]装箱单!$A:$G,7,0)</f>
        <v>20.955</v>
      </c>
      <c r="T628" s="72">
        <f>VLOOKUP($F628,[2]装箱单!$A:$J,10,0)</f>
        <v>0.02235758834925</v>
      </c>
      <c r="U628" s="73">
        <f t="shared" si="144"/>
        <v>0.1341455300955</v>
      </c>
      <c r="V628" s="12"/>
    </row>
    <row r="629" s="1" customFormat="1" ht="29.1" customHeight="1" spans="1:22">
      <c r="A629" s="62">
        <v>46251</v>
      </c>
      <c r="B629" s="63" t="s">
        <v>2005</v>
      </c>
      <c r="C629" s="64" t="s">
        <v>2008</v>
      </c>
      <c r="D629" s="66">
        <v>261730</v>
      </c>
      <c r="E629" s="67"/>
      <c r="F629" s="66">
        <v>261732</v>
      </c>
      <c r="G629" s="67" t="str">
        <f>VLOOKUP(F629,[2]装箱单!$A:$C,3,0)</f>
        <v>欧诺</v>
      </c>
      <c r="H629" s="67">
        <f t="shared" ref="H629:H639" si="146">1000/10</f>
        <v>100</v>
      </c>
      <c r="I629" s="68">
        <v>200</v>
      </c>
      <c r="J629" s="68" t="s">
        <v>32</v>
      </c>
      <c r="K629" s="68" t="s">
        <v>33</v>
      </c>
      <c r="L629" s="69">
        <v>20</v>
      </c>
      <c r="M629" s="65">
        <f t="shared" si="143"/>
        <v>1.5747712456125</v>
      </c>
      <c r="N629" s="69"/>
      <c r="O629" s="67"/>
      <c r="P629" s="74"/>
      <c r="Q629" s="71">
        <f>VLOOKUP($F629,[2]装箱单!$A:$E,5,0)</f>
        <v>52.705</v>
      </c>
      <c r="R629" s="71">
        <f>VLOOKUP($F629,[2]装箱单!$A:$F,6,0)</f>
        <v>41.275</v>
      </c>
      <c r="S629" s="71">
        <f>VLOOKUP($F629,[2]装箱单!$A:$G,7,0)</f>
        <v>36.195</v>
      </c>
      <c r="T629" s="72">
        <f>VLOOKUP($F629,[2]装箱单!$A:$J,10,0)</f>
        <v>0.078738562280625</v>
      </c>
      <c r="U629" s="73">
        <f t="shared" si="144"/>
        <v>1.5747712456125</v>
      </c>
      <c r="V629" s="12"/>
    </row>
    <row r="630" s="1" customFormat="1" ht="29.1" customHeight="1" spans="1:22">
      <c r="A630" s="62">
        <v>46251</v>
      </c>
      <c r="B630" s="63" t="s">
        <v>2005</v>
      </c>
      <c r="C630" s="64" t="s">
        <v>2008</v>
      </c>
      <c r="D630" s="66">
        <v>261730</v>
      </c>
      <c r="E630" s="67"/>
      <c r="F630" s="66">
        <v>261741</v>
      </c>
      <c r="G630" s="67" t="str">
        <f>VLOOKUP(F630,[2]装箱单!$A:$C,3,0)</f>
        <v>欧曼</v>
      </c>
      <c r="H630" s="67">
        <f t="shared" si="146"/>
        <v>100</v>
      </c>
      <c r="I630" s="68">
        <f>+L630*10</f>
        <v>180</v>
      </c>
      <c r="J630" s="68" t="s">
        <v>32</v>
      </c>
      <c r="K630" s="68" t="s">
        <v>33</v>
      </c>
      <c r="L630" s="69">
        <v>18</v>
      </c>
      <c r="M630" s="65">
        <f t="shared" si="143"/>
        <v>1.41729412105125</v>
      </c>
      <c r="N630" s="69"/>
      <c r="O630" s="67"/>
      <c r="P630" s="74"/>
      <c r="Q630" s="71">
        <f>VLOOKUP($F630,[2]装箱单!$A:$E,5,0)</f>
        <v>52.705</v>
      </c>
      <c r="R630" s="71">
        <f>VLOOKUP($F630,[2]装箱单!$A:$F,6,0)</f>
        <v>41.275</v>
      </c>
      <c r="S630" s="71">
        <f>VLOOKUP($F630,[2]装箱单!$A:$G,7,0)</f>
        <v>36.195</v>
      </c>
      <c r="T630" s="72">
        <f>VLOOKUP($F630,[2]装箱单!$A:$J,10,0)</f>
        <v>0.078738562280625</v>
      </c>
      <c r="U630" s="73">
        <f t="shared" si="144"/>
        <v>1.41729412105125</v>
      </c>
      <c r="V630" s="12"/>
    </row>
    <row r="631" s="1" customFormat="1" ht="29.1" customHeight="1" spans="1:22">
      <c r="A631" s="62">
        <v>46251</v>
      </c>
      <c r="B631" s="63" t="s">
        <v>2005</v>
      </c>
      <c r="C631" s="64" t="s">
        <v>2008</v>
      </c>
      <c r="D631" s="66">
        <v>261730</v>
      </c>
      <c r="E631" s="67"/>
      <c r="F631" s="66">
        <v>261742</v>
      </c>
      <c r="G631" s="67" t="str">
        <f>VLOOKUP(F631,[2]装箱单!$A:$C,3,0)</f>
        <v>吉娜</v>
      </c>
      <c r="H631" s="67">
        <f t="shared" si="146"/>
        <v>100</v>
      </c>
      <c r="I631" s="68">
        <v>200</v>
      </c>
      <c r="J631" s="68" t="s">
        <v>32</v>
      </c>
      <c r="K631" s="68" t="s">
        <v>33</v>
      </c>
      <c r="L631" s="69">
        <v>20</v>
      </c>
      <c r="M631" s="65">
        <f t="shared" si="143"/>
        <v>1.5747712456125</v>
      </c>
      <c r="N631" s="69"/>
      <c r="O631" s="67"/>
      <c r="P631" s="74"/>
      <c r="Q631" s="71">
        <f>VLOOKUP($F631,[2]装箱单!$A:$E,5,0)</f>
        <v>52.705</v>
      </c>
      <c r="R631" s="71">
        <f>VLOOKUP($F631,[2]装箱单!$A:$F,6,0)</f>
        <v>41.275</v>
      </c>
      <c r="S631" s="71">
        <f>VLOOKUP($F631,[2]装箱单!$A:$G,7,0)</f>
        <v>36.195</v>
      </c>
      <c r="T631" s="72">
        <f>VLOOKUP($F631,[2]装箱单!$A:$J,10,0)</f>
        <v>0.078738562280625</v>
      </c>
      <c r="U631" s="73">
        <f t="shared" si="144"/>
        <v>1.5747712456125</v>
      </c>
      <c r="V631" s="12"/>
    </row>
    <row r="632" s="1" customFormat="1" ht="29.1" customHeight="1" spans="1:22">
      <c r="A632" s="62">
        <v>46251</v>
      </c>
      <c r="B632" s="63" t="s">
        <v>2005</v>
      </c>
      <c r="C632" s="64" t="s">
        <v>2008</v>
      </c>
      <c r="D632" s="66">
        <v>261730</v>
      </c>
      <c r="E632" s="67"/>
      <c r="F632" s="66">
        <v>261743</v>
      </c>
      <c r="G632" s="67" t="str">
        <f>VLOOKUP(F632,[2]装箱单!$A:$C,3,0)</f>
        <v>妮塔</v>
      </c>
      <c r="H632" s="67">
        <f t="shared" si="146"/>
        <v>100</v>
      </c>
      <c r="I632" s="68">
        <v>200</v>
      </c>
      <c r="J632" s="68" t="s">
        <v>32</v>
      </c>
      <c r="K632" s="68" t="s">
        <v>33</v>
      </c>
      <c r="L632" s="69">
        <v>20</v>
      </c>
      <c r="M632" s="65">
        <f t="shared" si="143"/>
        <v>1.5747712456125</v>
      </c>
      <c r="N632" s="69"/>
      <c r="O632" s="67"/>
      <c r="P632" s="74"/>
      <c r="Q632" s="71">
        <f>VLOOKUP($F632,[2]装箱单!$A:$E,5,0)</f>
        <v>52.705</v>
      </c>
      <c r="R632" s="71">
        <f>VLOOKUP($F632,[2]装箱单!$A:$F,6,0)</f>
        <v>41.275</v>
      </c>
      <c r="S632" s="71">
        <f>VLOOKUP($F632,[2]装箱单!$A:$G,7,0)</f>
        <v>36.195</v>
      </c>
      <c r="T632" s="72">
        <f>VLOOKUP($F632,[2]装箱单!$A:$J,10,0)</f>
        <v>0.078738562280625</v>
      </c>
      <c r="U632" s="73">
        <f t="shared" si="144"/>
        <v>1.5747712456125</v>
      </c>
      <c r="V632" s="12"/>
    </row>
    <row r="633" s="1" customFormat="1" ht="29.1" customHeight="1" spans="1:22">
      <c r="A633" s="62">
        <v>46251</v>
      </c>
      <c r="B633" s="63" t="s">
        <v>2005</v>
      </c>
      <c r="C633" s="64" t="s">
        <v>2008</v>
      </c>
      <c r="D633" s="66">
        <v>261730</v>
      </c>
      <c r="E633" s="67"/>
      <c r="F633" s="66">
        <v>261745</v>
      </c>
      <c r="G633" s="67" t="str">
        <f>VLOOKUP(F633,[2]装箱单!$A:$C,3,0)</f>
        <v>酷咪</v>
      </c>
      <c r="H633" s="67">
        <f t="shared" si="146"/>
        <v>100</v>
      </c>
      <c r="I633" s="68">
        <v>200</v>
      </c>
      <c r="J633" s="68" t="s">
        <v>32</v>
      </c>
      <c r="K633" s="68" t="s">
        <v>33</v>
      </c>
      <c r="L633" s="69">
        <v>20</v>
      </c>
      <c r="M633" s="65">
        <f t="shared" si="143"/>
        <v>1.5747712456125</v>
      </c>
      <c r="N633" s="69"/>
      <c r="O633" s="67"/>
      <c r="P633" s="74"/>
      <c r="Q633" s="71">
        <f>VLOOKUP($F633,[2]装箱单!$A:$E,5,0)</f>
        <v>52.705</v>
      </c>
      <c r="R633" s="71">
        <f>VLOOKUP($F633,[2]装箱单!$A:$F,6,0)</f>
        <v>41.275</v>
      </c>
      <c r="S633" s="71">
        <f>VLOOKUP($F633,[2]装箱单!$A:$G,7,0)</f>
        <v>36.195</v>
      </c>
      <c r="T633" s="72">
        <f>VLOOKUP($F633,[2]装箱单!$A:$J,10,0)</f>
        <v>0.078738562280625</v>
      </c>
      <c r="U633" s="73">
        <f t="shared" si="144"/>
        <v>1.5747712456125</v>
      </c>
      <c r="V633" s="12"/>
    </row>
    <row r="634" s="1" customFormat="1" ht="29.1" customHeight="1" spans="1:22">
      <c r="A634" s="62">
        <v>46251</v>
      </c>
      <c r="B634" s="63" t="s">
        <v>2005</v>
      </c>
      <c r="C634" s="64" t="s">
        <v>2008</v>
      </c>
      <c r="D634" s="66">
        <v>261730</v>
      </c>
      <c r="E634" s="67"/>
      <c r="F634" s="66">
        <v>261734</v>
      </c>
      <c r="G634" s="67" t="str">
        <f>VLOOKUP(F634,[2]装箱单!$A:$C,3,0)</f>
        <v>麦迪</v>
      </c>
      <c r="H634" s="67">
        <f t="shared" si="146"/>
        <v>100</v>
      </c>
      <c r="I634" s="68">
        <v>200</v>
      </c>
      <c r="J634" s="68" t="s">
        <v>32</v>
      </c>
      <c r="K634" s="68" t="s">
        <v>33</v>
      </c>
      <c r="L634" s="69">
        <v>20</v>
      </c>
      <c r="M634" s="65">
        <f t="shared" si="143"/>
        <v>1.5747712456125</v>
      </c>
      <c r="N634" s="69"/>
      <c r="O634" s="67"/>
      <c r="P634" s="74"/>
      <c r="Q634" s="71">
        <f>VLOOKUP($F634,[2]装箱单!$A:$E,5,0)</f>
        <v>52.705</v>
      </c>
      <c r="R634" s="71">
        <f>VLOOKUP($F634,[2]装箱单!$A:$F,6,0)</f>
        <v>41.275</v>
      </c>
      <c r="S634" s="71">
        <f>VLOOKUP($F634,[2]装箱单!$A:$G,7,0)</f>
        <v>36.195</v>
      </c>
      <c r="T634" s="72">
        <f>VLOOKUP($F634,[2]装箱单!$A:$J,10,0)</f>
        <v>0.078738562280625</v>
      </c>
      <c r="U634" s="73">
        <f t="shared" si="144"/>
        <v>1.5747712456125</v>
      </c>
      <c r="V634" s="12"/>
    </row>
    <row r="635" s="1" customFormat="1" ht="29.1" customHeight="1" spans="1:22">
      <c r="A635" s="62">
        <v>46251</v>
      </c>
      <c r="B635" s="63" t="s">
        <v>2005</v>
      </c>
      <c r="C635" s="64" t="s">
        <v>2008</v>
      </c>
      <c r="D635" s="66">
        <v>261730</v>
      </c>
      <c r="E635" s="67"/>
      <c r="F635" s="66">
        <v>261737</v>
      </c>
      <c r="G635" s="67" t="str">
        <f>VLOOKUP(F635,[2]装箱单!$A:$C,3,0)</f>
        <v>克拉</v>
      </c>
      <c r="H635" s="67">
        <f t="shared" si="146"/>
        <v>100</v>
      </c>
      <c r="I635" s="68">
        <v>200</v>
      </c>
      <c r="J635" s="68" t="s">
        <v>32</v>
      </c>
      <c r="K635" s="68" t="s">
        <v>33</v>
      </c>
      <c r="L635" s="69">
        <v>20</v>
      </c>
      <c r="M635" s="65">
        <f t="shared" si="143"/>
        <v>1.5747712456125</v>
      </c>
      <c r="N635" s="69"/>
      <c r="O635" s="67"/>
      <c r="P635" s="74"/>
      <c r="Q635" s="71">
        <f>VLOOKUP($F635,[2]装箱单!$A:$E,5,0)</f>
        <v>52.705</v>
      </c>
      <c r="R635" s="71">
        <f>VLOOKUP($F635,[2]装箱单!$A:$F,6,0)</f>
        <v>41.275</v>
      </c>
      <c r="S635" s="71">
        <f>VLOOKUP($F635,[2]装箱单!$A:$G,7,0)</f>
        <v>36.195</v>
      </c>
      <c r="T635" s="72">
        <f>VLOOKUP($F635,[2]装箱单!$A:$J,10,0)</f>
        <v>0.078738562280625</v>
      </c>
      <c r="U635" s="73">
        <f t="shared" si="144"/>
        <v>1.5747712456125</v>
      </c>
      <c r="V635" s="12"/>
    </row>
    <row r="636" s="1" customFormat="1" ht="29.1" customHeight="1" spans="1:22">
      <c r="A636" s="62">
        <v>46251</v>
      </c>
      <c r="B636" s="63" t="s">
        <v>2005</v>
      </c>
      <c r="C636" s="64" t="s">
        <v>2008</v>
      </c>
      <c r="D636" s="66">
        <v>261730</v>
      </c>
      <c r="E636" s="67"/>
      <c r="F636" s="66">
        <v>261733</v>
      </c>
      <c r="G636" s="67" t="str">
        <f>VLOOKUP(F636,[2]装箱单!$A:$C,3,0)</f>
        <v>安吉拉</v>
      </c>
      <c r="H636" s="67">
        <f t="shared" si="146"/>
        <v>100</v>
      </c>
      <c r="I636" s="68">
        <v>200</v>
      </c>
      <c r="J636" s="68" t="s">
        <v>32</v>
      </c>
      <c r="K636" s="68" t="s">
        <v>33</v>
      </c>
      <c r="L636" s="69">
        <v>20</v>
      </c>
      <c r="M636" s="65">
        <f t="shared" si="143"/>
        <v>1.5747712456125</v>
      </c>
      <c r="N636" s="69"/>
      <c r="O636" s="67"/>
      <c r="P636" s="74"/>
      <c r="Q636" s="71">
        <f>VLOOKUP($F636,[2]装箱单!$A:$E,5,0)</f>
        <v>52.705</v>
      </c>
      <c r="R636" s="71">
        <f>VLOOKUP($F636,[2]装箱单!$A:$F,6,0)</f>
        <v>41.275</v>
      </c>
      <c r="S636" s="71">
        <f>VLOOKUP($F636,[2]装箱单!$A:$G,7,0)</f>
        <v>36.195</v>
      </c>
      <c r="T636" s="72">
        <f>VLOOKUP($F636,[2]装箱单!$A:$J,10,0)</f>
        <v>0.078738562280625</v>
      </c>
      <c r="U636" s="73">
        <f t="shared" si="144"/>
        <v>1.5747712456125</v>
      </c>
      <c r="V636" s="12"/>
    </row>
    <row r="637" s="1" customFormat="1" ht="29.1" customHeight="1" spans="1:22">
      <c r="A637" s="62">
        <v>46251</v>
      </c>
      <c r="B637" s="63" t="s">
        <v>2005</v>
      </c>
      <c r="C637" s="64" t="s">
        <v>2008</v>
      </c>
      <c r="D637" s="66">
        <v>261730</v>
      </c>
      <c r="E637" s="67"/>
      <c r="F637" s="66">
        <v>261731</v>
      </c>
      <c r="G637" s="67" t="str">
        <f>VLOOKUP(F637,[2]装箱单!$A:$C,3,0)</f>
        <v>酷乐</v>
      </c>
      <c r="H637" s="67">
        <f t="shared" si="146"/>
        <v>100</v>
      </c>
      <c r="I637" s="68">
        <v>170</v>
      </c>
      <c r="J637" s="68" t="s">
        <v>32</v>
      </c>
      <c r="K637" s="68" t="s">
        <v>33</v>
      </c>
      <c r="L637" s="69">
        <v>17</v>
      </c>
      <c r="M637" s="65">
        <f t="shared" si="143"/>
        <v>1.33855555877062</v>
      </c>
      <c r="N637" s="69"/>
      <c r="O637" s="67"/>
      <c r="P637" s="74"/>
      <c r="Q637" s="71">
        <f>VLOOKUP($F637,[2]装箱单!$A:$E,5,0)</f>
        <v>52.705</v>
      </c>
      <c r="R637" s="71">
        <f>VLOOKUP($F637,[2]装箱单!$A:$F,6,0)</f>
        <v>41.275</v>
      </c>
      <c r="S637" s="71">
        <f>VLOOKUP($F637,[2]装箱单!$A:$G,7,0)</f>
        <v>36.195</v>
      </c>
      <c r="T637" s="72">
        <f>VLOOKUP($F637,[2]装箱单!$A:$J,10,0)</f>
        <v>0.078738562280625</v>
      </c>
      <c r="U637" s="73">
        <f t="shared" si="144"/>
        <v>1.33855555877062</v>
      </c>
      <c r="V637" s="12"/>
    </row>
    <row r="638" s="1" customFormat="1" ht="29.1" customHeight="1" spans="1:22">
      <c r="A638" s="62">
        <v>46251</v>
      </c>
      <c r="B638" s="63" t="s">
        <v>2005</v>
      </c>
      <c r="C638" s="64" t="s">
        <v>2008</v>
      </c>
      <c r="D638" s="66">
        <v>261730</v>
      </c>
      <c r="E638" s="67"/>
      <c r="F638" s="66">
        <v>261740</v>
      </c>
      <c r="G638" s="67" t="str">
        <f>VLOOKUP(F638,[2]装箱单!$A:$C,3,0)</f>
        <v>安然</v>
      </c>
      <c r="H638" s="67">
        <f t="shared" si="146"/>
        <v>100</v>
      </c>
      <c r="I638" s="68">
        <f>+L638*10</f>
        <v>200</v>
      </c>
      <c r="J638" s="68" t="s">
        <v>32</v>
      </c>
      <c r="K638" s="68" t="s">
        <v>33</v>
      </c>
      <c r="L638" s="69">
        <v>20</v>
      </c>
      <c r="M638" s="65">
        <f t="shared" si="143"/>
        <v>1.5747712456125</v>
      </c>
      <c r="N638" s="69"/>
      <c r="O638" s="67"/>
      <c r="P638" s="74"/>
      <c r="Q638" s="71">
        <f>VLOOKUP($F638,[2]装箱单!$A:$E,5,0)</f>
        <v>52.705</v>
      </c>
      <c r="R638" s="71">
        <f>VLOOKUP($F638,[2]装箱单!$A:$F,6,0)</f>
        <v>41.275</v>
      </c>
      <c r="S638" s="71">
        <f>VLOOKUP($F638,[2]装箱单!$A:$G,7,0)</f>
        <v>36.195</v>
      </c>
      <c r="T638" s="72">
        <f>VLOOKUP($F638,[2]装箱单!$A:$J,10,0)</f>
        <v>0.078738562280625</v>
      </c>
      <c r="U638" s="73">
        <f t="shared" si="144"/>
        <v>1.5747712456125</v>
      </c>
      <c r="V638" s="12"/>
    </row>
    <row r="639" s="1" customFormat="1" ht="29.1" customHeight="1" spans="1:22">
      <c r="A639" s="62">
        <v>46251</v>
      </c>
      <c r="B639" s="63" t="s">
        <v>2005</v>
      </c>
      <c r="C639" s="64" t="s">
        <v>2008</v>
      </c>
      <c r="D639" s="66">
        <v>261730</v>
      </c>
      <c r="E639" s="67"/>
      <c r="F639" s="66">
        <v>261746</v>
      </c>
      <c r="G639" s="67" t="str">
        <f>VLOOKUP(F639,[2]装箱单!$A:$C,3,0)</f>
        <v>酷拉</v>
      </c>
      <c r="H639" s="67">
        <f t="shared" si="146"/>
        <v>100</v>
      </c>
      <c r="I639" s="68">
        <f>+L639*10</f>
        <v>200</v>
      </c>
      <c r="J639" s="68" t="s">
        <v>32</v>
      </c>
      <c r="K639" s="68" t="s">
        <v>33</v>
      </c>
      <c r="L639" s="69">
        <v>20</v>
      </c>
      <c r="M639" s="65">
        <f t="shared" si="143"/>
        <v>1.5747712456125</v>
      </c>
      <c r="N639" s="69"/>
      <c r="O639" s="67"/>
      <c r="P639" s="74"/>
      <c r="Q639" s="71">
        <f>VLOOKUP($F639,[2]装箱单!$A:$E,5,0)</f>
        <v>52.705</v>
      </c>
      <c r="R639" s="71">
        <f>VLOOKUP($F639,[2]装箱单!$A:$F,6,0)</f>
        <v>41.275</v>
      </c>
      <c r="S639" s="71">
        <f>VLOOKUP($F639,[2]装箱单!$A:$G,7,0)</f>
        <v>36.195</v>
      </c>
      <c r="T639" s="72">
        <f>VLOOKUP($F639,[2]装箱单!$A:$J,10,0)</f>
        <v>0.078738562280625</v>
      </c>
      <c r="U639" s="73">
        <f t="shared" si="144"/>
        <v>1.5747712456125</v>
      </c>
      <c r="V639" s="12"/>
    </row>
    <row r="640" s="1" customFormat="1" ht="29.1" customHeight="1" spans="1:22">
      <c r="A640" s="62">
        <v>46251</v>
      </c>
      <c r="B640" s="63" t="s">
        <v>2005</v>
      </c>
      <c r="C640" s="64" t="s">
        <v>2009</v>
      </c>
      <c r="D640" s="66">
        <v>261050</v>
      </c>
      <c r="E640" s="67"/>
      <c r="F640" s="66">
        <v>261054</v>
      </c>
      <c r="G640" s="67" t="str">
        <f>VLOOKUP(F640,[2]装箱单!$A:$C,3,0)</f>
        <v>桃桃</v>
      </c>
      <c r="H640" s="67">
        <f t="shared" ref="H640:H647" si="147">500/20</f>
        <v>25</v>
      </c>
      <c r="I640" s="68">
        <v>220</v>
      </c>
      <c r="J640" s="68" t="s">
        <v>32</v>
      </c>
      <c r="K640" s="68" t="s">
        <v>33</v>
      </c>
      <c r="L640" s="69">
        <v>11</v>
      </c>
      <c r="M640" s="65">
        <f t="shared" si="143"/>
        <v>0.131227608512</v>
      </c>
      <c r="N640" s="69"/>
      <c r="O640" s="67"/>
      <c r="P640" s="74"/>
      <c r="Q640" s="71">
        <f>VLOOKUP($F640,[2]装箱单!$A:$E,5,0)</f>
        <v>33.02</v>
      </c>
      <c r="R640" s="71">
        <f>VLOOKUP($F640,[2]装箱单!$A:$F,6,0)</f>
        <v>20.32</v>
      </c>
      <c r="S640" s="71">
        <f>VLOOKUP($F640,[2]装箱单!$A:$G,7,0)</f>
        <v>17.78</v>
      </c>
      <c r="T640" s="72">
        <f>VLOOKUP($F640,[2]装箱单!$A:$J,10,0)</f>
        <v>0.011929782592</v>
      </c>
      <c r="U640" s="73">
        <f t="shared" si="144"/>
        <v>0.131227608512</v>
      </c>
      <c r="V640" s="12"/>
    </row>
    <row r="641" s="1" customFormat="1" ht="29.1" customHeight="1" spans="1:22">
      <c r="A641" s="62">
        <v>46251</v>
      </c>
      <c r="B641" s="63" t="s">
        <v>2005</v>
      </c>
      <c r="C641" s="64" t="s">
        <v>2009</v>
      </c>
      <c r="D641" s="66">
        <v>261050</v>
      </c>
      <c r="E641" s="67"/>
      <c r="F641" s="66">
        <v>261055</v>
      </c>
      <c r="G641" s="67" t="str">
        <f>VLOOKUP(F641,[2]装箱单!$A:$C,3,0)</f>
        <v>紫紫</v>
      </c>
      <c r="H641" s="67">
        <f t="shared" si="147"/>
        <v>25</v>
      </c>
      <c r="I641" s="68">
        <v>120</v>
      </c>
      <c r="J641" s="68" t="s">
        <v>32</v>
      </c>
      <c r="K641" s="68" t="s">
        <v>33</v>
      </c>
      <c r="L641" s="69">
        <v>6</v>
      </c>
      <c r="M641" s="65">
        <f t="shared" si="143"/>
        <v>0.071578695552</v>
      </c>
      <c r="N641" s="69"/>
      <c r="O641" s="67"/>
      <c r="P641" s="74"/>
      <c r="Q641" s="71">
        <f>VLOOKUP($F641,[2]装箱单!$A:$E,5,0)</f>
        <v>33.02</v>
      </c>
      <c r="R641" s="71">
        <f>VLOOKUP($F641,[2]装箱单!$A:$F,6,0)</f>
        <v>20.32</v>
      </c>
      <c r="S641" s="71">
        <f>VLOOKUP($F641,[2]装箱单!$A:$G,7,0)</f>
        <v>17.78</v>
      </c>
      <c r="T641" s="72">
        <f>VLOOKUP($F641,[2]装箱单!$A:$J,10,0)</f>
        <v>0.011929782592</v>
      </c>
      <c r="U641" s="73">
        <f t="shared" si="144"/>
        <v>0.071578695552</v>
      </c>
      <c r="V641" s="12"/>
    </row>
    <row r="642" s="1" customFormat="1" ht="29.1" customHeight="1" spans="1:22">
      <c r="A642" s="62">
        <v>46251</v>
      </c>
      <c r="B642" s="63" t="s">
        <v>2005</v>
      </c>
      <c r="C642" s="64" t="s">
        <v>2009</v>
      </c>
      <c r="D642" s="66">
        <v>261050</v>
      </c>
      <c r="E642" s="67"/>
      <c r="F642" s="66">
        <v>261053</v>
      </c>
      <c r="G642" s="67" t="str">
        <f>VLOOKUP(F642,[2]装箱单!$A:$C,3,0)</f>
        <v>兰兰</v>
      </c>
      <c r="H642" s="67">
        <f t="shared" si="147"/>
        <v>25</v>
      </c>
      <c r="I642" s="68">
        <f>+L642*20</f>
        <v>100</v>
      </c>
      <c r="J642" s="68" t="s">
        <v>32</v>
      </c>
      <c r="K642" s="68" t="s">
        <v>33</v>
      </c>
      <c r="L642" s="69">
        <v>5</v>
      </c>
      <c r="M642" s="65">
        <f t="shared" si="143"/>
        <v>0.05964891296</v>
      </c>
      <c r="N642" s="69"/>
      <c r="O642" s="67"/>
      <c r="P642" s="74"/>
      <c r="Q642" s="71">
        <f>VLOOKUP($F642,[2]装箱单!$A:$E,5,0)</f>
        <v>33.02</v>
      </c>
      <c r="R642" s="71">
        <f>VLOOKUP($F642,[2]装箱单!$A:$F,6,0)</f>
        <v>20.32</v>
      </c>
      <c r="S642" s="71">
        <f>VLOOKUP($F642,[2]装箱单!$A:$G,7,0)</f>
        <v>17.78</v>
      </c>
      <c r="T642" s="72">
        <f>VLOOKUP($F642,[2]装箱单!$A:$J,10,0)</f>
        <v>0.011929782592</v>
      </c>
      <c r="U642" s="73">
        <f t="shared" si="144"/>
        <v>0.05964891296</v>
      </c>
      <c r="V642" s="12"/>
    </row>
    <row r="643" s="1" customFormat="1" ht="29.1" customHeight="1" spans="1:22">
      <c r="A643" s="62">
        <v>46251</v>
      </c>
      <c r="B643" s="63" t="s">
        <v>2005</v>
      </c>
      <c r="C643" s="64" t="s">
        <v>2009</v>
      </c>
      <c r="D643" s="66">
        <v>261050</v>
      </c>
      <c r="E643" s="67"/>
      <c r="F643" s="66">
        <v>261057</v>
      </c>
      <c r="G643" s="67" t="str">
        <f>VLOOKUP(F643,[2]装箱单!$A:$C,3,0)</f>
        <v>樱樱</v>
      </c>
      <c r="H643" s="67">
        <f t="shared" si="147"/>
        <v>25</v>
      </c>
      <c r="I643" s="68">
        <v>100</v>
      </c>
      <c r="J643" s="68" t="s">
        <v>32</v>
      </c>
      <c r="K643" s="68" t="s">
        <v>33</v>
      </c>
      <c r="L643" s="69">
        <v>5</v>
      </c>
      <c r="M643" s="65">
        <f t="shared" si="143"/>
        <v>0.05964891296</v>
      </c>
      <c r="N643" s="69"/>
      <c r="O643" s="67"/>
      <c r="P643" s="74"/>
      <c r="Q643" s="71">
        <f>VLOOKUP($F643,[2]装箱单!$A:$E,5,0)</f>
        <v>33.02</v>
      </c>
      <c r="R643" s="71">
        <f>VLOOKUP($F643,[2]装箱单!$A:$F,6,0)</f>
        <v>20.32</v>
      </c>
      <c r="S643" s="71">
        <f>VLOOKUP($F643,[2]装箱单!$A:$G,7,0)</f>
        <v>17.78</v>
      </c>
      <c r="T643" s="72">
        <f>VLOOKUP($F643,[2]装箱单!$A:$J,10,0)</f>
        <v>0.011929782592</v>
      </c>
      <c r="U643" s="73">
        <f t="shared" si="144"/>
        <v>0.05964891296</v>
      </c>
      <c r="V643" s="12"/>
    </row>
    <row r="644" s="1" customFormat="1" ht="29.1" customHeight="1" spans="1:22">
      <c r="A644" s="62">
        <v>46251</v>
      </c>
      <c r="B644" s="63" t="s">
        <v>2005</v>
      </c>
      <c r="C644" s="64" t="s">
        <v>2009</v>
      </c>
      <c r="D644" s="66">
        <v>261050</v>
      </c>
      <c r="E644" s="67"/>
      <c r="F644" s="66">
        <v>261058</v>
      </c>
      <c r="G644" s="67" t="str">
        <f>VLOOKUP(F644,[2]装箱单!$A:$C,3,0)</f>
        <v>莓莓</v>
      </c>
      <c r="H644" s="67">
        <f t="shared" si="147"/>
        <v>25</v>
      </c>
      <c r="I644" s="68">
        <v>120</v>
      </c>
      <c r="J644" s="68" t="s">
        <v>32</v>
      </c>
      <c r="K644" s="68" t="s">
        <v>33</v>
      </c>
      <c r="L644" s="69">
        <v>6</v>
      </c>
      <c r="M644" s="65">
        <f t="shared" si="143"/>
        <v>0.071578695552</v>
      </c>
      <c r="N644" s="69"/>
      <c r="O644" s="67"/>
      <c r="P644" s="74"/>
      <c r="Q644" s="71">
        <f>VLOOKUP($F644,[2]装箱单!$A:$E,5,0)</f>
        <v>33.02</v>
      </c>
      <c r="R644" s="71">
        <f>VLOOKUP($F644,[2]装箱单!$A:$F,6,0)</f>
        <v>20.32</v>
      </c>
      <c r="S644" s="71">
        <f>VLOOKUP($F644,[2]装箱单!$A:$G,7,0)</f>
        <v>17.78</v>
      </c>
      <c r="T644" s="72">
        <f>VLOOKUP($F644,[2]装箱单!$A:$J,10,0)</f>
        <v>0.011929782592</v>
      </c>
      <c r="U644" s="73">
        <f t="shared" si="144"/>
        <v>0.071578695552</v>
      </c>
      <c r="V644" s="12"/>
    </row>
    <row r="645" s="1" customFormat="1" ht="29.1" customHeight="1" spans="1:22">
      <c r="A645" s="62">
        <v>46251</v>
      </c>
      <c r="B645" s="63" t="s">
        <v>2005</v>
      </c>
      <c r="C645" s="64" t="s">
        <v>2009</v>
      </c>
      <c r="D645" s="66">
        <v>261050</v>
      </c>
      <c r="E645" s="67"/>
      <c r="F645" s="66">
        <v>261056</v>
      </c>
      <c r="G645" s="67" t="str">
        <f>VLOOKUP(F645,[2]装箱单!$A:$C,3,0)</f>
        <v>青青</v>
      </c>
      <c r="H645" s="67">
        <f t="shared" si="147"/>
        <v>25</v>
      </c>
      <c r="I645" s="68">
        <v>100</v>
      </c>
      <c r="J645" s="68" t="s">
        <v>32</v>
      </c>
      <c r="K645" s="68" t="s">
        <v>33</v>
      </c>
      <c r="L645" s="69">
        <v>5</v>
      </c>
      <c r="M645" s="65">
        <f t="shared" si="143"/>
        <v>0.05964891296</v>
      </c>
      <c r="N645" s="69"/>
      <c r="O645" s="67"/>
      <c r="P645" s="74"/>
      <c r="Q645" s="71">
        <f>VLOOKUP($F645,[2]装箱单!$A:$E,5,0)</f>
        <v>33.02</v>
      </c>
      <c r="R645" s="71">
        <f>VLOOKUP($F645,[2]装箱单!$A:$F,6,0)</f>
        <v>20.32</v>
      </c>
      <c r="S645" s="71">
        <f>VLOOKUP($F645,[2]装箱单!$A:$G,7,0)</f>
        <v>17.78</v>
      </c>
      <c r="T645" s="72">
        <f>VLOOKUP($F645,[2]装箱单!$A:$J,10,0)</f>
        <v>0.011929782592</v>
      </c>
      <c r="U645" s="73">
        <f t="shared" si="144"/>
        <v>0.05964891296</v>
      </c>
      <c r="V645" s="12"/>
    </row>
    <row r="646" s="1" customFormat="1" ht="29.1" customHeight="1" spans="1:22">
      <c r="A646" s="62">
        <v>46251</v>
      </c>
      <c r="B646" s="63" t="s">
        <v>2005</v>
      </c>
      <c r="C646" s="64" t="s">
        <v>2009</v>
      </c>
      <c r="D646" s="66">
        <v>261050</v>
      </c>
      <c r="E646" s="67"/>
      <c r="F646" s="66">
        <v>261052</v>
      </c>
      <c r="G646" s="67" t="str">
        <f>VLOOKUP(F646,[2]装箱单!$A:$C,3,0)</f>
        <v>橙橙</v>
      </c>
      <c r="H646" s="67">
        <f t="shared" si="147"/>
        <v>25</v>
      </c>
      <c r="I646" s="68">
        <v>100</v>
      </c>
      <c r="J646" s="68" t="s">
        <v>32</v>
      </c>
      <c r="K646" s="68" t="s">
        <v>33</v>
      </c>
      <c r="L646" s="69">
        <v>5</v>
      </c>
      <c r="M646" s="65">
        <f t="shared" si="143"/>
        <v>0.05964891296</v>
      </c>
      <c r="N646" s="69"/>
      <c r="O646" s="67"/>
      <c r="P646" s="74"/>
      <c r="Q646" s="71">
        <f>VLOOKUP($F646,[2]装箱单!$A:$E,5,0)</f>
        <v>33.02</v>
      </c>
      <c r="R646" s="71">
        <f>VLOOKUP($F646,[2]装箱单!$A:$F,6,0)</f>
        <v>20.32</v>
      </c>
      <c r="S646" s="71">
        <f>VLOOKUP($F646,[2]装箱单!$A:$G,7,0)</f>
        <v>17.78</v>
      </c>
      <c r="T646" s="72">
        <f>VLOOKUP($F646,[2]装箱单!$A:$J,10,0)</f>
        <v>0.011929782592</v>
      </c>
      <c r="U646" s="73">
        <f t="shared" si="144"/>
        <v>0.05964891296</v>
      </c>
      <c r="V646" s="12"/>
    </row>
    <row r="647" s="1" customFormat="1" ht="29.1" customHeight="1" spans="1:22">
      <c r="A647" s="62">
        <v>46251</v>
      </c>
      <c r="B647" s="63" t="s">
        <v>2005</v>
      </c>
      <c r="C647" s="64" t="s">
        <v>2009</v>
      </c>
      <c r="D647" s="66">
        <v>261050</v>
      </c>
      <c r="E647" s="67"/>
      <c r="F647" s="66">
        <v>261051</v>
      </c>
      <c r="G647" s="67" t="str">
        <f>VLOOKUP(F647,[2]装箱单!$A:$C,3,0)</f>
        <v>柠柠</v>
      </c>
      <c r="H647" s="67">
        <f t="shared" si="147"/>
        <v>25</v>
      </c>
      <c r="I647" s="68">
        <v>100</v>
      </c>
      <c r="J647" s="68" t="s">
        <v>32</v>
      </c>
      <c r="K647" s="68" t="s">
        <v>33</v>
      </c>
      <c r="L647" s="69">
        <v>5</v>
      </c>
      <c r="M647" s="65">
        <f t="shared" si="143"/>
        <v>0.05964891296</v>
      </c>
      <c r="N647" s="69"/>
      <c r="O647" s="67"/>
      <c r="P647" s="74"/>
      <c r="Q647" s="71">
        <f>VLOOKUP($F647,[2]装箱单!$A:$E,5,0)</f>
        <v>33.02</v>
      </c>
      <c r="R647" s="71">
        <f>VLOOKUP($F647,[2]装箱单!$A:$F,6,0)</f>
        <v>20.32</v>
      </c>
      <c r="S647" s="71">
        <f>VLOOKUP($F647,[2]装箱单!$A:$G,7,0)</f>
        <v>17.78</v>
      </c>
      <c r="T647" s="72">
        <f>VLOOKUP($F647,[2]装箱单!$A:$J,10,0)</f>
        <v>0.011929782592</v>
      </c>
      <c r="U647" s="73">
        <f t="shared" si="144"/>
        <v>0.05964891296</v>
      </c>
      <c r="V647" s="12"/>
    </row>
    <row r="648" s="1" customFormat="1" ht="29.1" customHeight="1" spans="1:22">
      <c r="A648" s="62">
        <v>46251</v>
      </c>
      <c r="B648" s="63" t="s">
        <v>2005</v>
      </c>
      <c r="C648" s="64" t="s">
        <v>2010</v>
      </c>
      <c r="D648" s="66">
        <v>263710</v>
      </c>
      <c r="E648" s="67"/>
      <c r="F648" s="66">
        <v>263715</v>
      </c>
      <c r="G648" s="67" t="str">
        <f>VLOOKUP(F648,[2]装箱单!$A:$C,3,0)</f>
        <v>彩发黄爱心</v>
      </c>
      <c r="H648" s="67">
        <f t="shared" ref="H648:H652" si="148">200/4</f>
        <v>50</v>
      </c>
      <c r="I648" s="68">
        <v>100</v>
      </c>
      <c r="J648" s="68" t="s">
        <v>32</v>
      </c>
      <c r="K648" s="68" t="s">
        <v>33</v>
      </c>
      <c r="L648" s="69">
        <v>25</v>
      </c>
      <c r="M648" s="65">
        <f t="shared" si="143"/>
        <v>1.9615315608</v>
      </c>
      <c r="N648" s="69"/>
      <c r="O648" s="67"/>
      <c r="P648" s="74"/>
      <c r="Q648" s="71">
        <f>VLOOKUP($F648,[2]装箱单!$A:$E,5,0)</f>
        <v>60.96</v>
      </c>
      <c r="R648" s="71">
        <f>VLOOKUP($F648,[2]装箱单!$A:$F,6,0)</f>
        <v>35.56</v>
      </c>
      <c r="S648" s="71">
        <f>VLOOKUP($F648,[2]装箱单!$A:$G,7,0)</f>
        <v>36.195</v>
      </c>
      <c r="T648" s="72">
        <f>VLOOKUP($F648,[2]装箱单!$A:$J,10,0)</f>
        <v>0.078461262432</v>
      </c>
      <c r="U648" s="73">
        <f t="shared" si="144"/>
        <v>1.9615315608</v>
      </c>
      <c r="V648" s="12"/>
    </row>
    <row r="649" s="1" customFormat="1" ht="29.1" customHeight="1" spans="1:22">
      <c r="A649" s="62">
        <v>46251</v>
      </c>
      <c r="B649" s="63" t="s">
        <v>2005</v>
      </c>
      <c r="C649" s="64" t="s">
        <v>2010</v>
      </c>
      <c r="D649" s="66">
        <v>263710</v>
      </c>
      <c r="E649" s="67"/>
      <c r="F649" s="66">
        <v>263714</v>
      </c>
      <c r="G649" s="67" t="str">
        <f>VLOOKUP(F649,[2]装箱单!$A:$C,3,0)</f>
        <v>彩发粉爱心</v>
      </c>
      <c r="H649" s="67">
        <f t="shared" si="148"/>
        <v>50</v>
      </c>
      <c r="I649" s="68">
        <v>100</v>
      </c>
      <c r="J649" s="68" t="s">
        <v>32</v>
      </c>
      <c r="K649" s="68" t="s">
        <v>33</v>
      </c>
      <c r="L649" s="69">
        <v>25</v>
      </c>
      <c r="M649" s="65">
        <f t="shared" si="143"/>
        <v>1.9615315608</v>
      </c>
      <c r="N649" s="69"/>
      <c r="O649" s="67"/>
      <c r="P649" s="74"/>
      <c r="Q649" s="71">
        <f>VLOOKUP($F649,[2]装箱单!$A:$E,5,0)</f>
        <v>60.96</v>
      </c>
      <c r="R649" s="71">
        <f>VLOOKUP($F649,[2]装箱单!$A:$F,6,0)</f>
        <v>35.56</v>
      </c>
      <c r="S649" s="71">
        <f>VLOOKUP($F649,[2]装箱单!$A:$G,7,0)</f>
        <v>36.195</v>
      </c>
      <c r="T649" s="72">
        <f>VLOOKUP($F649,[2]装箱单!$A:$J,10,0)</f>
        <v>0.078461262432</v>
      </c>
      <c r="U649" s="73">
        <f t="shared" si="144"/>
        <v>1.9615315608</v>
      </c>
      <c r="V649" s="12"/>
    </row>
    <row r="650" s="1" customFormat="1" ht="29.1" customHeight="1" spans="1:22">
      <c r="A650" s="62">
        <v>46251</v>
      </c>
      <c r="B650" s="63" t="s">
        <v>2005</v>
      </c>
      <c r="C650" s="64" t="s">
        <v>2010</v>
      </c>
      <c r="D650" s="66">
        <v>263710</v>
      </c>
      <c r="E650" s="67"/>
      <c r="F650" s="66">
        <v>263713</v>
      </c>
      <c r="G650" s="67" t="str">
        <f>VLOOKUP(F650,[2]装箱单!$A:$C,3,0)</f>
        <v>爱心抱枕</v>
      </c>
      <c r="H650" s="67">
        <f t="shared" si="148"/>
        <v>50</v>
      </c>
      <c r="I650" s="68">
        <f t="shared" ref="I650:I654" si="149">+L650*4</f>
        <v>100</v>
      </c>
      <c r="J650" s="68" t="s">
        <v>32</v>
      </c>
      <c r="K650" s="68" t="s">
        <v>33</v>
      </c>
      <c r="L650" s="69">
        <v>25</v>
      </c>
      <c r="M650" s="65">
        <f t="shared" si="143"/>
        <v>1.9615315608</v>
      </c>
      <c r="N650" s="69"/>
      <c r="O650" s="67"/>
      <c r="P650" s="74"/>
      <c r="Q650" s="71">
        <f>VLOOKUP($F650,[2]装箱单!$A:$E,5,0)</f>
        <v>60.96</v>
      </c>
      <c r="R650" s="71">
        <f>VLOOKUP($F650,[2]装箱单!$A:$F,6,0)</f>
        <v>35.56</v>
      </c>
      <c r="S650" s="71">
        <f>VLOOKUP($F650,[2]装箱单!$A:$G,7,0)</f>
        <v>36.195</v>
      </c>
      <c r="T650" s="72">
        <f>VLOOKUP($F650,[2]装箱单!$A:$J,10,0)</f>
        <v>0.078461262432</v>
      </c>
      <c r="U650" s="73">
        <f t="shared" si="144"/>
        <v>1.9615315608</v>
      </c>
      <c r="V650" s="12"/>
    </row>
    <row r="651" s="1" customFormat="1" ht="29.1" customHeight="1" spans="1:22">
      <c r="A651" s="62">
        <v>46251</v>
      </c>
      <c r="B651" s="63" t="s">
        <v>2005</v>
      </c>
      <c r="C651" s="64" t="s">
        <v>2010</v>
      </c>
      <c r="D651" s="66">
        <v>263710</v>
      </c>
      <c r="E651" s="67"/>
      <c r="F651" s="66">
        <v>263711</v>
      </c>
      <c r="G651" s="67" t="str">
        <f>VLOOKUP(F651,[2]装箱单!$A:$C,3,0)</f>
        <v>大眼妹</v>
      </c>
      <c r="H651" s="67">
        <f t="shared" si="148"/>
        <v>50</v>
      </c>
      <c r="I651" s="68">
        <v>100</v>
      </c>
      <c r="J651" s="68" t="s">
        <v>32</v>
      </c>
      <c r="K651" s="68" t="s">
        <v>33</v>
      </c>
      <c r="L651" s="69">
        <v>25</v>
      </c>
      <c r="M651" s="65">
        <f t="shared" si="143"/>
        <v>1.9615315608</v>
      </c>
      <c r="N651" s="69"/>
      <c r="O651" s="67"/>
      <c r="P651" s="74"/>
      <c r="Q651" s="71">
        <f>VLOOKUP($F651,[2]装箱单!$A:$E,5,0)</f>
        <v>60.96</v>
      </c>
      <c r="R651" s="71">
        <f>VLOOKUP($F651,[2]装箱单!$A:$F,6,0)</f>
        <v>35.56</v>
      </c>
      <c r="S651" s="71">
        <f>VLOOKUP($F651,[2]装箱单!$A:$G,7,0)</f>
        <v>36.195</v>
      </c>
      <c r="T651" s="72">
        <f>VLOOKUP($F651,[2]装箱单!$A:$J,10,0)</f>
        <v>0.078461262432</v>
      </c>
      <c r="U651" s="73">
        <f t="shared" si="144"/>
        <v>1.9615315608</v>
      </c>
      <c r="V651" s="12"/>
    </row>
    <row r="652" s="1" customFormat="1" ht="29.1" customHeight="1" spans="1:22">
      <c r="A652" s="62">
        <v>46251</v>
      </c>
      <c r="B652" s="63" t="s">
        <v>2005</v>
      </c>
      <c r="C652" s="64" t="s">
        <v>2010</v>
      </c>
      <c r="D652" s="66">
        <v>263710</v>
      </c>
      <c r="E652" s="67"/>
      <c r="F652" s="66">
        <v>263712</v>
      </c>
      <c r="G652" s="67" t="str">
        <f>VLOOKUP(F652,[2]装箱单!$A:$C,3,0)</f>
        <v>皮皮</v>
      </c>
      <c r="H652" s="67">
        <f t="shared" si="148"/>
        <v>50</v>
      </c>
      <c r="I652" s="68">
        <v>76</v>
      </c>
      <c r="J652" s="68" t="s">
        <v>32</v>
      </c>
      <c r="K652" s="68" t="s">
        <v>33</v>
      </c>
      <c r="L652" s="69">
        <v>19</v>
      </c>
      <c r="M652" s="65">
        <f t="shared" si="143"/>
        <v>1.490763986208</v>
      </c>
      <c r="N652" s="69"/>
      <c r="O652" s="67"/>
      <c r="P652" s="74"/>
      <c r="Q652" s="71">
        <f>VLOOKUP($F652,[2]装箱单!$A:$E,5,0)</f>
        <v>60.96</v>
      </c>
      <c r="R652" s="71">
        <f>VLOOKUP($F652,[2]装箱单!$A:$F,6,0)</f>
        <v>35.56</v>
      </c>
      <c r="S652" s="71">
        <f>VLOOKUP($F652,[2]装箱单!$A:$G,7,0)</f>
        <v>36.195</v>
      </c>
      <c r="T652" s="72">
        <f>VLOOKUP($F652,[2]装箱单!$A:$J,10,0)</f>
        <v>0.078461262432</v>
      </c>
      <c r="U652" s="73">
        <f t="shared" si="144"/>
        <v>1.490763986208</v>
      </c>
      <c r="V652" s="12"/>
    </row>
    <row r="653" s="1" customFormat="1" ht="29.1" customHeight="1" spans="1:22">
      <c r="A653" s="62">
        <v>46251</v>
      </c>
      <c r="B653" s="63" t="s">
        <v>2005</v>
      </c>
      <c r="C653" s="64" t="s">
        <v>2010</v>
      </c>
      <c r="D653" s="66">
        <v>268010</v>
      </c>
      <c r="E653" s="67"/>
      <c r="F653" s="66">
        <v>268011</v>
      </c>
      <c r="G653" s="67" t="str">
        <f>VLOOKUP(F653,[2]装箱单!$A:$C,3,0)</f>
        <v>15"咖咖</v>
      </c>
      <c r="H653" s="67">
        <f>80/4</f>
        <v>20</v>
      </c>
      <c r="I653" s="68">
        <f t="shared" si="149"/>
        <v>76</v>
      </c>
      <c r="J653" s="68" t="s">
        <v>32</v>
      </c>
      <c r="K653" s="68" t="s">
        <v>33</v>
      </c>
      <c r="L653" s="69">
        <v>19</v>
      </c>
      <c r="M653" s="65">
        <f t="shared" si="143"/>
        <v>1.1912217707775</v>
      </c>
      <c r="N653" s="69"/>
      <c r="O653" s="67"/>
      <c r="P653" s="74"/>
      <c r="Q653" s="71">
        <f>VLOOKUP($F653,[2]装箱单!$A:$E,5,0)</f>
        <v>53.34</v>
      </c>
      <c r="R653" s="71">
        <f>VLOOKUP($F653,[2]装箱单!$A:$F,6,0)</f>
        <v>33.655</v>
      </c>
      <c r="S653" s="71">
        <f>VLOOKUP($F653,[2]装箱单!$A:$G,7,0)</f>
        <v>34.925</v>
      </c>
      <c r="T653" s="72">
        <f>VLOOKUP($F653,[2]装箱单!$A:$J,10,0)</f>
        <v>0.0626958826725</v>
      </c>
      <c r="U653" s="73">
        <f t="shared" si="144"/>
        <v>1.1912217707775</v>
      </c>
      <c r="V653" s="12"/>
    </row>
    <row r="654" s="1" customFormat="1" ht="29.1" customHeight="1" spans="1:22">
      <c r="A654" s="62">
        <v>46251</v>
      </c>
      <c r="B654" s="63" t="s">
        <v>2005</v>
      </c>
      <c r="C654" s="64" t="s">
        <v>2010</v>
      </c>
      <c r="D654" s="66">
        <v>268010</v>
      </c>
      <c r="E654" s="67"/>
      <c r="F654" s="66">
        <v>268012</v>
      </c>
      <c r="G654" s="67" t="str">
        <f>VLOOKUP(F654,[2]装箱单!$A:$C,3,0)</f>
        <v>15"莓紫</v>
      </c>
      <c r="H654" s="67">
        <f>80/4</f>
        <v>20</v>
      </c>
      <c r="I654" s="68">
        <f t="shared" si="149"/>
        <v>72</v>
      </c>
      <c r="J654" s="68" t="s">
        <v>32</v>
      </c>
      <c r="K654" s="68" t="s">
        <v>33</v>
      </c>
      <c r="L654" s="69">
        <v>18</v>
      </c>
      <c r="M654" s="65">
        <f t="shared" si="143"/>
        <v>1.128525888105</v>
      </c>
      <c r="N654" s="69"/>
      <c r="O654" s="67"/>
      <c r="P654" s="74"/>
      <c r="Q654" s="71">
        <f>VLOOKUP($F654,[2]装箱单!$A:$E,5,0)</f>
        <v>53.34</v>
      </c>
      <c r="R654" s="71">
        <f>VLOOKUP($F654,[2]装箱单!$A:$F,6,0)</f>
        <v>33.655</v>
      </c>
      <c r="S654" s="71">
        <f>VLOOKUP($F654,[2]装箱单!$A:$G,7,0)</f>
        <v>34.925</v>
      </c>
      <c r="T654" s="72">
        <f>VLOOKUP($F654,[2]装箱单!$A:$J,10,0)</f>
        <v>0.0626958826725</v>
      </c>
      <c r="U654" s="73">
        <f t="shared" si="144"/>
        <v>1.128525888105</v>
      </c>
      <c r="V654" s="12"/>
    </row>
    <row r="655" s="1" customFormat="1" ht="29.1" customHeight="1" spans="1:22">
      <c r="A655" s="62">
        <v>46251</v>
      </c>
      <c r="B655" s="63" t="s">
        <v>2005</v>
      </c>
      <c r="C655" s="64" t="s">
        <v>2011</v>
      </c>
      <c r="D655" s="66">
        <v>268030</v>
      </c>
      <c r="E655" s="67"/>
      <c r="F655" s="66">
        <v>268031</v>
      </c>
      <c r="G655" s="67" t="str">
        <f>VLOOKUP(F655,[2]装箱单!$A:$C,3,0)</f>
        <v>彩云咩咩</v>
      </c>
      <c r="H655" s="67">
        <f t="shared" ref="H655:H662" si="150">200/4</f>
        <v>50</v>
      </c>
      <c r="I655" s="68">
        <v>148</v>
      </c>
      <c r="J655" s="68" t="s">
        <v>32</v>
      </c>
      <c r="K655" s="68" t="s">
        <v>33</v>
      </c>
      <c r="L655" s="69">
        <v>37</v>
      </c>
      <c r="M655" s="65">
        <f t="shared" si="143"/>
        <v>1.1217324258855</v>
      </c>
      <c r="N655" s="69"/>
      <c r="O655" s="67"/>
      <c r="P655" s="74"/>
      <c r="Q655" s="71">
        <f>VLOOKUP($F655,[2]装箱单!$A:$E,5,0)</f>
        <v>43.815</v>
      </c>
      <c r="R655" s="71">
        <f>VLOOKUP($F655,[2]装箱单!$A:$F,6,0)</f>
        <v>27.94</v>
      </c>
      <c r="S655" s="71">
        <f>VLOOKUP($F655,[2]装箱单!$A:$G,7,0)</f>
        <v>24.765</v>
      </c>
      <c r="T655" s="72">
        <f>VLOOKUP($F655,[2]装箱单!$A:$J,10,0)</f>
        <v>0.0303170925915</v>
      </c>
      <c r="U655" s="73">
        <f t="shared" si="144"/>
        <v>1.1217324258855</v>
      </c>
      <c r="V655" s="12"/>
    </row>
    <row r="656" s="1" customFormat="1" ht="29.1" customHeight="1" spans="1:22">
      <c r="A656" s="62">
        <v>46251</v>
      </c>
      <c r="B656" s="63" t="s">
        <v>2005</v>
      </c>
      <c r="C656" s="64" t="s">
        <v>2011</v>
      </c>
      <c r="D656" s="66">
        <v>268030</v>
      </c>
      <c r="E656" s="67"/>
      <c r="F656" s="66">
        <v>268032</v>
      </c>
      <c r="G656" s="67" t="str">
        <f>VLOOKUP(F656,[2]装箱单!$A:$C,3,0)</f>
        <v>黑云咩咩</v>
      </c>
      <c r="H656" s="67">
        <f t="shared" si="150"/>
        <v>50</v>
      </c>
      <c r="I656" s="68">
        <v>116</v>
      </c>
      <c r="J656" s="68" t="s">
        <v>32</v>
      </c>
      <c r="K656" s="68" t="s">
        <v>33</v>
      </c>
      <c r="L656" s="69">
        <v>29</v>
      </c>
      <c r="M656" s="65">
        <f t="shared" si="143"/>
        <v>0.8791956851535</v>
      </c>
      <c r="N656" s="69"/>
      <c r="O656" s="67"/>
      <c r="P656" s="74"/>
      <c r="Q656" s="71">
        <f>VLOOKUP($F656,[2]装箱单!$A:$E,5,0)</f>
        <v>43.815</v>
      </c>
      <c r="R656" s="71">
        <f>VLOOKUP($F656,[2]装箱单!$A:$F,6,0)</f>
        <v>27.94</v>
      </c>
      <c r="S656" s="71">
        <f>VLOOKUP($F656,[2]装箱单!$A:$G,7,0)</f>
        <v>24.765</v>
      </c>
      <c r="T656" s="72">
        <f>VLOOKUP($F656,[2]装箱单!$A:$J,10,0)</f>
        <v>0.0303170925915</v>
      </c>
      <c r="U656" s="73">
        <f t="shared" si="144"/>
        <v>0.8791956851535</v>
      </c>
      <c r="V656" s="12"/>
    </row>
    <row r="657" s="1" customFormat="1" ht="29.1" customHeight="1" spans="1:22">
      <c r="A657" s="62">
        <v>46251</v>
      </c>
      <c r="B657" s="63" t="s">
        <v>2005</v>
      </c>
      <c r="C657" s="64" t="s">
        <v>2011</v>
      </c>
      <c r="D657" s="66">
        <v>268030</v>
      </c>
      <c r="E657" s="67"/>
      <c r="F657" s="66">
        <v>268036</v>
      </c>
      <c r="G657" s="67" t="str">
        <f>VLOOKUP(F657,[2]装箱单!$A:$C,3,0)</f>
        <v>焦糖咪咪</v>
      </c>
      <c r="H657" s="67">
        <f t="shared" si="150"/>
        <v>50</v>
      </c>
      <c r="I657" s="68">
        <v>104</v>
      </c>
      <c r="J657" s="68" t="s">
        <v>32</v>
      </c>
      <c r="K657" s="68" t="s">
        <v>33</v>
      </c>
      <c r="L657" s="69">
        <v>26</v>
      </c>
      <c r="M657" s="65">
        <f t="shared" si="143"/>
        <v>0.788244407379</v>
      </c>
      <c r="N657" s="69"/>
      <c r="O657" s="67"/>
      <c r="P657" s="74"/>
      <c r="Q657" s="71">
        <f>VLOOKUP($F657,[2]装箱单!$A:$E,5,0)</f>
        <v>43.815</v>
      </c>
      <c r="R657" s="71">
        <f>VLOOKUP($F657,[2]装箱单!$A:$F,6,0)</f>
        <v>27.94</v>
      </c>
      <c r="S657" s="71">
        <f>VLOOKUP($F657,[2]装箱单!$A:$G,7,0)</f>
        <v>24.765</v>
      </c>
      <c r="T657" s="72">
        <f>VLOOKUP($F657,[2]装箱单!$A:$J,10,0)</f>
        <v>0.0303170925915</v>
      </c>
      <c r="U657" s="73">
        <f t="shared" si="144"/>
        <v>0.788244407379</v>
      </c>
      <c r="V657" s="12"/>
    </row>
    <row r="658" s="1" customFormat="1" ht="29.1" customHeight="1" spans="1:22">
      <c r="A658" s="62">
        <v>46251</v>
      </c>
      <c r="B658" s="63" t="s">
        <v>2005</v>
      </c>
      <c r="C658" s="64" t="s">
        <v>2011</v>
      </c>
      <c r="D658" s="66">
        <v>268030</v>
      </c>
      <c r="E658" s="67"/>
      <c r="F658" s="66">
        <v>268035</v>
      </c>
      <c r="G658" s="67" t="str">
        <f>VLOOKUP(F658,[2]装箱单!$A:$C,3,0)</f>
        <v>红桃咪咪</v>
      </c>
      <c r="H658" s="67">
        <f t="shared" si="150"/>
        <v>50</v>
      </c>
      <c r="I658" s="68">
        <v>168</v>
      </c>
      <c r="J658" s="68" t="s">
        <v>32</v>
      </c>
      <c r="K658" s="68" t="s">
        <v>33</v>
      </c>
      <c r="L658" s="69">
        <v>42</v>
      </c>
      <c r="M658" s="65">
        <f t="shared" si="143"/>
        <v>1.273317888843</v>
      </c>
      <c r="N658" s="69"/>
      <c r="O658" s="67"/>
      <c r="P658" s="74"/>
      <c r="Q658" s="71">
        <f>VLOOKUP($F658,[2]装箱单!$A:$E,5,0)</f>
        <v>43.815</v>
      </c>
      <c r="R658" s="71">
        <f>VLOOKUP($F658,[2]装箱单!$A:$F,6,0)</f>
        <v>27.94</v>
      </c>
      <c r="S658" s="71">
        <f>VLOOKUP($F658,[2]装箱单!$A:$G,7,0)</f>
        <v>24.765</v>
      </c>
      <c r="T658" s="72">
        <f>VLOOKUP($F658,[2]装箱单!$A:$J,10,0)</f>
        <v>0.0303170925915</v>
      </c>
      <c r="U658" s="73">
        <f t="shared" si="144"/>
        <v>1.273317888843</v>
      </c>
      <c r="V658" s="12"/>
    </row>
    <row r="659" s="1" customFormat="1" ht="29.1" customHeight="1" spans="1:22">
      <c r="A659" s="62">
        <v>46251</v>
      </c>
      <c r="B659" s="63" t="s">
        <v>2005</v>
      </c>
      <c r="C659" s="64" t="s">
        <v>2011</v>
      </c>
      <c r="D659" s="66">
        <v>268030</v>
      </c>
      <c r="E659" s="67"/>
      <c r="F659" s="66">
        <v>268037</v>
      </c>
      <c r="G659" s="67" t="str">
        <f>VLOOKUP(F659,[2]装箱单!$A:$C,3,0)</f>
        <v>芋泥羊咪咪</v>
      </c>
      <c r="H659" s="67">
        <f t="shared" si="150"/>
        <v>50</v>
      </c>
      <c r="I659" s="68">
        <v>128</v>
      </c>
      <c r="J659" s="68" t="s">
        <v>32</v>
      </c>
      <c r="K659" s="68" t="s">
        <v>33</v>
      </c>
      <c r="L659" s="69">
        <v>32</v>
      </c>
      <c r="M659" s="65">
        <f t="shared" si="143"/>
        <v>0.970146962928</v>
      </c>
      <c r="N659" s="69"/>
      <c r="O659" s="67"/>
      <c r="P659" s="74"/>
      <c r="Q659" s="71">
        <f>VLOOKUP($F659,[2]装箱单!$A:$E,5,0)</f>
        <v>43.815</v>
      </c>
      <c r="R659" s="71">
        <f>VLOOKUP($F659,[2]装箱单!$A:$F,6,0)</f>
        <v>27.94</v>
      </c>
      <c r="S659" s="71">
        <f>VLOOKUP($F659,[2]装箱单!$A:$G,7,0)</f>
        <v>24.765</v>
      </c>
      <c r="T659" s="72">
        <f>VLOOKUP($F659,[2]装箱单!$A:$J,10,0)</f>
        <v>0.0303170925915</v>
      </c>
      <c r="U659" s="73">
        <f t="shared" si="144"/>
        <v>0.970146962928</v>
      </c>
      <c r="V659" s="12"/>
    </row>
    <row r="660" s="1" customFormat="1" ht="29.1" customHeight="1" spans="1:22">
      <c r="A660" s="62">
        <v>46251</v>
      </c>
      <c r="B660" s="63" t="s">
        <v>2005</v>
      </c>
      <c r="C660" s="64" t="s">
        <v>2011</v>
      </c>
      <c r="D660" s="66">
        <v>268030</v>
      </c>
      <c r="E660" s="67"/>
      <c r="F660" s="66">
        <v>268038</v>
      </c>
      <c r="G660" s="67" t="str">
        <f>VLOOKUP(F660,[2]装箱单!$A:$C,3,0)</f>
        <v>紫霞咩咩</v>
      </c>
      <c r="H660" s="67">
        <f t="shared" si="150"/>
        <v>50</v>
      </c>
      <c r="I660" s="68">
        <v>180</v>
      </c>
      <c r="J660" s="68" t="s">
        <v>32</v>
      </c>
      <c r="K660" s="68" t="s">
        <v>33</v>
      </c>
      <c r="L660" s="69">
        <v>45</v>
      </c>
      <c r="M660" s="65">
        <f t="shared" si="143"/>
        <v>1.3642691666175</v>
      </c>
      <c r="N660" s="69"/>
      <c r="O660" s="67"/>
      <c r="P660" s="74"/>
      <c r="Q660" s="71">
        <f>VLOOKUP($F660,[2]装箱单!$A:$E,5,0)</f>
        <v>43.815</v>
      </c>
      <c r="R660" s="71">
        <f>VLOOKUP($F660,[2]装箱单!$A:$F,6,0)</f>
        <v>27.94</v>
      </c>
      <c r="S660" s="71">
        <f>VLOOKUP($F660,[2]装箱单!$A:$G,7,0)</f>
        <v>24.765</v>
      </c>
      <c r="T660" s="72">
        <f>VLOOKUP($F660,[2]装箱单!$A:$J,10,0)</f>
        <v>0.0303170925915</v>
      </c>
      <c r="U660" s="73">
        <f t="shared" si="144"/>
        <v>1.3642691666175</v>
      </c>
      <c r="V660" s="12"/>
    </row>
    <row r="661" s="1" customFormat="1" ht="29.1" customHeight="1" spans="1:22">
      <c r="A661" s="62">
        <v>46251</v>
      </c>
      <c r="B661" s="63" t="s">
        <v>2005</v>
      </c>
      <c r="C661" s="64" t="s">
        <v>2011</v>
      </c>
      <c r="D661" s="66">
        <v>268030</v>
      </c>
      <c r="E661" s="67"/>
      <c r="F661" s="66">
        <v>268033</v>
      </c>
      <c r="G661" s="67" t="str">
        <f>VLOOKUP(F661,[2]装箱单!$A:$C,3,0)</f>
        <v>霓虹咪咪</v>
      </c>
      <c r="H661" s="67">
        <f t="shared" si="150"/>
        <v>50</v>
      </c>
      <c r="I661" s="68">
        <v>128</v>
      </c>
      <c r="J661" s="68" t="s">
        <v>32</v>
      </c>
      <c r="K661" s="68" t="s">
        <v>33</v>
      </c>
      <c r="L661" s="69">
        <v>32</v>
      </c>
      <c r="M661" s="65">
        <f t="shared" si="143"/>
        <v>0.970146962928</v>
      </c>
      <c r="N661" s="69"/>
      <c r="O661" s="67"/>
      <c r="P661" s="74"/>
      <c r="Q661" s="71">
        <f>VLOOKUP($F661,[2]装箱单!$A:$E,5,0)</f>
        <v>43.815</v>
      </c>
      <c r="R661" s="71">
        <f>VLOOKUP($F661,[2]装箱单!$A:$F,6,0)</f>
        <v>27.94</v>
      </c>
      <c r="S661" s="71">
        <f>VLOOKUP($F661,[2]装箱单!$A:$G,7,0)</f>
        <v>24.765</v>
      </c>
      <c r="T661" s="72">
        <f>VLOOKUP($F661,[2]装箱单!$A:$J,10,0)</f>
        <v>0.0303170925915</v>
      </c>
      <c r="U661" s="73">
        <f t="shared" si="144"/>
        <v>0.970146962928</v>
      </c>
      <c r="V661" s="12"/>
    </row>
    <row r="662" s="1" customFormat="1" ht="29.1" customHeight="1" spans="1:22">
      <c r="A662" s="62">
        <v>46251</v>
      </c>
      <c r="B662" s="63" t="s">
        <v>2005</v>
      </c>
      <c r="C662" s="64" t="s">
        <v>2011</v>
      </c>
      <c r="D662" s="66">
        <v>268030</v>
      </c>
      <c r="E662" s="67"/>
      <c r="F662" s="66">
        <v>268034</v>
      </c>
      <c r="G662" s="67" t="str">
        <f>VLOOKUP(F662,[2]装箱单!$A:$C,3,0)</f>
        <v>青空羊咪咪</v>
      </c>
      <c r="H662" s="67">
        <f t="shared" si="150"/>
        <v>50</v>
      </c>
      <c r="I662" s="68">
        <v>112</v>
      </c>
      <c r="J662" s="68" t="s">
        <v>32</v>
      </c>
      <c r="K662" s="68" t="s">
        <v>33</v>
      </c>
      <c r="L662" s="69">
        <v>28</v>
      </c>
      <c r="M662" s="65">
        <f t="shared" si="143"/>
        <v>0.848878592562</v>
      </c>
      <c r="N662" s="69"/>
      <c r="O662" s="67"/>
      <c r="P662" s="74"/>
      <c r="Q662" s="71">
        <f>VLOOKUP($F662,[2]装箱单!$A:$E,5,0)</f>
        <v>43.815</v>
      </c>
      <c r="R662" s="71">
        <f>VLOOKUP($F662,[2]装箱单!$A:$F,6,0)</f>
        <v>27.94</v>
      </c>
      <c r="S662" s="71">
        <f>VLOOKUP($F662,[2]装箱单!$A:$G,7,0)</f>
        <v>24.765</v>
      </c>
      <c r="T662" s="72">
        <f>VLOOKUP($F662,[2]装箱单!$A:$J,10,0)</f>
        <v>0.0303170925915</v>
      </c>
      <c r="U662" s="73">
        <f t="shared" si="144"/>
        <v>0.848878592562</v>
      </c>
      <c r="V662" s="12"/>
    </row>
    <row r="663" s="1" customFormat="1" ht="29.1" customHeight="1" spans="1:22">
      <c r="A663" s="62">
        <v>46251</v>
      </c>
      <c r="B663" s="63" t="s">
        <v>40</v>
      </c>
      <c r="C663" s="64" t="s">
        <v>1950</v>
      </c>
      <c r="D663" s="66" t="s">
        <v>1951</v>
      </c>
      <c r="E663" s="140" t="s">
        <v>1952</v>
      </c>
      <c r="F663" s="66">
        <v>28458</v>
      </c>
      <c r="G663" s="67" t="str">
        <f>VLOOKUP(F663,[2]装箱单!$A:$C,3,0)</f>
        <v>五款硅胶手感球</v>
      </c>
      <c r="H663" s="67">
        <v>478</v>
      </c>
      <c r="I663" s="68">
        <f>+L663*3</f>
        <v>1434</v>
      </c>
      <c r="J663" s="68" t="s">
        <v>32</v>
      </c>
      <c r="K663" s="68" t="s">
        <v>33</v>
      </c>
      <c r="L663" s="69">
        <v>478</v>
      </c>
      <c r="M663" s="65">
        <f t="shared" si="143"/>
        <v>9.956911312332</v>
      </c>
      <c r="N663" s="69" t="s">
        <v>34</v>
      </c>
      <c r="O663" s="67"/>
      <c r="P663" s="74"/>
      <c r="Q663" s="71">
        <f>VLOOKUP($F663,[2]装箱单!$A:$E,5,0)</f>
        <v>26.99</v>
      </c>
      <c r="R663" s="71">
        <f>VLOOKUP($F663,[2]装箱单!$A:$F,6,0)</f>
        <v>27.31</v>
      </c>
      <c r="S663" s="71">
        <f>VLOOKUP($F663,[2]装箱单!$A:$G,7,0)</f>
        <v>28.26</v>
      </c>
      <c r="T663" s="72">
        <f>VLOOKUP($F663,[2]装箱单!$A:$J,10,0)</f>
        <v>0.020830358394</v>
      </c>
      <c r="U663" s="73">
        <f t="shared" si="144"/>
        <v>9.956911312332</v>
      </c>
      <c r="V663" s="12"/>
    </row>
    <row r="664" s="1" customFormat="1" ht="29.1" customHeight="1" spans="1:22">
      <c r="A664" s="62">
        <v>46251</v>
      </c>
      <c r="B664" s="63" t="s">
        <v>40</v>
      </c>
      <c r="C664" s="64" t="s">
        <v>1953</v>
      </c>
      <c r="D664" s="66" t="s">
        <v>1954</v>
      </c>
      <c r="E664" s="140" t="s">
        <v>1955</v>
      </c>
      <c r="F664" s="66">
        <v>28458</v>
      </c>
      <c r="G664" s="67" t="str">
        <f>VLOOKUP(F664,[2]装箱单!$A:$C,3,0)</f>
        <v>五款硅胶手感球</v>
      </c>
      <c r="H664" s="67">
        <v>478</v>
      </c>
      <c r="I664" s="68">
        <f>+L664*3</f>
        <v>1434</v>
      </c>
      <c r="J664" s="68" t="s">
        <v>32</v>
      </c>
      <c r="K664" s="68" t="s">
        <v>33</v>
      </c>
      <c r="L664" s="69">
        <v>478</v>
      </c>
      <c r="M664" s="65">
        <f t="shared" si="143"/>
        <v>9.956911312332</v>
      </c>
      <c r="N664" s="69" t="s">
        <v>34</v>
      </c>
      <c r="O664" s="67"/>
      <c r="P664" s="74"/>
      <c r="Q664" s="71">
        <f>VLOOKUP($F664,[2]装箱单!$A:$E,5,0)</f>
        <v>26.99</v>
      </c>
      <c r="R664" s="71">
        <f>VLOOKUP($F664,[2]装箱单!$A:$F,6,0)</f>
        <v>27.31</v>
      </c>
      <c r="S664" s="71">
        <f>VLOOKUP($F664,[2]装箱单!$A:$G,7,0)</f>
        <v>28.26</v>
      </c>
      <c r="T664" s="72">
        <f>VLOOKUP($F664,[2]装箱单!$A:$J,10,0)</f>
        <v>0.020830358394</v>
      </c>
      <c r="U664" s="73">
        <f t="shared" si="144"/>
        <v>9.956911312332</v>
      </c>
      <c r="V664" s="12"/>
    </row>
    <row r="665" s="1" customFormat="1" ht="29.1" customHeight="1" spans="1:22">
      <c r="A665" s="62">
        <v>46251</v>
      </c>
      <c r="B665" s="63" t="s">
        <v>40</v>
      </c>
      <c r="C665" s="64" t="s">
        <v>2012</v>
      </c>
      <c r="D665" s="66" t="s">
        <v>2013</v>
      </c>
      <c r="E665" s="140" t="s">
        <v>2014</v>
      </c>
      <c r="F665" s="66">
        <v>28483</v>
      </c>
      <c r="G665" s="67" t="str">
        <f>VLOOKUP(F665,[2]装箱单!$A:$C,3,0)</f>
        <v>振动球</v>
      </c>
      <c r="H665" s="67">
        <v>1800</v>
      </c>
      <c r="I665" s="68">
        <f t="shared" ref="I665:I669" si="151">+L665</f>
        <v>1800</v>
      </c>
      <c r="J665" s="68" t="s">
        <v>32</v>
      </c>
      <c r="K665" s="68" t="s">
        <v>33</v>
      </c>
      <c r="L665" s="69">
        <v>1800</v>
      </c>
      <c r="M665" s="65">
        <f t="shared" si="143"/>
        <v>10.390842</v>
      </c>
      <c r="N665" s="69" t="s">
        <v>34</v>
      </c>
      <c r="O665" s="67"/>
      <c r="P665" s="74"/>
      <c r="Q665" s="71">
        <f>VLOOKUP($F665,[2]装箱单!$A:$E,5,0)</f>
        <v>16.83</v>
      </c>
      <c r="R665" s="71">
        <f>VLOOKUP($F665,[2]装箱单!$A:$F,6,0)</f>
        <v>17.15</v>
      </c>
      <c r="S665" s="71">
        <f>VLOOKUP($F665,[2]装箱单!$A:$G,7,0)</f>
        <v>20</v>
      </c>
      <c r="T665" s="72">
        <f>VLOOKUP($F665,[2]装箱单!$A:$J,10,0)</f>
        <v>0.00577269</v>
      </c>
      <c r="U665" s="73">
        <f t="shared" si="144"/>
        <v>10.390842</v>
      </c>
      <c r="V665" s="12"/>
    </row>
    <row r="666" s="1" customFormat="1" ht="29.1" customHeight="1" spans="1:22">
      <c r="A666" s="62">
        <v>46251</v>
      </c>
      <c r="B666" s="63" t="s">
        <v>40</v>
      </c>
      <c r="C666" s="64" t="s">
        <v>2015</v>
      </c>
      <c r="D666" s="66" t="s">
        <v>2016</v>
      </c>
      <c r="E666" s="140" t="s">
        <v>2017</v>
      </c>
      <c r="F666" s="66">
        <v>28483</v>
      </c>
      <c r="G666" s="67" t="str">
        <f>VLOOKUP(F666,[2]装箱单!$A:$C,3,0)</f>
        <v>振动球</v>
      </c>
      <c r="H666" s="67">
        <v>1800</v>
      </c>
      <c r="I666" s="68">
        <f t="shared" si="151"/>
        <v>1800</v>
      </c>
      <c r="J666" s="68" t="s">
        <v>32</v>
      </c>
      <c r="K666" s="68" t="s">
        <v>33</v>
      </c>
      <c r="L666" s="69">
        <v>1800</v>
      </c>
      <c r="M666" s="65">
        <f t="shared" si="143"/>
        <v>10.390842</v>
      </c>
      <c r="N666" s="69" t="s">
        <v>34</v>
      </c>
      <c r="O666" s="67"/>
      <c r="P666" s="74"/>
      <c r="Q666" s="71">
        <f>VLOOKUP($F666,[2]装箱单!$A:$E,5,0)</f>
        <v>16.83</v>
      </c>
      <c r="R666" s="71">
        <f>VLOOKUP($F666,[2]装箱单!$A:$F,6,0)</f>
        <v>17.15</v>
      </c>
      <c r="S666" s="71">
        <f>VLOOKUP($F666,[2]装箱单!$A:$G,7,0)</f>
        <v>20</v>
      </c>
      <c r="T666" s="72">
        <f>VLOOKUP($F666,[2]装箱单!$A:$J,10,0)</f>
        <v>0.00577269</v>
      </c>
      <c r="U666" s="73">
        <f t="shared" si="144"/>
        <v>10.390842</v>
      </c>
      <c r="V666" s="12"/>
    </row>
    <row r="667" s="1" customFormat="1" ht="29.1" customHeight="1" spans="1:22">
      <c r="A667" s="62">
        <v>46251</v>
      </c>
      <c r="B667" s="63" t="s">
        <v>40</v>
      </c>
      <c r="C667" s="64" t="s">
        <v>2018</v>
      </c>
      <c r="D667" s="66" t="s">
        <v>2019</v>
      </c>
      <c r="E667" s="140" t="s">
        <v>2020</v>
      </c>
      <c r="F667" s="66">
        <v>28483</v>
      </c>
      <c r="G667" s="67" t="str">
        <f>VLOOKUP(F667,[2]装箱单!$A:$C,3,0)</f>
        <v>振动球</v>
      </c>
      <c r="H667" s="67">
        <v>2340</v>
      </c>
      <c r="I667" s="68">
        <f t="shared" si="151"/>
        <v>2340</v>
      </c>
      <c r="J667" s="68" t="s">
        <v>32</v>
      </c>
      <c r="K667" s="68" t="s">
        <v>33</v>
      </c>
      <c r="L667" s="69">
        <v>2340</v>
      </c>
      <c r="M667" s="65">
        <f t="shared" si="143"/>
        <v>13.5080946</v>
      </c>
      <c r="N667" s="69" t="s">
        <v>34</v>
      </c>
      <c r="O667" s="67"/>
      <c r="P667" s="74"/>
      <c r="Q667" s="71">
        <f>VLOOKUP($F667,[2]装箱单!$A:$E,5,0)</f>
        <v>16.83</v>
      </c>
      <c r="R667" s="71">
        <f>VLOOKUP($F667,[2]装箱单!$A:$F,6,0)</f>
        <v>17.15</v>
      </c>
      <c r="S667" s="71">
        <f>VLOOKUP($F667,[2]装箱单!$A:$G,7,0)</f>
        <v>20</v>
      </c>
      <c r="T667" s="72">
        <f>VLOOKUP($F667,[2]装箱单!$A:$J,10,0)</f>
        <v>0.00577269</v>
      </c>
      <c r="U667" s="73">
        <f t="shared" si="144"/>
        <v>13.5080946</v>
      </c>
      <c r="V667" s="12"/>
    </row>
    <row r="668" s="1" customFormat="1" ht="29.1" customHeight="1" spans="1:22">
      <c r="A668" s="62">
        <v>46251</v>
      </c>
      <c r="B668" s="63" t="s">
        <v>40</v>
      </c>
      <c r="C668" s="64" t="s">
        <v>1882</v>
      </c>
      <c r="D668" s="66" t="s">
        <v>1883</v>
      </c>
      <c r="E668" s="140" t="s">
        <v>2021</v>
      </c>
      <c r="F668" s="66">
        <v>28483</v>
      </c>
      <c r="G668" s="67" t="str">
        <f>VLOOKUP(F668,[2]装箱单!$A:$C,3,0)</f>
        <v>振动球</v>
      </c>
      <c r="H668" s="67">
        <v>1800</v>
      </c>
      <c r="I668" s="68">
        <f t="shared" si="151"/>
        <v>1800</v>
      </c>
      <c r="J668" s="68" t="s">
        <v>32</v>
      </c>
      <c r="K668" s="68" t="s">
        <v>33</v>
      </c>
      <c r="L668" s="69">
        <v>1800</v>
      </c>
      <c r="M668" s="65">
        <f t="shared" si="143"/>
        <v>10.390842</v>
      </c>
      <c r="N668" s="69" t="s">
        <v>34</v>
      </c>
      <c r="O668" s="67"/>
      <c r="P668" s="74"/>
      <c r="Q668" s="71">
        <f>VLOOKUP($F668,[2]装箱单!$A:$E,5,0)</f>
        <v>16.83</v>
      </c>
      <c r="R668" s="71">
        <f>VLOOKUP($F668,[2]装箱单!$A:$F,6,0)</f>
        <v>17.15</v>
      </c>
      <c r="S668" s="71">
        <f>VLOOKUP($F668,[2]装箱单!$A:$G,7,0)</f>
        <v>20</v>
      </c>
      <c r="T668" s="72">
        <f>VLOOKUP($F668,[2]装箱单!$A:$J,10,0)</f>
        <v>0.00577269</v>
      </c>
      <c r="U668" s="73">
        <f t="shared" si="144"/>
        <v>10.390842</v>
      </c>
      <c r="V668" s="12"/>
    </row>
    <row r="669" s="1" customFormat="1" ht="29.1" customHeight="1" spans="1:22">
      <c r="A669" s="62">
        <v>46251</v>
      </c>
      <c r="B669" s="63" t="s">
        <v>40</v>
      </c>
      <c r="C669" s="64" t="s">
        <v>2022</v>
      </c>
      <c r="D669" s="66" t="s">
        <v>2023</v>
      </c>
      <c r="E669" s="140" t="s">
        <v>2024</v>
      </c>
      <c r="F669" s="66">
        <v>28483</v>
      </c>
      <c r="G669" s="67" t="str">
        <f>VLOOKUP(F669,[2]装箱单!$A:$C,3,0)</f>
        <v>振动球</v>
      </c>
      <c r="H669" s="67">
        <v>4320</v>
      </c>
      <c r="I669" s="68">
        <f t="shared" si="151"/>
        <v>1620</v>
      </c>
      <c r="J669" s="68" t="s">
        <v>32</v>
      </c>
      <c r="K669" s="68" t="s">
        <v>33</v>
      </c>
      <c r="L669" s="69">
        <v>1620</v>
      </c>
      <c r="M669" s="65">
        <f t="shared" si="143"/>
        <v>9.3517578</v>
      </c>
      <c r="N669" s="69" t="s">
        <v>34</v>
      </c>
      <c r="O669" s="67"/>
      <c r="P669" s="74"/>
      <c r="Q669" s="71">
        <f>VLOOKUP($F669,[2]装箱单!$A:$E,5,0)</f>
        <v>16.83</v>
      </c>
      <c r="R669" s="71">
        <f>VLOOKUP($F669,[2]装箱单!$A:$F,6,0)</f>
        <v>17.15</v>
      </c>
      <c r="S669" s="71">
        <f>VLOOKUP($F669,[2]装箱单!$A:$G,7,0)</f>
        <v>20</v>
      </c>
      <c r="T669" s="72">
        <f>VLOOKUP($F669,[2]装箱单!$A:$J,10,0)</f>
        <v>0.00577269</v>
      </c>
      <c r="U669" s="73">
        <f t="shared" si="144"/>
        <v>9.3517578</v>
      </c>
      <c r="V669" s="12"/>
    </row>
    <row r="670" s="1" customFormat="1" ht="29.1" customHeight="1" spans="1:22">
      <c r="A670" s="62">
        <v>46241</v>
      </c>
      <c r="B670" s="63" t="s">
        <v>2025</v>
      </c>
      <c r="C670" s="64" t="s">
        <v>2026</v>
      </c>
      <c r="D670" s="66" t="s">
        <v>2027</v>
      </c>
      <c r="E670" s="67">
        <v>93654501</v>
      </c>
      <c r="F670" s="66">
        <v>46097</v>
      </c>
      <c r="G670" s="67" t="str">
        <f>VLOOKUP(F670,[2]装箱单!$A:$C,3,0)</f>
        <v>小熊维尼历险记系列</v>
      </c>
      <c r="H670" s="67">
        <f>+L670/2</f>
        <v>380</v>
      </c>
      <c r="I670" s="68">
        <f>+L670*2</f>
        <v>1520</v>
      </c>
      <c r="J670" s="68" t="s">
        <v>32</v>
      </c>
      <c r="K670" s="68" t="s">
        <v>33</v>
      </c>
      <c r="L670" s="69">
        <v>760</v>
      </c>
      <c r="M670" s="65">
        <f t="shared" si="143"/>
        <v>16.99794570432</v>
      </c>
      <c r="N670" s="69" t="s">
        <v>34</v>
      </c>
      <c r="O670" s="67"/>
      <c r="P670" s="74"/>
      <c r="Q670" s="71">
        <f>VLOOKUP($F670,[2]装箱单!$A:$E,5,0)</f>
        <v>40.01</v>
      </c>
      <c r="R670" s="71">
        <f>VLOOKUP($F670,[2]装箱单!$A:$F,6,0)</f>
        <v>26.67</v>
      </c>
      <c r="S670" s="71">
        <f>VLOOKUP($F670,[2]装箱单!$A:$G,7,0)</f>
        <v>20.96</v>
      </c>
      <c r="T670" s="72">
        <f>VLOOKUP($F670,[2]装箱单!$A:$J,10,0)</f>
        <v>0.022365718032</v>
      </c>
      <c r="U670" s="73">
        <f t="shared" si="144"/>
        <v>16.99794570432</v>
      </c>
      <c r="V670" s="12"/>
    </row>
    <row r="671" s="1" customFormat="1" ht="29.1" customHeight="1" spans="1:22">
      <c r="A671" s="62">
        <v>46241</v>
      </c>
      <c r="B671" s="63" t="s">
        <v>2025</v>
      </c>
      <c r="C671" s="64" t="s">
        <v>2028</v>
      </c>
      <c r="D671" s="66" t="s">
        <v>2029</v>
      </c>
      <c r="E671" s="67">
        <v>93654502</v>
      </c>
      <c r="F671" s="66">
        <v>46097</v>
      </c>
      <c r="G671" s="67" t="str">
        <f>VLOOKUP(F671,[2]装箱单!$A:$C,3,0)</f>
        <v>小熊维尼历险记系列</v>
      </c>
      <c r="H671" s="67">
        <f>+L671/2</f>
        <v>120</v>
      </c>
      <c r="I671" s="68">
        <f>+L671*2</f>
        <v>480</v>
      </c>
      <c r="J671" s="68" t="s">
        <v>32</v>
      </c>
      <c r="K671" s="68" t="s">
        <v>33</v>
      </c>
      <c r="L671" s="69">
        <v>240</v>
      </c>
      <c r="M671" s="65">
        <f t="shared" si="143"/>
        <v>5.36777232768</v>
      </c>
      <c r="N671" s="69" t="s">
        <v>34</v>
      </c>
      <c r="O671" s="67"/>
      <c r="P671" s="74"/>
      <c r="Q671" s="71">
        <f>VLOOKUP($F671,[2]装箱单!$A:$E,5,0)</f>
        <v>40.01</v>
      </c>
      <c r="R671" s="71">
        <f>VLOOKUP($F671,[2]装箱单!$A:$F,6,0)</f>
        <v>26.67</v>
      </c>
      <c r="S671" s="71">
        <f>VLOOKUP($F671,[2]装箱单!$A:$G,7,0)</f>
        <v>20.96</v>
      </c>
      <c r="T671" s="72">
        <f>VLOOKUP($F671,[2]装箱单!$A:$J,10,0)</f>
        <v>0.022365718032</v>
      </c>
      <c r="U671" s="73">
        <f t="shared" si="144"/>
        <v>5.36777232768</v>
      </c>
      <c r="V671" s="12"/>
    </row>
    <row r="672" s="1" customFormat="1" ht="29.1" customHeight="1" spans="1:22">
      <c r="A672" s="62"/>
      <c r="B672" s="63"/>
      <c r="C672" s="64"/>
      <c r="D672" s="66"/>
      <c r="E672" s="67"/>
      <c r="F672" s="66"/>
      <c r="G672" s="67"/>
      <c r="H672" s="67"/>
      <c r="I672" s="68"/>
      <c r="J672" s="68"/>
      <c r="K672" s="68"/>
      <c r="L672" s="69"/>
      <c r="M672" s="65">
        <f>SUM(M621:M671)</f>
        <v>136.133652923118</v>
      </c>
      <c r="N672" s="69"/>
      <c r="O672" s="67"/>
      <c r="P672" s="75"/>
      <c r="Q672" s="71"/>
      <c r="R672" s="71"/>
      <c r="S672" s="71"/>
      <c r="T672" s="72"/>
      <c r="U672" s="73"/>
      <c r="V672" s="12"/>
    </row>
    <row r="673" s="1" customFormat="1" ht="29.1" customHeight="1" spans="1:22">
      <c r="A673" s="62">
        <v>46252</v>
      </c>
      <c r="B673" s="63" t="s">
        <v>52</v>
      </c>
      <c r="C673" s="64">
        <v>47470</v>
      </c>
      <c r="D673" s="66" t="s">
        <v>2030</v>
      </c>
      <c r="E673" s="67"/>
      <c r="F673" s="66">
        <v>570974</v>
      </c>
      <c r="G673" s="67" t="str">
        <f>VLOOKUP(F673,[2]装箱单!$A:$C,3,0)</f>
        <v>蓝球</v>
      </c>
      <c r="H673" s="67">
        <v>2720</v>
      </c>
      <c r="I673" s="68">
        <f>+L673</f>
        <v>1578</v>
      </c>
      <c r="J673" s="68" t="s">
        <v>32</v>
      </c>
      <c r="K673" s="68" t="s">
        <v>33</v>
      </c>
      <c r="L673" s="69">
        <v>1578</v>
      </c>
      <c r="M673" s="65">
        <f t="shared" ref="M673:M735" si="152">+U673</f>
        <v>135.58894393968</v>
      </c>
      <c r="N673" s="69" t="s">
        <v>34</v>
      </c>
      <c r="O673" s="67"/>
      <c r="P673" s="70" t="s">
        <v>2031</v>
      </c>
      <c r="Q673" s="71">
        <f>VLOOKUP($F673,[2]装箱单!$A:$E,5,0)</f>
        <v>59.05</v>
      </c>
      <c r="R673" s="71">
        <f>VLOOKUP($F673,[2]装箱单!$A:$F,6,0)</f>
        <v>26.04</v>
      </c>
      <c r="S673" s="71">
        <f>VLOOKUP($F673,[2]装箱单!$A:$G,7,0)</f>
        <v>55.88</v>
      </c>
      <c r="T673" s="72">
        <f>VLOOKUP($F673,[2]装箱单!$A:$J,10,0)</f>
        <v>0.08592455256</v>
      </c>
      <c r="U673" s="73">
        <f t="shared" ref="U673:U735" si="153">+T673*L673</f>
        <v>135.58894393968</v>
      </c>
      <c r="V673" s="12"/>
    </row>
    <row r="674" s="1" customFormat="1" ht="29.1" customHeight="1" spans="1:22">
      <c r="A674" s="62">
        <v>46252</v>
      </c>
      <c r="B674" s="63" t="s">
        <v>40</v>
      </c>
      <c r="C674" s="64" t="s">
        <v>1985</v>
      </c>
      <c r="D674" s="66" t="s">
        <v>1986</v>
      </c>
      <c r="E674" s="67" t="s">
        <v>1987</v>
      </c>
      <c r="F674" s="66" t="s">
        <v>179</v>
      </c>
      <c r="G674" s="67" t="str">
        <f>VLOOKUP(F674,[2]装箱单!$A:$C,3,0)</f>
        <v>搪胶小鸭</v>
      </c>
      <c r="H674" s="67">
        <v>720</v>
      </c>
      <c r="I674" s="68">
        <f t="shared" ref="I674:I678" si="154">+L674*24</f>
        <v>4320</v>
      </c>
      <c r="J674" s="68" t="s">
        <v>32</v>
      </c>
      <c r="K674" s="68" t="s">
        <v>33</v>
      </c>
      <c r="L674" s="69">
        <f>720-540</f>
        <v>180</v>
      </c>
      <c r="M674" s="65">
        <f t="shared" si="152"/>
        <v>2.39382</v>
      </c>
      <c r="N674" s="69" t="s">
        <v>34</v>
      </c>
      <c r="O674" s="67"/>
      <c r="P674" s="74"/>
      <c r="Q674" s="71">
        <f>VLOOKUP($F674,[2]装箱单!$A:$E,5,0)</f>
        <v>31</v>
      </c>
      <c r="R674" s="71">
        <f>VLOOKUP($F674,[2]装箱单!$A:$F,6,0)</f>
        <v>22</v>
      </c>
      <c r="S674" s="71">
        <f>VLOOKUP($F674,[2]装箱单!$A:$G,7,0)</f>
        <v>19.5</v>
      </c>
      <c r="T674" s="72">
        <f>VLOOKUP($F674,[2]装箱单!$A:$J,10,0)</f>
        <v>0.013299</v>
      </c>
      <c r="U674" s="73">
        <f t="shared" si="153"/>
        <v>2.39382</v>
      </c>
      <c r="V674" s="12"/>
    </row>
    <row r="675" s="1" customFormat="1" ht="29.1" customHeight="1" spans="1:22">
      <c r="A675" s="62">
        <v>46252</v>
      </c>
      <c r="B675" s="63" t="s">
        <v>40</v>
      </c>
      <c r="C675" s="64" t="s">
        <v>2032</v>
      </c>
      <c r="D675" s="66" t="s">
        <v>2033</v>
      </c>
      <c r="E675" s="67" t="s">
        <v>2034</v>
      </c>
      <c r="F675" s="66" t="s">
        <v>179</v>
      </c>
      <c r="G675" s="67" t="str">
        <f>VLOOKUP(F675,[2]装箱单!$A:$C,3,0)</f>
        <v>搪胶小鸭</v>
      </c>
      <c r="H675" s="67">
        <v>180</v>
      </c>
      <c r="I675" s="68">
        <f t="shared" si="154"/>
        <v>4320</v>
      </c>
      <c r="J675" s="68" t="s">
        <v>32</v>
      </c>
      <c r="K675" s="68" t="s">
        <v>33</v>
      </c>
      <c r="L675" s="69">
        <v>180</v>
      </c>
      <c r="M675" s="65">
        <f t="shared" si="152"/>
        <v>2.39382</v>
      </c>
      <c r="N675" s="69" t="s">
        <v>34</v>
      </c>
      <c r="O675" s="67"/>
      <c r="P675" s="74"/>
      <c r="Q675" s="71">
        <f>VLOOKUP($F675,[2]装箱单!$A:$E,5,0)</f>
        <v>31</v>
      </c>
      <c r="R675" s="71">
        <f>VLOOKUP($F675,[2]装箱单!$A:$F,6,0)</f>
        <v>22</v>
      </c>
      <c r="S675" s="71">
        <f>VLOOKUP($F675,[2]装箱单!$A:$G,7,0)</f>
        <v>19.5</v>
      </c>
      <c r="T675" s="72">
        <f>VLOOKUP($F675,[2]装箱单!$A:$J,10,0)</f>
        <v>0.013299</v>
      </c>
      <c r="U675" s="73">
        <f t="shared" si="153"/>
        <v>2.39382</v>
      </c>
      <c r="V675" s="12"/>
    </row>
    <row r="676" s="1" customFormat="1" ht="29.1" customHeight="1" spans="1:22">
      <c r="A676" s="62">
        <v>46252</v>
      </c>
      <c r="B676" s="63" t="s">
        <v>40</v>
      </c>
      <c r="C676" s="64" t="s">
        <v>2035</v>
      </c>
      <c r="D676" s="66" t="s">
        <v>2036</v>
      </c>
      <c r="E676" s="67" t="s">
        <v>2037</v>
      </c>
      <c r="F676" s="66" t="s">
        <v>179</v>
      </c>
      <c r="G676" s="67" t="str">
        <f>VLOOKUP(F676,[2]装箱单!$A:$C,3,0)</f>
        <v>搪胶小鸭</v>
      </c>
      <c r="H676" s="67">
        <f t="shared" ref="H676:H678" si="155">+I676/24</f>
        <v>360</v>
      </c>
      <c r="I676" s="68">
        <f t="shared" si="154"/>
        <v>8640</v>
      </c>
      <c r="J676" s="68" t="s">
        <v>32</v>
      </c>
      <c r="K676" s="68" t="s">
        <v>33</v>
      </c>
      <c r="L676" s="69">
        <v>360</v>
      </c>
      <c r="M676" s="65">
        <f t="shared" si="152"/>
        <v>4.78764</v>
      </c>
      <c r="N676" s="69" t="s">
        <v>34</v>
      </c>
      <c r="O676" s="67" t="s">
        <v>2038</v>
      </c>
      <c r="P676" s="74"/>
      <c r="Q676" s="71">
        <f>VLOOKUP($F676,[2]装箱单!$A:$E,5,0)</f>
        <v>31</v>
      </c>
      <c r="R676" s="71">
        <f>VLOOKUP($F676,[2]装箱单!$A:$F,6,0)</f>
        <v>22</v>
      </c>
      <c r="S676" s="71">
        <f>VLOOKUP($F676,[2]装箱单!$A:$G,7,0)</f>
        <v>19.5</v>
      </c>
      <c r="T676" s="72">
        <f>VLOOKUP($F676,[2]装箱单!$A:$J,10,0)</f>
        <v>0.013299</v>
      </c>
      <c r="U676" s="73">
        <f t="shared" si="153"/>
        <v>4.78764</v>
      </c>
      <c r="V676" s="12"/>
    </row>
    <row r="677" s="1" customFormat="1" ht="29.1" customHeight="1" spans="1:22">
      <c r="A677" s="62">
        <v>46252</v>
      </c>
      <c r="B677" s="63" t="s">
        <v>40</v>
      </c>
      <c r="C677" s="64" t="s">
        <v>2039</v>
      </c>
      <c r="D677" s="66" t="s">
        <v>2040</v>
      </c>
      <c r="E677" s="67" t="s">
        <v>2041</v>
      </c>
      <c r="F677" s="66" t="s">
        <v>179</v>
      </c>
      <c r="G677" s="67" t="str">
        <f>VLOOKUP(F677,[2]装箱单!$A:$C,3,0)</f>
        <v>搪胶小鸭</v>
      </c>
      <c r="H677" s="67">
        <f t="shared" si="155"/>
        <v>630</v>
      </c>
      <c r="I677" s="68">
        <f t="shared" si="154"/>
        <v>15120</v>
      </c>
      <c r="J677" s="68" t="s">
        <v>32</v>
      </c>
      <c r="K677" s="68" t="s">
        <v>33</v>
      </c>
      <c r="L677" s="69">
        <v>630</v>
      </c>
      <c r="M677" s="65">
        <f t="shared" si="152"/>
        <v>8.37837</v>
      </c>
      <c r="N677" s="69" t="s">
        <v>34</v>
      </c>
      <c r="O677" s="67" t="s">
        <v>2038</v>
      </c>
      <c r="P677" s="74"/>
      <c r="Q677" s="71">
        <f>VLOOKUP($F677,[2]装箱单!$A:$E,5,0)</f>
        <v>31</v>
      </c>
      <c r="R677" s="71">
        <f>VLOOKUP($F677,[2]装箱单!$A:$F,6,0)</f>
        <v>22</v>
      </c>
      <c r="S677" s="71">
        <f>VLOOKUP($F677,[2]装箱单!$A:$G,7,0)</f>
        <v>19.5</v>
      </c>
      <c r="T677" s="72">
        <f>VLOOKUP($F677,[2]装箱单!$A:$J,10,0)</f>
        <v>0.013299</v>
      </c>
      <c r="U677" s="73">
        <f t="shared" si="153"/>
        <v>8.37837</v>
      </c>
      <c r="V677" s="12"/>
    </row>
    <row r="678" s="1" customFormat="1" ht="29.1" customHeight="1" spans="1:22">
      <c r="A678" s="62">
        <v>46252</v>
      </c>
      <c r="B678" s="63" t="s">
        <v>40</v>
      </c>
      <c r="C678" s="64" t="s">
        <v>2042</v>
      </c>
      <c r="D678" s="66" t="s">
        <v>2043</v>
      </c>
      <c r="E678" s="67" t="s">
        <v>2044</v>
      </c>
      <c r="F678" s="66" t="s">
        <v>179</v>
      </c>
      <c r="G678" s="67" t="str">
        <f>VLOOKUP(F678,[2]装箱单!$A:$C,3,0)</f>
        <v>搪胶小鸭</v>
      </c>
      <c r="H678" s="67">
        <f t="shared" si="155"/>
        <v>540</v>
      </c>
      <c r="I678" s="68">
        <f t="shared" si="154"/>
        <v>12960</v>
      </c>
      <c r="J678" s="68" t="s">
        <v>32</v>
      </c>
      <c r="K678" s="68" t="s">
        <v>33</v>
      </c>
      <c r="L678" s="69">
        <v>540</v>
      </c>
      <c r="M678" s="65">
        <f t="shared" si="152"/>
        <v>7.18146</v>
      </c>
      <c r="N678" s="69" t="s">
        <v>34</v>
      </c>
      <c r="O678" s="67" t="s">
        <v>2038</v>
      </c>
      <c r="P678" s="74"/>
      <c r="Q678" s="71">
        <f>VLOOKUP($F678,[2]装箱单!$A:$E,5,0)</f>
        <v>31</v>
      </c>
      <c r="R678" s="71">
        <f>VLOOKUP($F678,[2]装箱单!$A:$F,6,0)</f>
        <v>22</v>
      </c>
      <c r="S678" s="71">
        <f>VLOOKUP($F678,[2]装箱单!$A:$G,7,0)</f>
        <v>19.5</v>
      </c>
      <c r="T678" s="72">
        <f>VLOOKUP($F678,[2]装箱单!$A:$J,10,0)</f>
        <v>0.013299</v>
      </c>
      <c r="U678" s="73">
        <f t="shared" si="153"/>
        <v>7.18146</v>
      </c>
      <c r="V678" s="12"/>
    </row>
    <row r="679" s="1" customFormat="1" ht="29.1" customHeight="1" spans="1:22">
      <c r="A679" s="62">
        <v>46252</v>
      </c>
      <c r="B679" s="63" t="s">
        <v>2005</v>
      </c>
      <c r="C679" s="64" t="s">
        <v>2045</v>
      </c>
      <c r="D679" s="66"/>
      <c r="E679" s="64"/>
      <c r="F679" s="66">
        <v>265741</v>
      </c>
      <c r="G679" s="67" t="str">
        <f>VLOOKUP(F679,[2]装箱单!$A:$C,3,0)</f>
        <v>生气</v>
      </c>
      <c r="H679" s="67">
        <f t="shared" ref="H679:H692" si="156">200/40</f>
        <v>5</v>
      </c>
      <c r="I679" s="68">
        <f t="shared" ref="I679:I692" si="157">+L679*40</f>
        <v>160</v>
      </c>
      <c r="J679" s="68" t="s">
        <v>32</v>
      </c>
      <c r="K679" s="68" t="s">
        <v>33</v>
      </c>
      <c r="L679" s="69">
        <v>4</v>
      </c>
      <c r="M679" s="65">
        <f t="shared" si="152"/>
        <v>0.07800242464</v>
      </c>
      <c r="N679" s="69" t="s">
        <v>34</v>
      </c>
      <c r="O679" s="67"/>
      <c r="P679" s="74"/>
      <c r="Q679" s="71">
        <f>VLOOKUP($F679,[2]装箱单!$A:$E,5,0)</f>
        <v>40.64</v>
      </c>
      <c r="R679" s="71">
        <f>VLOOKUP($F679,[2]装箱单!$A:$F,6,0)</f>
        <v>21.59</v>
      </c>
      <c r="S679" s="71">
        <f>VLOOKUP($F679,[2]装箱单!$A:$G,7,0)</f>
        <v>22.225</v>
      </c>
      <c r="T679" s="72">
        <f>VLOOKUP($F679,[2]装箱单!$A:$J,10,0)</f>
        <v>0.01950060616</v>
      </c>
      <c r="U679" s="73">
        <f t="shared" si="153"/>
        <v>0.07800242464</v>
      </c>
      <c r="V679" s="12"/>
    </row>
    <row r="680" s="1" customFormat="1" ht="29.1" customHeight="1" spans="1:22">
      <c r="A680" s="62">
        <v>46252</v>
      </c>
      <c r="B680" s="63" t="s">
        <v>2005</v>
      </c>
      <c r="C680" s="64" t="s">
        <v>2045</v>
      </c>
      <c r="D680" s="66"/>
      <c r="E680" s="67"/>
      <c r="F680" s="66">
        <v>265742</v>
      </c>
      <c r="G680" s="67" t="str">
        <f>VLOOKUP(F680,[2]装箱单!$A:$C,3,0)</f>
        <v>开心</v>
      </c>
      <c r="H680" s="67">
        <f t="shared" si="156"/>
        <v>5</v>
      </c>
      <c r="I680" s="68">
        <f t="shared" si="157"/>
        <v>160</v>
      </c>
      <c r="J680" s="68" t="s">
        <v>32</v>
      </c>
      <c r="K680" s="68" t="s">
        <v>33</v>
      </c>
      <c r="L680" s="69">
        <v>4</v>
      </c>
      <c r="M680" s="65">
        <f t="shared" si="152"/>
        <v>0.07800242464</v>
      </c>
      <c r="N680" s="69" t="s">
        <v>34</v>
      </c>
      <c r="O680" s="67"/>
      <c r="P680" s="74"/>
      <c r="Q680" s="71">
        <f>VLOOKUP($F680,[2]装箱单!$A:$E,5,0)</f>
        <v>40.64</v>
      </c>
      <c r="R680" s="71">
        <f>VLOOKUP($F680,[2]装箱单!$A:$F,6,0)</f>
        <v>21.59</v>
      </c>
      <c r="S680" s="71">
        <f>VLOOKUP($F680,[2]装箱单!$A:$G,7,0)</f>
        <v>22.225</v>
      </c>
      <c r="T680" s="72">
        <f>VLOOKUP($F680,[2]装箱单!$A:$J,10,0)</f>
        <v>0.01950060616</v>
      </c>
      <c r="U680" s="73">
        <f t="shared" si="153"/>
        <v>0.07800242464</v>
      </c>
      <c r="V680" s="12"/>
    </row>
    <row r="681" s="1" customFormat="1" ht="29.1" customHeight="1" spans="1:22">
      <c r="A681" s="62">
        <v>46252</v>
      </c>
      <c r="B681" s="63" t="s">
        <v>2005</v>
      </c>
      <c r="C681" s="64" t="s">
        <v>2045</v>
      </c>
      <c r="D681" s="66"/>
      <c r="E681" s="67"/>
      <c r="F681" s="66">
        <v>265755</v>
      </c>
      <c r="G681" s="67" t="str">
        <f>VLOOKUP(F681,[2]装箱单!$A:$C,3,0)</f>
        <v>青蛙</v>
      </c>
      <c r="H681" s="67">
        <f t="shared" si="156"/>
        <v>5</v>
      </c>
      <c r="I681" s="68">
        <f t="shared" si="157"/>
        <v>80</v>
      </c>
      <c r="J681" s="68" t="s">
        <v>32</v>
      </c>
      <c r="K681" s="68" t="s">
        <v>33</v>
      </c>
      <c r="L681" s="69">
        <v>2</v>
      </c>
      <c r="M681" s="65">
        <f t="shared" si="152"/>
        <v>0.101056975305</v>
      </c>
      <c r="N681" s="69" t="s">
        <v>34</v>
      </c>
      <c r="O681" s="67"/>
      <c r="P681" s="74"/>
      <c r="Q681" s="71">
        <f>VLOOKUP($F681,[2]装箱单!$A:$E,5,0)</f>
        <v>43.815</v>
      </c>
      <c r="R681" s="71">
        <f>VLOOKUP($F681,[2]装箱单!$A:$F,6,0)</f>
        <v>34.925</v>
      </c>
      <c r="S681" s="71">
        <f>VLOOKUP($F681,[2]装箱单!$A:$G,7,0)</f>
        <v>33.02</v>
      </c>
      <c r="T681" s="72">
        <f>VLOOKUP($F681,[2]装箱单!$A:$J,10,0)</f>
        <v>0.0505284876525</v>
      </c>
      <c r="U681" s="73">
        <f t="shared" si="153"/>
        <v>0.101056975305</v>
      </c>
      <c r="V681" s="12"/>
    </row>
    <row r="682" s="1" customFormat="1" ht="29.1" customHeight="1" spans="1:22">
      <c r="A682" s="62">
        <v>46252</v>
      </c>
      <c r="B682" s="63" t="s">
        <v>2005</v>
      </c>
      <c r="C682" s="64" t="s">
        <v>2045</v>
      </c>
      <c r="D682" s="66"/>
      <c r="E682" s="67"/>
      <c r="F682" s="66">
        <v>265754</v>
      </c>
      <c r="G682" s="67" t="str">
        <f>VLOOKUP(F682,[2]装箱单!$A:$C,3,0)</f>
        <v>紫牛</v>
      </c>
      <c r="H682" s="67">
        <f t="shared" si="156"/>
        <v>5</v>
      </c>
      <c r="I682" s="68">
        <f t="shared" si="157"/>
        <v>80</v>
      </c>
      <c r="J682" s="68" t="s">
        <v>32</v>
      </c>
      <c r="K682" s="68" t="s">
        <v>33</v>
      </c>
      <c r="L682" s="69">
        <v>2</v>
      </c>
      <c r="M682" s="65">
        <f t="shared" si="152"/>
        <v>0.101056975305</v>
      </c>
      <c r="N682" s="69" t="s">
        <v>34</v>
      </c>
      <c r="O682" s="67"/>
      <c r="P682" s="74"/>
      <c r="Q682" s="71">
        <f>VLOOKUP($F682,[2]装箱单!$A:$E,5,0)</f>
        <v>43.815</v>
      </c>
      <c r="R682" s="71">
        <f>VLOOKUP($F682,[2]装箱单!$A:$F,6,0)</f>
        <v>34.925</v>
      </c>
      <c r="S682" s="71">
        <f>VLOOKUP($F682,[2]装箱单!$A:$G,7,0)</f>
        <v>33.02</v>
      </c>
      <c r="T682" s="72">
        <f>VLOOKUP($F682,[2]装箱单!$A:$J,10,0)</f>
        <v>0.0505284876525</v>
      </c>
      <c r="U682" s="73">
        <f t="shared" si="153"/>
        <v>0.101056975305</v>
      </c>
      <c r="V682" s="12"/>
    </row>
    <row r="683" s="1" customFormat="1" ht="29.1" customHeight="1" spans="1:22">
      <c r="A683" s="62">
        <v>46252</v>
      </c>
      <c r="B683" s="63" t="s">
        <v>2005</v>
      </c>
      <c r="C683" s="64" t="s">
        <v>2045</v>
      </c>
      <c r="D683" s="66"/>
      <c r="E683" s="67"/>
      <c r="F683" s="66">
        <v>265746</v>
      </c>
      <c r="G683" s="67" t="str">
        <f>VLOOKUP(F683,[2]装箱单!$A:$C,3,0)</f>
        <v>吐舌</v>
      </c>
      <c r="H683" s="67">
        <f t="shared" si="156"/>
        <v>5</v>
      </c>
      <c r="I683" s="68">
        <f t="shared" si="157"/>
        <v>160</v>
      </c>
      <c r="J683" s="68" t="s">
        <v>32</v>
      </c>
      <c r="K683" s="68" t="s">
        <v>33</v>
      </c>
      <c r="L683" s="69">
        <v>4</v>
      </c>
      <c r="M683" s="65">
        <f t="shared" si="152"/>
        <v>0.07800242464</v>
      </c>
      <c r="N683" s="69" t="s">
        <v>34</v>
      </c>
      <c r="O683" s="67"/>
      <c r="P683" s="74"/>
      <c r="Q683" s="71">
        <f>VLOOKUP($F683,[2]装箱单!$A:$E,5,0)</f>
        <v>40.64</v>
      </c>
      <c r="R683" s="71">
        <f>VLOOKUP($F683,[2]装箱单!$A:$F,6,0)</f>
        <v>21.59</v>
      </c>
      <c r="S683" s="71">
        <f>VLOOKUP($F683,[2]装箱单!$A:$G,7,0)</f>
        <v>22.225</v>
      </c>
      <c r="T683" s="72">
        <f>VLOOKUP($F683,[2]装箱单!$A:$J,10,0)</f>
        <v>0.01950060616</v>
      </c>
      <c r="U683" s="73">
        <f t="shared" si="153"/>
        <v>0.07800242464</v>
      </c>
      <c r="V683" s="12"/>
    </row>
    <row r="684" s="1" customFormat="1" ht="29.1" customHeight="1" spans="1:22">
      <c r="A684" s="62">
        <v>46252</v>
      </c>
      <c r="B684" s="63" t="s">
        <v>2005</v>
      </c>
      <c r="C684" s="64" t="s">
        <v>2045</v>
      </c>
      <c r="D684" s="66"/>
      <c r="E684" s="67"/>
      <c r="F684" s="66">
        <v>265749</v>
      </c>
      <c r="G684" s="67" t="str">
        <f>VLOOKUP(F684,[2]装箱单!$A:$C,3,0)</f>
        <v>害羞</v>
      </c>
      <c r="H684" s="67">
        <f t="shared" si="156"/>
        <v>5</v>
      </c>
      <c r="I684" s="68">
        <f t="shared" si="157"/>
        <v>160</v>
      </c>
      <c r="J684" s="68" t="s">
        <v>32</v>
      </c>
      <c r="K684" s="68" t="s">
        <v>33</v>
      </c>
      <c r="L684" s="69">
        <v>4</v>
      </c>
      <c r="M684" s="65">
        <f t="shared" si="152"/>
        <v>0.07800242464</v>
      </c>
      <c r="N684" s="69" t="s">
        <v>34</v>
      </c>
      <c r="O684" s="67"/>
      <c r="P684" s="74"/>
      <c r="Q684" s="71">
        <f>VLOOKUP($F684,[2]装箱单!$A:$E,5,0)</f>
        <v>40.64</v>
      </c>
      <c r="R684" s="71">
        <f>VLOOKUP($F684,[2]装箱单!$A:$F,6,0)</f>
        <v>21.59</v>
      </c>
      <c r="S684" s="71">
        <f>VLOOKUP($F684,[2]装箱单!$A:$G,7,0)</f>
        <v>22.225</v>
      </c>
      <c r="T684" s="72">
        <f>VLOOKUP($F684,[2]装箱单!$A:$J,10,0)</f>
        <v>0.01950060616</v>
      </c>
      <c r="U684" s="73">
        <f t="shared" si="153"/>
        <v>0.07800242464</v>
      </c>
      <c r="V684" s="12"/>
    </row>
    <row r="685" s="1" customFormat="1" ht="29.1" customHeight="1" spans="1:22">
      <c r="A685" s="62">
        <v>46252</v>
      </c>
      <c r="B685" s="63" t="s">
        <v>2005</v>
      </c>
      <c r="C685" s="64" t="s">
        <v>2045</v>
      </c>
      <c r="D685" s="66"/>
      <c r="E685" s="67"/>
      <c r="F685" s="66">
        <v>265743</v>
      </c>
      <c r="G685" s="67" t="str">
        <f>VLOOKUP(F685,[2]装箱单!$A:$C,3,0)</f>
        <v>委屈</v>
      </c>
      <c r="H685" s="67">
        <f t="shared" si="156"/>
        <v>5</v>
      </c>
      <c r="I685" s="68">
        <f t="shared" si="157"/>
        <v>160</v>
      </c>
      <c r="J685" s="68" t="s">
        <v>32</v>
      </c>
      <c r="K685" s="68" t="s">
        <v>33</v>
      </c>
      <c r="L685" s="69">
        <v>4</v>
      </c>
      <c r="M685" s="65">
        <f t="shared" si="152"/>
        <v>0.07800242464</v>
      </c>
      <c r="N685" s="69" t="s">
        <v>34</v>
      </c>
      <c r="O685" s="67"/>
      <c r="P685" s="74"/>
      <c r="Q685" s="71">
        <f>VLOOKUP($F685,[2]装箱单!$A:$E,5,0)</f>
        <v>40.64</v>
      </c>
      <c r="R685" s="71">
        <f>VLOOKUP($F685,[2]装箱单!$A:$F,6,0)</f>
        <v>21.59</v>
      </c>
      <c r="S685" s="71">
        <f>VLOOKUP($F685,[2]装箱单!$A:$G,7,0)</f>
        <v>22.225</v>
      </c>
      <c r="T685" s="72">
        <f>VLOOKUP($F685,[2]装箱单!$A:$J,10,0)</f>
        <v>0.01950060616</v>
      </c>
      <c r="U685" s="73">
        <f t="shared" si="153"/>
        <v>0.07800242464</v>
      </c>
      <c r="V685" s="12"/>
    </row>
    <row r="686" s="1" customFormat="1" ht="29.1" customHeight="1" spans="1:22">
      <c r="A686" s="62">
        <v>46252</v>
      </c>
      <c r="B686" s="63" t="s">
        <v>2005</v>
      </c>
      <c r="C686" s="64" t="s">
        <v>2045</v>
      </c>
      <c r="D686" s="66"/>
      <c r="E686" s="67"/>
      <c r="F686" s="66">
        <v>265748</v>
      </c>
      <c r="G686" s="67" t="str">
        <f>VLOOKUP(F686,[2]装箱单!$A:$C,3,0)</f>
        <v>流泪</v>
      </c>
      <c r="H686" s="67">
        <f t="shared" si="156"/>
        <v>5</v>
      </c>
      <c r="I686" s="68">
        <f t="shared" si="157"/>
        <v>160</v>
      </c>
      <c r="J686" s="68" t="s">
        <v>32</v>
      </c>
      <c r="K686" s="68" t="s">
        <v>33</v>
      </c>
      <c r="L686" s="69">
        <v>4</v>
      </c>
      <c r="M686" s="65">
        <f t="shared" si="152"/>
        <v>0.07800242464</v>
      </c>
      <c r="N686" s="69" t="s">
        <v>34</v>
      </c>
      <c r="O686" s="67"/>
      <c r="P686" s="74"/>
      <c r="Q686" s="71">
        <f>VLOOKUP($F686,[2]装箱单!$A:$E,5,0)</f>
        <v>40.64</v>
      </c>
      <c r="R686" s="71">
        <f>VLOOKUP($F686,[2]装箱单!$A:$F,6,0)</f>
        <v>21.59</v>
      </c>
      <c r="S686" s="71">
        <f>VLOOKUP($F686,[2]装箱单!$A:$G,7,0)</f>
        <v>22.225</v>
      </c>
      <c r="T686" s="72">
        <f>VLOOKUP($F686,[2]装箱单!$A:$J,10,0)</f>
        <v>0.01950060616</v>
      </c>
      <c r="U686" s="73">
        <f t="shared" si="153"/>
        <v>0.07800242464</v>
      </c>
      <c r="V686" s="12"/>
    </row>
    <row r="687" s="1" customFormat="1" ht="29.1" customHeight="1" spans="1:22">
      <c r="A687" s="62">
        <v>46252</v>
      </c>
      <c r="B687" s="63" t="s">
        <v>2005</v>
      </c>
      <c r="C687" s="64" t="s">
        <v>2045</v>
      </c>
      <c r="D687" s="66"/>
      <c r="E687" s="67"/>
      <c r="F687" s="66">
        <v>265750</v>
      </c>
      <c r="G687" s="67" t="str">
        <f>VLOOKUP(F687,[2]装箱单!$A:$C,3,0)</f>
        <v>咪咪</v>
      </c>
      <c r="H687" s="67">
        <f t="shared" si="156"/>
        <v>5</v>
      </c>
      <c r="I687" s="68">
        <f t="shared" si="157"/>
        <v>160</v>
      </c>
      <c r="J687" s="68" t="s">
        <v>32</v>
      </c>
      <c r="K687" s="68" t="s">
        <v>33</v>
      </c>
      <c r="L687" s="69">
        <v>4</v>
      </c>
      <c r="M687" s="65">
        <f t="shared" si="152"/>
        <v>0.20211395061</v>
      </c>
      <c r="N687" s="69" t="s">
        <v>34</v>
      </c>
      <c r="O687" s="67"/>
      <c r="P687" s="74"/>
      <c r="Q687" s="71">
        <f>VLOOKUP($F687,[2]装箱单!$A:$E,5,0)</f>
        <v>43.815</v>
      </c>
      <c r="R687" s="71">
        <f>VLOOKUP($F687,[2]装箱单!$A:$F,6,0)</f>
        <v>34.925</v>
      </c>
      <c r="S687" s="71">
        <f>VLOOKUP($F687,[2]装箱单!$A:$G,7,0)</f>
        <v>33.02</v>
      </c>
      <c r="T687" s="72">
        <f>VLOOKUP($F687,[2]装箱单!$A:$J,10,0)</f>
        <v>0.0505284876525</v>
      </c>
      <c r="U687" s="73">
        <f t="shared" si="153"/>
        <v>0.20211395061</v>
      </c>
      <c r="V687" s="12"/>
    </row>
    <row r="688" s="1" customFormat="1" ht="29.1" customHeight="1" spans="1:22">
      <c r="A688" s="62">
        <v>46252</v>
      </c>
      <c r="B688" s="63" t="s">
        <v>2005</v>
      </c>
      <c r="C688" s="64" t="s">
        <v>2045</v>
      </c>
      <c r="D688" s="66"/>
      <c r="E688" s="67"/>
      <c r="F688" s="66">
        <v>265744</v>
      </c>
      <c r="G688" s="67" t="str">
        <f>VLOOKUP(F688,[2]装箱单!$A:$C,3,0)</f>
        <v>睡觉</v>
      </c>
      <c r="H688" s="67">
        <f t="shared" si="156"/>
        <v>5</v>
      </c>
      <c r="I688" s="68">
        <f t="shared" si="157"/>
        <v>160</v>
      </c>
      <c r="J688" s="68" t="s">
        <v>32</v>
      </c>
      <c r="K688" s="68" t="s">
        <v>33</v>
      </c>
      <c r="L688" s="69">
        <v>4</v>
      </c>
      <c r="M688" s="65">
        <f t="shared" si="152"/>
        <v>0.07800242464</v>
      </c>
      <c r="N688" s="69" t="s">
        <v>34</v>
      </c>
      <c r="O688" s="67"/>
      <c r="P688" s="74"/>
      <c r="Q688" s="71">
        <f>VLOOKUP($F688,[2]装箱单!$A:$E,5,0)</f>
        <v>40.64</v>
      </c>
      <c r="R688" s="71">
        <f>VLOOKUP($F688,[2]装箱单!$A:$F,6,0)</f>
        <v>21.59</v>
      </c>
      <c r="S688" s="71">
        <f>VLOOKUP($F688,[2]装箱单!$A:$G,7,0)</f>
        <v>22.225</v>
      </c>
      <c r="T688" s="72">
        <f>VLOOKUP($F688,[2]装箱单!$A:$J,10,0)</f>
        <v>0.01950060616</v>
      </c>
      <c r="U688" s="73">
        <f t="shared" si="153"/>
        <v>0.07800242464</v>
      </c>
      <c r="V688" s="12"/>
    </row>
    <row r="689" s="1" customFormat="1" ht="29.1" customHeight="1" spans="1:22">
      <c r="A689" s="62">
        <v>46252</v>
      </c>
      <c r="B689" s="63" t="s">
        <v>2005</v>
      </c>
      <c r="C689" s="64" t="s">
        <v>2045</v>
      </c>
      <c r="D689" s="66"/>
      <c r="E689" s="67"/>
      <c r="F689" s="66">
        <v>265745</v>
      </c>
      <c r="G689" s="67" t="str">
        <f>VLOOKUP(F689,[2]装箱单!$A:$C,3,0)</f>
        <v>惊讶</v>
      </c>
      <c r="H689" s="67">
        <f t="shared" si="156"/>
        <v>5</v>
      </c>
      <c r="I689" s="68">
        <f t="shared" si="157"/>
        <v>160</v>
      </c>
      <c r="J689" s="68" t="s">
        <v>32</v>
      </c>
      <c r="K689" s="68" t="s">
        <v>33</v>
      </c>
      <c r="L689" s="69">
        <v>4</v>
      </c>
      <c r="M689" s="65">
        <f t="shared" si="152"/>
        <v>0.07800242464</v>
      </c>
      <c r="N689" s="69" t="s">
        <v>34</v>
      </c>
      <c r="O689" s="67"/>
      <c r="P689" s="74"/>
      <c r="Q689" s="71">
        <f>VLOOKUP($F689,[2]装箱单!$A:$E,5,0)</f>
        <v>40.64</v>
      </c>
      <c r="R689" s="71">
        <f>VLOOKUP($F689,[2]装箱单!$A:$F,6,0)</f>
        <v>21.59</v>
      </c>
      <c r="S689" s="71">
        <f>VLOOKUP($F689,[2]装箱单!$A:$G,7,0)</f>
        <v>22.225</v>
      </c>
      <c r="T689" s="72">
        <f>VLOOKUP($F689,[2]装箱单!$A:$J,10,0)</f>
        <v>0.01950060616</v>
      </c>
      <c r="U689" s="73">
        <f t="shared" si="153"/>
        <v>0.07800242464</v>
      </c>
      <c r="V689" s="12"/>
    </row>
    <row r="690" s="1" customFormat="1" ht="29.1" customHeight="1" spans="1:22">
      <c r="A690" s="62">
        <v>46252</v>
      </c>
      <c r="B690" s="63" t="s">
        <v>2005</v>
      </c>
      <c r="C690" s="64" t="s">
        <v>2045</v>
      </c>
      <c r="D690" s="66"/>
      <c r="E690" s="67"/>
      <c r="F690" s="66">
        <v>265747</v>
      </c>
      <c r="G690" s="67" t="str">
        <f>VLOOKUP(F690,[2]装箱单!$A:$C,3,0)</f>
        <v>微笑</v>
      </c>
      <c r="H690" s="67">
        <f t="shared" si="156"/>
        <v>5</v>
      </c>
      <c r="I690" s="68">
        <f t="shared" si="157"/>
        <v>160</v>
      </c>
      <c r="J690" s="68" t="s">
        <v>32</v>
      </c>
      <c r="K690" s="68" t="s">
        <v>33</v>
      </c>
      <c r="L690" s="69">
        <v>4</v>
      </c>
      <c r="M690" s="65">
        <f t="shared" si="152"/>
        <v>0.07800242464</v>
      </c>
      <c r="N690" s="69" t="s">
        <v>34</v>
      </c>
      <c r="O690" s="67"/>
      <c r="P690" s="74"/>
      <c r="Q690" s="71">
        <f>VLOOKUP($F690,[2]装箱单!$A:$E,5,0)</f>
        <v>40.64</v>
      </c>
      <c r="R690" s="71">
        <f>VLOOKUP($F690,[2]装箱单!$A:$F,6,0)</f>
        <v>21.59</v>
      </c>
      <c r="S690" s="71">
        <f>VLOOKUP($F690,[2]装箱单!$A:$G,7,0)</f>
        <v>22.225</v>
      </c>
      <c r="T690" s="72">
        <f>VLOOKUP($F690,[2]装箱单!$A:$J,10,0)</f>
        <v>0.01950060616</v>
      </c>
      <c r="U690" s="73">
        <f t="shared" si="153"/>
        <v>0.07800242464</v>
      </c>
      <c r="V690" s="12"/>
    </row>
    <row r="691" s="1" customFormat="1" ht="29.1" customHeight="1" spans="1:22">
      <c r="A691" s="62">
        <v>46252</v>
      </c>
      <c r="B691" s="63" t="s">
        <v>2005</v>
      </c>
      <c r="C691" s="64" t="s">
        <v>2045</v>
      </c>
      <c r="D691" s="66"/>
      <c r="E691" s="67"/>
      <c r="F691" s="66">
        <v>265752</v>
      </c>
      <c r="G691" s="67" t="str">
        <f>VLOOKUP(F691,[2]装箱单!$A:$C,3,0)</f>
        <v>黄色大头妹</v>
      </c>
      <c r="H691" s="67">
        <f t="shared" si="156"/>
        <v>5</v>
      </c>
      <c r="I691" s="68">
        <f t="shared" si="157"/>
        <v>40</v>
      </c>
      <c r="J691" s="68" t="s">
        <v>32</v>
      </c>
      <c r="K691" s="68" t="s">
        <v>33</v>
      </c>
      <c r="L691" s="69">
        <v>1</v>
      </c>
      <c r="M691" s="65">
        <f t="shared" si="152"/>
        <v>0.0505284876525</v>
      </c>
      <c r="N691" s="69" t="s">
        <v>34</v>
      </c>
      <c r="O691" s="67"/>
      <c r="P691" s="74"/>
      <c r="Q691" s="71">
        <f>VLOOKUP($F691,[2]装箱单!$A:$E,5,0)</f>
        <v>43.815</v>
      </c>
      <c r="R691" s="71">
        <f>VLOOKUP($F691,[2]装箱单!$A:$F,6,0)</f>
        <v>34.925</v>
      </c>
      <c r="S691" s="71">
        <f>VLOOKUP($F691,[2]装箱单!$A:$G,7,0)</f>
        <v>33.02</v>
      </c>
      <c r="T691" s="72">
        <f>VLOOKUP($F691,[2]装箱单!$A:$J,10,0)</f>
        <v>0.0505284876525</v>
      </c>
      <c r="U691" s="73">
        <f t="shared" si="153"/>
        <v>0.0505284876525</v>
      </c>
      <c r="V691" s="12"/>
    </row>
    <row r="692" s="1" customFormat="1" ht="29.1" customHeight="1" spans="1:22">
      <c r="A692" s="62">
        <v>46252</v>
      </c>
      <c r="B692" s="63" t="s">
        <v>2005</v>
      </c>
      <c r="C692" s="64" t="s">
        <v>2045</v>
      </c>
      <c r="D692" s="66"/>
      <c r="E692" s="67"/>
      <c r="F692" s="66">
        <v>265753</v>
      </c>
      <c r="G692" s="67" t="str">
        <f>VLOOKUP(F692,[2]装箱单!$A:$C,3,0)</f>
        <v>紫色大头妹</v>
      </c>
      <c r="H692" s="67">
        <f t="shared" si="156"/>
        <v>5</v>
      </c>
      <c r="I692" s="68">
        <f t="shared" si="157"/>
        <v>80</v>
      </c>
      <c r="J692" s="68" t="s">
        <v>32</v>
      </c>
      <c r="K692" s="68" t="s">
        <v>33</v>
      </c>
      <c r="L692" s="69">
        <v>2</v>
      </c>
      <c r="M692" s="65">
        <f t="shared" si="152"/>
        <v>0.101056975305</v>
      </c>
      <c r="N692" s="69" t="s">
        <v>34</v>
      </c>
      <c r="O692" s="67"/>
      <c r="P692" s="74"/>
      <c r="Q692" s="71">
        <f>VLOOKUP($F692,[2]装箱单!$A:$E,5,0)</f>
        <v>43.815</v>
      </c>
      <c r="R692" s="71">
        <f>VLOOKUP($F692,[2]装箱单!$A:$F,6,0)</f>
        <v>34.925</v>
      </c>
      <c r="S692" s="71">
        <f>VLOOKUP($F692,[2]装箱单!$A:$G,7,0)</f>
        <v>33.02</v>
      </c>
      <c r="T692" s="72">
        <f>VLOOKUP($F692,[2]装箱单!$A:$J,10,0)</f>
        <v>0.0505284876525</v>
      </c>
      <c r="U692" s="73">
        <f t="shared" si="153"/>
        <v>0.101056975305</v>
      </c>
      <c r="V692" s="12"/>
    </row>
    <row r="693" s="1" customFormat="1" ht="29.1" customHeight="1" spans="1:22">
      <c r="A693" s="62">
        <v>46252</v>
      </c>
      <c r="B693" s="63" t="s">
        <v>2005</v>
      </c>
      <c r="C693" s="64" t="s">
        <v>2046</v>
      </c>
      <c r="D693" s="66"/>
      <c r="E693" s="67"/>
      <c r="F693" s="66">
        <v>261071</v>
      </c>
      <c r="G693" s="67" t="str">
        <f>VLOOKUP(F693,[2]装箱单!$A:$C,3,0)</f>
        <v>粉黄水晶狗</v>
      </c>
      <c r="H693" s="67">
        <f t="shared" ref="H693:H728" si="158">200/20</f>
        <v>10</v>
      </c>
      <c r="I693" s="68">
        <f t="shared" ref="I693:I735" si="159">+L693*20</f>
        <v>60</v>
      </c>
      <c r="J693" s="68" t="s">
        <v>32</v>
      </c>
      <c r="K693" s="68" t="s">
        <v>33</v>
      </c>
      <c r="L693" s="69">
        <v>3</v>
      </c>
      <c r="M693" s="65">
        <f t="shared" si="152"/>
        <v>0.0380784157785</v>
      </c>
      <c r="N693" s="69" t="s">
        <v>34</v>
      </c>
      <c r="O693" s="67"/>
      <c r="P693" s="74"/>
      <c r="Q693" s="71">
        <f>VLOOKUP($F693,[2]装箱单!$A:$E,5,0)</f>
        <v>32.385</v>
      </c>
      <c r="R693" s="71">
        <f>VLOOKUP($F693,[2]装箱单!$A:$F,6,0)</f>
        <v>22.86</v>
      </c>
      <c r="S693" s="71">
        <f>VLOOKUP($F693,[2]装箱单!$A:$G,7,0)</f>
        <v>17.145</v>
      </c>
      <c r="T693" s="72">
        <f>VLOOKUP($F693,[2]装箱单!$A:$J,10,0)</f>
        <v>0.0126928052595</v>
      </c>
      <c r="U693" s="73">
        <f t="shared" si="153"/>
        <v>0.0380784157785</v>
      </c>
      <c r="V693" s="12"/>
    </row>
    <row r="694" s="1" customFormat="1" ht="29.1" customHeight="1" spans="1:22">
      <c r="A694" s="62">
        <v>46252</v>
      </c>
      <c r="B694" s="63" t="s">
        <v>2005</v>
      </c>
      <c r="C694" s="64" t="s">
        <v>2046</v>
      </c>
      <c r="D694" s="66"/>
      <c r="E694" s="67"/>
      <c r="F694" s="66">
        <v>261072</v>
      </c>
      <c r="G694" s="67" t="str">
        <f>VLOOKUP(F694,[2]装箱单!$A:$C,3,0)</f>
        <v>蓝粉水晶狗</v>
      </c>
      <c r="H694" s="67">
        <f t="shared" si="158"/>
        <v>10</v>
      </c>
      <c r="I694" s="68">
        <f t="shared" si="159"/>
        <v>120</v>
      </c>
      <c r="J694" s="68" t="s">
        <v>32</v>
      </c>
      <c r="K694" s="68" t="s">
        <v>33</v>
      </c>
      <c r="L694" s="69">
        <v>6</v>
      </c>
      <c r="M694" s="65">
        <f t="shared" si="152"/>
        <v>0.076156831557</v>
      </c>
      <c r="N694" s="69" t="s">
        <v>34</v>
      </c>
      <c r="O694" s="67"/>
      <c r="P694" s="74"/>
      <c r="Q694" s="71">
        <f>VLOOKUP($F694,[2]装箱单!$A:$E,5,0)</f>
        <v>32.385</v>
      </c>
      <c r="R694" s="71">
        <f>VLOOKUP($F694,[2]装箱单!$A:$F,6,0)</f>
        <v>22.86</v>
      </c>
      <c r="S694" s="71">
        <f>VLOOKUP($F694,[2]装箱单!$A:$G,7,0)</f>
        <v>17.145</v>
      </c>
      <c r="T694" s="72">
        <f>VLOOKUP($F694,[2]装箱单!$A:$J,10,0)</f>
        <v>0.0126928052595</v>
      </c>
      <c r="U694" s="73">
        <f t="shared" si="153"/>
        <v>0.076156831557</v>
      </c>
      <c r="V694" s="12"/>
    </row>
    <row r="695" s="1" customFormat="1" ht="29.1" customHeight="1" spans="1:22">
      <c r="A695" s="62">
        <v>46252</v>
      </c>
      <c r="B695" s="63" t="s">
        <v>2005</v>
      </c>
      <c r="C695" s="64" t="s">
        <v>2046</v>
      </c>
      <c r="D695" s="66"/>
      <c r="E695" s="67"/>
      <c r="F695" s="66">
        <v>261073</v>
      </c>
      <c r="G695" s="67" t="str">
        <f>VLOOKUP(F695,[2]装箱单!$A:$C,3,0)</f>
        <v>橙绿水晶狗</v>
      </c>
      <c r="H695" s="67">
        <f t="shared" si="158"/>
        <v>10</v>
      </c>
      <c r="I695" s="68">
        <f t="shared" si="159"/>
        <v>100</v>
      </c>
      <c r="J695" s="68" t="s">
        <v>32</v>
      </c>
      <c r="K695" s="68" t="s">
        <v>33</v>
      </c>
      <c r="L695" s="69">
        <v>5</v>
      </c>
      <c r="M695" s="65">
        <f t="shared" si="152"/>
        <v>0.0634640262975</v>
      </c>
      <c r="N695" s="69" t="s">
        <v>34</v>
      </c>
      <c r="O695" s="67"/>
      <c r="P695" s="74"/>
      <c r="Q695" s="71">
        <f>VLOOKUP($F695,[2]装箱单!$A:$E,5,0)</f>
        <v>32.385</v>
      </c>
      <c r="R695" s="71">
        <f>VLOOKUP($F695,[2]装箱单!$A:$F,6,0)</f>
        <v>22.86</v>
      </c>
      <c r="S695" s="71">
        <f>VLOOKUP($F695,[2]装箱单!$A:$G,7,0)</f>
        <v>17.145</v>
      </c>
      <c r="T695" s="72">
        <f>VLOOKUP($F695,[2]装箱单!$A:$J,10,0)</f>
        <v>0.0126928052595</v>
      </c>
      <c r="U695" s="73">
        <f t="shared" si="153"/>
        <v>0.0634640262975</v>
      </c>
      <c r="V695" s="12"/>
    </row>
    <row r="696" s="1" customFormat="1" ht="29.1" customHeight="1" spans="1:22">
      <c r="A696" s="62">
        <v>46252</v>
      </c>
      <c r="B696" s="63" t="s">
        <v>2005</v>
      </c>
      <c r="C696" s="64" t="s">
        <v>2046</v>
      </c>
      <c r="D696" s="66"/>
      <c r="E696" s="67"/>
      <c r="F696" s="66">
        <v>261074</v>
      </c>
      <c r="G696" s="67" t="str">
        <f>VLOOKUP(F696,[2]装箱单!$A:$C,3,0)</f>
        <v>粉紫水晶狗</v>
      </c>
      <c r="H696" s="67">
        <f t="shared" si="158"/>
        <v>10</v>
      </c>
      <c r="I696" s="68">
        <f t="shared" si="159"/>
        <v>60</v>
      </c>
      <c r="J696" s="68" t="s">
        <v>32</v>
      </c>
      <c r="K696" s="68" t="s">
        <v>33</v>
      </c>
      <c r="L696" s="69">
        <v>3</v>
      </c>
      <c r="M696" s="65">
        <f t="shared" si="152"/>
        <v>0.0380784157785</v>
      </c>
      <c r="N696" s="69" t="s">
        <v>34</v>
      </c>
      <c r="O696" s="67"/>
      <c r="P696" s="74"/>
      <c r="Q696" s="71">
        <f>VLOOKUP($F696,[2]装箱单!$A:$E,5,0)</f>
        <v>32.385</v>
      </c>
      <c r="R696" s="71">
        <f>VLOOKUP($F696,[2]装箱单!$A:$F,6,0)</f>
        <v>22.86</v>
      </c>
      <c r="S696" s="71">
        <f>VLOOKUP($F696,[2]装箱单!$A:$G,7,0)</f>
        <v>17.145</v>
      </c>
      <c r="T696" s="72">
        <f>VLOOKUP($F696,[2]装箱单!$A:$J,10,0)</f>
        <v>0.0126928052595</v>
      </c>
      <c r="U696" s="73">
        <f t="shared" si="153"/>
        <v>0.0380784157785</v>
      </c>
      <c r="V696" s="12"/>
    </row>
    <row r="697" s="1" customFormat="1" ht="29.1" customHeight="1" spans="1:22">
      <c r="A697" s="62">
        <v>46252</v>
      </c>
      <c r="B697" s="63" t="s">
        <v>2005</v>
      </c>
      <c r="C697" s="64" t="s">
        <v>2046</v>
      </c>
      <c r="D697" s="66"/>
      <c r="E697" s="67"/>
      <c r="F697" s="66">
        <v>261075</v>
      </c>
      <c r="G697" s="67" t="str">
        <f>VLOOKUP(F697,[2]装箱单!$A:$C,3,0)</f>
        <v>绿水晶狗</v>
      </c>
      <c r="H697" s="67">
        <f t="shared" si="158"/>
        <v>10</v>
      </c>
      <c r="I697" s="68">
        <f t="shared" si="159"/>
        <v>60</v>
      </c>
      <c r="J697" s="68" t="s">
        <v>32</v>
      </c>
      <c r="K697" s="68" t="s">
        <v>33</v>
      </c>
      <c r="L697" s="69">
        <v>3</v>
      </c>
      <c r="M697" s="65">
        <f t="shared" si="152"/>
        <v>0.0380784157785</v>
      </c>
      <c r="N697" s="69" t="s">
        <v>34</v>
      </c>
      <c r="O697" s="67"/>
      <c r="P697" s="74"/>
      <c r="Q697" s="71">
        <f>VLOOKUP($F697,[2]装箱单!$A:$E,5,0)</f>
        <v>32.385</v>
      </c>
      <c r="R697" s="71">
        <f>VLOOKUP($F697,[2]装箱单!$A:$F,6,0)</f>
        <v>22.86</v>
      </c>
      <c r="S697" s="71">
        <f>VLOOKUP($F697,[2]装箱单!$A:$G,7,0)</f>
        <v>17.145</v>
      </c>
      <c r="T697" s="72">
        <f>VLOOKUP($F697,[2]装箱单!$A:$J,10,0)</f>
        <v>0.0126928052595</v>
      </c>
      <c r="U697" s="73">
        <f t="shared" si="153"/>
        <v>0.0380784157785</v>
      </c>
      <c r="V697" s="12"/>
    </row>
    <row r="698" s="1" customFormat="1" ht="29.1" customHeight="1" spans="1:22">
      <c r="A698" s="62">
        <v>46252</v>
      </c>
      <c r="B698" s="63" t="s">
        <v>2005</v>
      </c>
      <c r="C698" s="64" t="s">
        <v>2046</v>
      </c>
      <c r="D698" s="66"/>
      <c r="E698" s="67"/>
      <c r="F698" s="66">
        <v>261076</v>
      </c>
      <c r="G698" s="67" t="str">
        <f>VLOOKUP(F698,[2]装箱单!$A:$C,3,0)</f>
        <v>黑白水晶狗</v>
      </c>
      <c r="H698" s="67">
        <f t="shared" si="158"/>
        <v>10</v>
      </c>
      <c r="I698" s="68">
        <f t="shared" si="159"/>
        <v>40</v>
      </c>
      <c r="J698" s="68" t="s">
        <v>32</v>
      </c>
      <c r="K698" s="68" t="s">
        <v>33</v>
      </c>
      <c r="L698" s="69">
        <v>2</v>
      </c>
      <c r="M698" s="65">
        <f t="shared" si="152"/>
        <v>0.025385610519</v>
      </c>
      <c r="N698" s="69" t="s">
        <v>34</v>
      </c>
      <c r="O698" s="67"/>
      <c r="P698" s="74"/>
      <c r="Q698" s="71">
        <f>VLOOKUP($F698,[2]装箱单!$A:$E,5,0)</f>
        <v>32.385</v>
      </c>
      <c r="R698" s="71">
        <f>VLOOKUP($F698,[2]装箱单!$A:$F,6,0)</f>
        <v>22.86</v>
      </c>
      <c r="S698" s="71">
        <f>VLOOKUP($F698,[2]装箱单!$A:$G,7,0)</f>
        <v>17.145</v>
      </c>
      <c r="T698" s="72">
        <f>VLOOKUP($F698,[2]装箱单!$A:$J,10,0)</f>
        <v>0.0126928052595</v>
      </c>
      <c r="U698" s="73">
        <f t="shared" si="153"/>
        <v>0.025385610519</v>
      </c>
      <c r="V698" s="12"/>
    </row>
    <row r="699" s="1" customFormat="1" ht="29.1" customHeight="1" spans="1:22">
      <c r="A699" s="62">
        <v>46252</v>
      </c>
      <c r="B699" s="63" t="s">
        <v>2005</v>
      </c>
      <c r="C699" s="64" t="s">
        <v>2046</v>
      </c>
      <c r="D699" s="66"/>
      <c r="E699" s="67"/>
      <c r="F699" s="66">
        <v>261077</v>
      </c>
      <c r="G699" s="67" t="str">
        <f>VLOOKUP(F699,[2]装箱单!$A:$C,3,0)</f>
        <v>红绿水晶狗</v>
      </c>
      <c r="H699" s="67">
        <f t="shared" si="158"/>
        <v>10</v>
      </c>
      <c r="I699" s="68">
        <f t="shared" si="159"/>
        <v>80</v>
      </c>
      <c r="J699" s="68" t="s">
        <v>32</v>
      </c>
      <c r="K699" s="68" t="s">
        <v>33</v>
      </c>
      <c r="L699" s="69">
        <v>4</v>
      </c>
      <c r="M699" s="65">
        <f t="shared" si="152"/>
        <v>0.050771221038</v>
      </c>
      <c r="N699" s="69" t="s">
        <v>34</v>
      </c>
      <c r="O699" s="67"/>
      <c r="P699" s="74"/>
      <c r="Q699" s="71">
        <f>VLOOKUP($F699,[2]装箱单!$A:$E,5,0)</f>
        <v>32.385</v>
      </c>
      <c r="R699" s="71">
        <f>VLOOKUP($F699,[2]装箱单!$A:$F,6,0)</f>
        <v>22.86</v>
      </c>
      <c r="S699" s="71">
        <f>VLOOKUP($F699,[2]装箱单!$A:$G,7,0)</f>
        <v>17.145</v>
      </c>
      <c r="T699" s="72">
        <f>VLOOKUP($F699,[2]装箱单!$A:$J,10,0)</f>
        <v>0.0126928052595</v>
      </c>
      <c r="U699" s="73">
        <f t="shared" si="153"/>
        <v>0.050771221038</v>
      </c>
      <c r="V699" s="12"/>
    </row>
    <row r="700" s="1" customFormat="1" ht="29.1" customHeight="1" spans="1:22">
      <c r="A700" s="62">
        <v>46252</v>
      </c>
      <c r="B700" s="63" t="s">
        <v>2005</v>
      </c>
      <c r="C700" s="64" t="s">
        <v>2046</v>
      </c>
      <c r="D700" s="66"/>
      <c r="E700" s="67"/>
      <c r="F700" s="66">
        <v>261078</v>
      </c>
      <c r="G700" s="67" t="str">
        <f>VLOOKUP(F700,[2]装箱单!$A:$C,3,0)</f>
        <v>粉蓝水晶狗</v>
      </c>
      <c r="H700" s="67">
        <f t="shared" si="158"/>
        <v>10</v>
      </c>
      <c r="I700" s="68">
        <f t="shared" si="159"/>
        <v>100</v>
      </c>
      <c r="J700" s="68" t="s">
        <v>32</v>
      </c>
      <c r="K700" s="68" t="s">
        <v>33</v>
      </c>
      <c r="L700" s="69">
        <v>5</v>
      </c>
      <c r="M700" s="65">
        <f t="shared" si="152"/>
        <v>0.0634640262975</v>
      </c>
      <c r="N700" s="69" t="s">
        <v>34</v>
      </c>
      <c r="O700" s="67"/>
      <c r="P700" s="74"/>
      <c r="Q700" s="71">
        <f>VLOOKUP($F700,[2]装箱单!$A:$E,5,0)</f>
        <v>32.385</v>
      </c>
      <c r="R700" s="71">
        <f>VLOOKUP($F700,[2]装箱单!$A:$F,6,0)</f>
        <v>22.86</v>
      </c>
      <c r="S700" s="71">
        <f>VLOOKUP($F700,[2]装箱单!$A:$G,7,0)</f>
        <v>17.145</v>
      </c>
      <c r="T700" s="72">
        <f>VLOOKUP($F700,[2]装箱单!$A:$J,10,0)</f>
        <v>0.0126928052595</v>
      </c>
      <c r="U700" s="73">
        <f t="shared" si="153"/>
        <v>0.0634640262975</v>
      </c>
      <c r="V700" s="12"/>
    </row>
    <row r="701" s="1" customFormat="1" ht="29.1" customHeight="1" spans="1:22">
      <c r="A701" s="62">
        <v>46252</v>
      </c>
      <c r="B701" s="63" t="s">
        <v>2005</v>
      </c>
      <c r="C701" s="64" t="s">
        <v>2046</v>
      </c>
      <c r="D701" s="66"/>
      <c r="E701" s="67"/>
      <c r="F701" s="66">
        <v>261079</v>
      </c>
      <c r="G701" s="67" t="str">
        <f>VLOOKUP(F701,[2]装箱单!$A:$C,3,0)</f>
        <v>蓝白水晶狗</v>
      </c>
      <c r="H701" s="67">
        <f t="shared" si="158"/>
        <v>10</v>
      </c>
      <c r="I701" s="68">
        <f t="shared" si="159"/>
        <v>100</v>
      </c>
      <c r="J701" s="68" t="s">
        <v>32</v>
      </c>
      <c r="K701" s="68" t="s">
        <v>33</v>
      </c>
      <c r="L701" s="69">
        <v>5</v>
      </c>
      <c r="M701" s="65">
        <f t="shared" si="152"/>
        <v>0.0634640262975</v>
      </c>
      <c r="N701" s="69" t="s">
        <v>34</v>
      </c>
      <c r="O701" s="67"/>
      <c r="P701" s="74"/>
      <c r="Q701" s="71">
        <f>VLOOKUP($F701,[2]装箱单!$A:$E,5,0)</f>
        <v>32.385</v>
      </c>
      <c r="R701" s="71">
        <f>VLOOKUP($F701,[2]装箱单!$A:$F,6,0)</f>
        <v>22.86</v>
      </c>
      <c r="S701" s="71">
        <f>VLOOKUP($F701,[2]装箱单!$A:$G,7,0)</f>
        <v>17.145</v>
      </c>
      <c r="T701" s="72">
        <f>VLOOKUP($F701,[2]装箱单!$A:$J,10,0)</f>
        <v>0.0126928052595</v>
      </c>
      <c r="U701" s="73">
        <f t="shared" si="153"/>
        <v>0.0634640262975</v>
      </c>
      <c r="V701" s="12"/>
    </row>
    <row r="702" s="1" customFormat="1" ht="29.1" customHeight="1" spans="1:22">
      <c r="A702" s="62">
        <v>46252</v>
      </c>
      <c r="B702" s="63" t="s">
        <v>2005</v>
      </c>
      <c r="C702" s="64" t="s">
        <v>2046</v>
      </c>
      <c r="D702" s="66"/>
      <c r="E702" s="67"/>
      <c r="F702" s="66">
        <v>261080</v>
      </c>
      <c r="G702" s="67" t="str">
        <f>VLOOKUP(F702,[2]装箱单!$A:$C,3,0)</f>
        <v>橙红水晶狗</v>
      </c>
      <c r="H702" s="67">
        <f t="shared" si="158"/>
        <v>10</v>
      </c>
      <c r="I702" s="68">
        <f t="shared" si="159"/>
        <v>60</v>
      </c>
      <c r="J702" s="68" t="s">
        <v>32</v>
      </c>
      <c r="K702" s="68" t="s">
        <v>33</v>
      </c>
      <c r="L702" s="69">
        <v>3</v>
      </c>
      <c r="M702" s="65">
        <f t="shared" si="152"/>
        <v>0.0380784157785</v>
      </c>
      <c r="N702" s="69" t="s">
        <v>34</v>
      </c>
      <c r="O702" s="67"/>
      <c r="P702" s="74"/>
      <c r="Q702" s="71">
        <f>VLOOKUP($F702,[2]装箱单!$A:$E,5,0)</f>
        <v>32.385</v>
      </c>
      <c r="R702" s="71">
        <f>VLOOKUP($F702,[2]装箱单!$A:$F,6,0)</f>
        <v>22.86</v>
      </c>
      <c r="S702" s="71">
        <f>VLOOKUP($F702,[2]装箱单!$A:$G,7,0)</f>
        <v>17.145</v>
      </c>
      <c r="T702" s="72">
        <f>VLOOKUP($F702,[2]装箱单!$A:$J,10,0)</f>
        <v>0.0126928052595</v>
      </c>
      <c r="U702" s="73">
        <f t="shared" si="153"/>
        <v>0.0380784157785</v>
      </c>
      <c r="V702" s="12"/>
    </row>
    <row r="703" s="1" customFormat="1" ht="29.1" customHeight="1" spans="1:22">
      <c r="A703" s="62">
        <v>46252</v>
      </c>
      <c r="B703" s="63" t="s">
        <v>2005</v>
      </c>
      <c r="C703" s="64" t="s">
        <v>2046</v>
      </c>
      <c r="D703" s="66"/>
      <c r="E703" s="67"/>
      <c r="F703" s="66">
        <v>261081</v>
      </c>
      <c r="G703" s="67" t="str">
        <f>VLOOKUP(F703,[2]装箱单!$A:$C,3,0)</f>
        <v>蓝紫水晶狗</v>
      </c>
      <c r="H703" s="67">
        <f t="shared" si="158"/>
        <v>10</v>
      </c>
      <c r="I703" s="68">
        <f t="shared" si="159"/>
        <v>100</v>
      </c>
      <c r="J703" s="68" t="s">
        <v>32</v>
      </c>
      <c r="K703" s="68" t="s">
        <v>33</v>
      </c>
      <c r="L703" s="69">
        <v>5</v>
      </c>
      <c r="M703" s="65">
        <f t="shared" si="152"/>
        <v>0.0634640262975</v>
      </c>
      <c r="N703" s="69" t="s">
        <v>34</v>
      </c>
      <c r="O703" s="67"/>
      <c r="P703" s="74"/>
      <c r="Q703" s="71">
        <f>VLOOKUP($F703,[2]装箱单!$A:$E,5,0)</f>
        <v>32.385</v>
      </c>
      <c r="R703" s="71">
        <f>VLOOKUP($F703,[2]装箱单!$A:$F,6,0)</f>
        <v>22.86</v>
      </c>
      <c r="S703" s="71">
        <f>VLOOKUP($F703,[2]装箱单!$A:$G,7,0)</f>
        <v>17.145</v>
      </c>
      <c r="T703" s="72">
        <f>VLOOKUP($F703,[2]装箱单!$A:$J,10,0)</f>
        <v>0.0126928052595</v>
      </c>
      <c r="U703" s="73">
        <f t="shared" si="153"/>
        <v>0.0634640262975</v>
      </c>
      <c r="V703" s="12"/>
    </row>
    <row r="704" s="1" customFormat="1" ht="29.1" customHeight="1" spans="1:22">
      <c r="A704" s="62">
        <v>46252</v>
      </c>
      <c r="B704" s="63" t="s">
        <v>2005</v>
      </c>
      <c r="C704" s="64" t="s">
        <v>2046</v>
      </c>
      <c r="D704" s="66"/>
      <c r="E704" s="67"/>
      <c r="F704" s="66">
        <v>261082</v>
      </c>
      <c r="G704" s="67" t="str">
        <f>VLOOKUP(F704,[2]装箱单!$A:$C,3,0)</f>
        <v>黄水晶狗</v>
      </c>
      <c r="H704" s="67">
        <f t="shared" si="158"/>
        <v>10</v>
      </c>
      <c r="I704" s="68">
        <f t="shared" si="159"/>
        <v>100</v>
      </c>
      <c r="J704" s="68" t="s">
        <v>32</v>
      </c>
      <c r="K704" s="68" t="s">
        <v>33</v>
      </c>
      <c r="L704" s="69">
        <v>5</v>
      </c>
      <c r="M704" s="65">
        <f t="shared" si="152"/>
        <v>0.0634640262975</v>
      </c>
      <c r="N704" s="69" t="s">
        <v>34</v>
      </c>
      <c r="O704" s="67"/>
      <c r="P704" s="74"/>
      <c r="Q704" s="71">
        <f>VLOOKUP($F704,[2]装箱单!$A:$E,5,0)</f>
        <v>32.385</v>
      </c>
      <c r="R704" s="71">
        <f>VLOOKUP($F704,[2]装箱单!$A:$F,6,0)</f>
        <v>22.86</v>
      </c>
      <c r="S704" s="71">
        <f>VLOOKUP($F704,[2]装箱单!$A:$G,7,0)</f>
        <v>17.145</v>
      </c>
      <c r="T704" s="72">
        <f>VLOOKUP($F704,[2]装箱单!$A:$J,10,0)</f>
        <v>0.0126928052595</v>
      </c>
      <c r="U704" s="73">
        <f t="shared" si="153"/>
        <v>0.0634640262975</v>
      </c>
      <c r="V704" s="12"/>
    </row>
    <row r="705" s="1" customFormat="1" ht="29.1" customHeight="1" spans="1:22">
      <c r="A705" s="62">
        <v>46252</v>
      </c>
      <c r="B705" s="63" t="s">
        <v>2005</v>
      </c>
      <c r="C705" s="64" t="s">
        <v>2047</v>
      </c>
      <c r="D705" s="66"/>
      <c r="E705" s="67"/>
      <c r="F705" s="66">
        <v>267765</v>
      </c>
      <c r="G705" s="67" t="str">
        <f>VLOOKUP(F705,[2]装箱单!$A:$C,3,0)</f>
        <v>黑红小鸭</v>
      </c>
      <c r="H705" s="67">
        <f t="shared" si="158"/>
        <v>10</v>
      </c>
      <c r="I705" s="68">
        <f t="shared" si="159"/>
        <v>100</v>
      </c>
      <c r="J705" s="68" t="s">
        <v>32</v>
      </c>
      <c r="K705" s="68" t="s">
        <v>33</v>
      </c>
      <c r="L705" s="69">
        <v>5</v>
      </c>
      <c r="M705" s="65">
        <f t="shared" si="152"/>
        <v>0.0946352946</v>
      </c>
      <c r="N705" s="69" t="s">
        <v>34</v>
      </c>
      <c r="O705" s="67"/>
      <c r="P705" s="74"/>
      <c r="Q705" s="71">
        <f>VLOOKUP($F705,[2]装箱单!$A:$E,5,0)</f>
        <v>41.91</v>
      </c>
      <c r="R705" s="71">
        <f>VLOOKUP($F705,[2]装箱单!$A:$F,6,0)</f>
        <v>17.78</v>
      </c>
      <c r="S705" s="71">
        <f>VLOOKUP($F705,[2]装箱单!$A:$G,7,0)</f>
        <v>25.4</v>
      </c>
      <c r="T705" s="72">
        <f>VLOOKUP($F705,[2]装箱单!$A:$J,10,0)</f>
        <v>0.01892705892</v>
      </c>
      <c r="U705" s="73">
        <f t="shared" si="153"/>
        <v>0.0946352946</v>
      </c>
      <c r="V705" s="12"/>
    </row>
    <row r="706" s="1" customFormat="1" ht="29.1" customHeight="1" spans="1:22">
      <c r="A706" s="62">
        <v>46252</v>
      </c>
      <c r="B706" s="63" t="s">
        <v>2005</v>
      </c>
      <c r="C706" s="64" t="s">
        <v>2047</v>
      </c>
      <c r="D706" s="66"/>
      <c r="E706" s="67"/>
      <c r="F706" s="66">
        <v>267763</v>
      </c>
      <c r="G706" s="67" t="str">
        <f>VLOOKUP(F706,[2]装箱单!$A:$C,3,0)</f>
        <v>黑枣红小鸭</v>
      </c>
      <c r="H706" s="67">
        <f t="shared" si="158"/>
        <v>10</v>
      </c>
      <c r="I706" s="68">
        <f t="shared" si="159"/>
        <v>100</v>
      </c>
      <c r="J706" s="68" t="s">
        <v>32</v>
      </c>
      <c r="K706" s="68" t="s">
        <v>33</v>
      </c>
      <c r="L706" s="69">
        <v>5</v>
      </c>
      <c r="M706" s="65">
        <f t="shared" si="152"/>
        <v>0.0946352946</v>
      </c>
      <c r="N706" s="69" t="s">
        <v>34</v>
      </c>
      <c r="O706" s="67"/>
      <c r="P706" s="74"/>
      <c r="Q706" s="71">
        <f>VLOOKUP($F706,[2]装箱单!$A:$E,5,0)</f>
        <v>41.91</v>
      </c>
      <c r="R706" s="71">
        <f>VLOOKUP($F706,[2]装箱单!$A:$F,6,0)</f>
        <v>17.78</v>
      </c>
      <c r="S706" s="71">
        <f>VLOOKUP($F706,[2]装箱单!$A:$G,7,0)</f>
        <v>25.4</v>
      </c>
      <c r="T706" s="72">
        <f>VLOOKUP($F706,[2]装箱单!$A:$J,10,0)</f>
        <v>0.01892705892</v>
      </c>
      <c r="U706" s="73">
        <f t="shared" si="153"/>
        <v>0.0946352946</v>
      </c>
      <c r="V706" s="12"/>
    </row>
    <row r="707" s="1" customFormat="1" ht="29.1" customHeight="1" spans="1:22">
      <c r="A707" s="62">
        <v>46252</v>
      </c>
      <c r="B707" s="63" t="s">
        <v>2005</v>
      </c>
      <c r="C707" s="64" t="s">
        <v>2047</v>
      </c>
      <c r="D707" s="66"/>
      <c r="E707" s="67"/>
      <c r="F707" s="66">
        <v>267755</v>
      </c>
      <c r="G707" s="67" t="str">
        <f>VLOOKUP(F707,[2]装箱单!$A:$C,3,0)</f>
        <v>胖绿小鸭</v>
      </c>
      <c r="H707" s="67">
        <f t="shared" si="158"/>
        <v>10</v>
      </c>
      <c r="I707" s="68">
        <f t="shared" si="159"/>
        <v>120</v>
      </c>
      <c r="J707" s="68" t="s">
        <v>32</v>
      </c>
      <c r="K707" s="68" t="s">
        <v>33</v>
      </c>
      <c r="L707" s="69">
        <v>6</v>
      </c>
      <c r="M707" s="65">
        <f t="shared" si="152"/>
        <v>0.11356235352</v>
      </c>
      <c r="N707" s="69" t="s">
        <v>34</v>
      </c>
      <c r="O707" s="67"/>
      <c r="P707" s="74"/>
      <c r="Q707" s="71">
        <f>VLOOKUP($F707,[2]装箱单!$A:$E,5,0)</f>
        <v>41.91</v>
      </c>
      <c r="R707" s="71">
        <f>VLOOKUP($F707,[2]装箱单!$A:$F,6,0)</f>
        <v>17.78</v>
      </c>
      <c r="S707" s="71">
        <f>VLOOKUP($F707,[2]装箱单!$A:$G,7,0)</f>
        <v>25.4</v>
      </c>
      <c r="T707" s="72">
        <f>VLOOKUP($F707,[2]装箱单!$A:$J,10,0)</f>
        <v>0.01892705892</v>
      </c>
      <c r="U707" s="73">
        <f t="shared" si="153"/>
        <v>0.11356235352</v>
      </c>
      <c r="V707" s="12"/>
    </row>
    <row r="708" s="1" customFormat="1" ht="29.1" customHeight="1" spans="1:22">
      <c r="A708" s="62">
        <v>46252</v>
      </c>
      <c r="B708" s="63" t="s">
        <v>2005</v>
      </c>
      <c r="C708" s="64" t="s">
        <v>2047</v>
      </c>
      <c r="D708" s="66"/>
      <c r="E708" s="67"/>
      <c r="F708" s="66">
        <v>267762</v>
      </c>
      <c r="G708" s="67" t="str">
        <f>VLOOKUP(F708,[2]装箱单!$A:$C,3,0)</f>
        <v>枣黑小鸭</v>
      </c>
      <c r="H708" s="67">
        <f t="shared" si="158"/>
        <v>10</v>
      </c>
      <c r="I708" s="68">
        <f t="shared" si="159"/>
        <v>120</v>
      </c>
      <c r="J708" s="68" t="s">
        <v>32</v>
      </c>
      <c r="K708" s="68" t="s">
        <v>33</v>
      </c>
      <c r="L708" s="69">
        <v>6</v>
      </c>
      <c r="M708" s="65">
        <f t="shared" si="152"/>
        <v>0.11356235352</v>
      </c>
      <c r="N708" s="69" t="s">
        <v>34</v>
      </c>
      <c r="O708" s="67"/>
      <c r="P708" s="74"/>
      <c r="Q708" s="71">
        <f>VLOOKUP($F708,[2]装箱单!$A:$E,5,0)</f>
        <v>41.91</v>
      </c>
      <c r="R708" s="71">
        <f>VLOOKUP($F708,[2]装箱单!$A:$F,6,0)</f>
        <v>17.78</v>
      </c>
      <c r="S708" s="71">
        <f>VLOOKUP($F708,[2]装箱单!$A:$G,7,0)</f>
        <v>25.4</v>
      </c>
      <c r="T708" s="72">
        <f>VLOOKUP($F708,[2]装箱单!$A:$J,10,0)</f>
        <v>0.01892705892</v>
      </c>
      <c r="U708" s="73">
        <f t="shared" si="153"/>
        <v>0.11356235352</v>
      </c>
      <c r="V708" s="12"/>
    </row>
    <row r="709" s="1" customFormat="1" ht="29.1" customHeight="1" spans="1:22">
      <c r="A709" s="62">
        <v>46252</v>
      </c>
      <c r="B709" s="63" t="s">
        <v>2005</v>
      </c>
      <c r="C709" s="64" t="s">
        <v>2047</v>
      </c>
      <c r="D709" s="66"/>
      <c r="E709" s="67"/>
      <c r="F709" s="66">
        <v>267766</v>
      </c>
      <c r="G709" s="67" t="str">
        <f>VLOOKUP(F709,[2]装箱单!$A:$C,3,0)</f>
        <v>蓝兰小鸭</v>
      </c>
      <c r="H709" s="67">
        <f t="shared" si="158"/>
        <v>10</v>
      </c>
      <c r="I709" s="68">
        <f t="shared" si="159"/>
        <v>40</v>
      </c>
      <c r="J709" s="68" t="s">
        <v>32</v>
      </c>
      <c r="K709" s="68" t="s">
        <v>33</v>
      </c>
      <c r="L709" s="69">
        <v>2</v>
      </c>
      <c r="M709" s="65">
        <f t="shared" si="152"/>
        <v>0.03785411784</v>
      </c>
      <c r="N709" s="69" t="s">
        <v>34</v>
      </c>
      <c r="O709" s="67"/>
      <c r="P709" s="74"/>
      <c r="Q709" s="71">
        <f>VLOOKUP($F709,[2]装箱单!$A:$E,5,0)</f>
        <v>41.91</v>
      </c>
      <c r="R709" s="71">
        <f>VLOOKUP($F709,[2]装箱单!$A:$F,6,0)</f>
        <v>17.78</v>
      </c>
      <c r="S709" s="71">
        <f>VLOOKUP($F709,[2]装箱单!$A:$G,7,0)</f>
        <v>25.4</v>
      </c>
      <c r="T709" s="72">
        <f>VLOOKUP($F709,[2]装箱单!$A:$J,10,0)</f>
        <v>0.01892705892</v>
      </c>
      <c r="U709" s="73">
        <f t="shared" si="153"/>
        <v>0.03785411784</v>
      </c>
      <c r="V709" s="12"/>
    </row>
    <row r="710" s="1" customFormat="1" ht="29.1" customHeight="1" spans="1:22">
      <c r="A710" s="62">
        <v>46252</v>
      </c>
      <c r="B710" s="63" t="s">
        <v>2005</v>
      </c>
      <c r="C710" s="64" t="s">
        <v>2047</v>
      </c>
      <c r="D710" s="66"/>
      <c r="E710" s="67"/>
      <c r="F710" s="66">
        <v>267761</v>
      </c>
      <c r="G710" s="67" t="str">
        <f>VLOOKUP(F710,[2]装箱单!$A:$C,3,0)</f>
        <v>米小鸭</v>
      </c>
      <c r="H710" s="67">
        <f t="shared" si="158"/>
        <v>10</v>
      </c>
      <c r="I710" s="68">
        <f t="shared" si="159"/>
        <v>120</v>
      </c>
      <c r="J710" s="68" t="s">
        <v>32</v>
      </c>
      <c r="K710" s="68" t="s">
        <v>33</v>
      </c>
      <c r="L710" s="69">
        <v>6</v>
      </c>
      <c r="M710" s="65">
        <f t="shared" si="152"/>
        <v>0.11356235352</v>
      </c>
      <c r="N710" s="69" t="s">
        <v>34</v>
      </c>
      <c r="O710" s="67"/>
      <c r="P710" s="74"/>
      <c r="Q710" s="71">
        <f>VLOOKUP($F710,[2]装箱单!$A:$E,5,0)</f>
        <v>41.91</v>
      </c>
      <c r="R710" s="71">
        <f>VLOOKUP($F710,[2]装箱单!$A:$F,6,0)</f>
        <v>17.78</v>
      </c>
      <c r="S710" s="71">
        <f>VLOOKUP($F710,[2]装箱单!$A:$G,7,0)</f>
        <v>25.4</v>
      </c>
      <c r="T710" s="72">
        <f>VLOOKUP($F710,[2]装箱单!$A:$J,10,0)</f>
        <v>0.01892705892</v>
      </c>
      <c r="U710" s="73">
        <f t="shared" si="153"/>
        <v>0.11356235352</v>
      </c>
      <c r="V710" s="12"/>
    </row>
    <row r="711" s="1" customFormat="1" ht="29.1" customHeight="1" spans="1:22">
      <c r="A711" s="62">
        <v>46252</v>
      </c>
      <c r="B711" s="63" t="s">
        <v>2005</v>
      </c>
      <c r="C711" s="64" t="s">
        <v>2047</v>
      </c>
      <c r="D711" s="66"/>
      <c r="E711" s="67"/>
      <c r="F711" s="66">
        <v>267754</v>
      </c>
      <c r="G711" s="67" t="str">
        <f>VLOOKUP(F711,[2]装箱单!$A:$C,3,0)</f>
        <v>紫黄小鸭</v>
      </c>
      <c r="H711" s="67">
        <f t="shared" si="158"/>
        <v>10</v>
      </c>
      <c r="I711" s="68">
        <f t="shared" si="159"/>
        <v>120</v>
      </c>
      <c r="J711" s="68" t="s">
        <v>32</v>
      </c>
      <c r="K711" s="68" t="s">
        <v>33</v>
      </c>
      <c r="L711" s="69">
        <v>6</v>
      </c>
      <c r="M711" s="65">
        <f t="shared" si="152"/>
        <v>0.11356235352</v>
      </c>
      <c r="N711" s="69" t="s">
        <v>34</v>
      </c>
      <c r="O711" s="67"/>
      <c r="P711" s="74"/>
      <c r="Q711" s="71">
        <f>VLOOKUP($F711,[2]装箱单!$A:$E,5,0)</f>
        <v>41.91</v>
      </c>
      <c r="R711" s="71">
        <f>VLOOKUP($F711,[2]装箱单!$A:$F,6,0)</f>
        <v>17.78</v>
      </c>
      <c r="S711" s="71">
        <f>VLOOKUP($F711,[2]装箱单!$A:$G,7,0)</f>
        <v>25.4</v>
      </c>
      <c r="T711" s="72">
        <f>VLOOKUP($F711,[2]装箱单!$A:$J,10,0)</f>
        <v>0.01892705892</v>
      </c>
      <c r="U711" s="73">
        <f t="shared" si="153"/>
        <v>0.11356235352</v>
      </c>
      <c r="V711" s="12"/>
    </row>
    <row r="712" s="1" customFormat="1" ht="29.1" customHeight="1" spans="1:22">
      <c r="A712" s="62">
        <v>46252</v>
      </c>
      <c r="B712" s="63" t="s">
        <v>2005</v>
      </c>
      <c r="C712" s="64" t="s">
        <v>2047</v>
      </c>
      <c r="D712" s="66"/>
      <c r="E712" s="67"/>
      <c r="F712" s="66">
        <v>267759</v>
      </c>
      <c r="G712" s="67" t="str">
        <f>VLOOKUP(F712,[2]装箱单!$A:$C,3,0)</f>
        <v>黄小鸭</v>
      </c>
      <c r="H712" s="67">
        <f t="shared" si="158"/>
        <v>10</v>
      </c>
      <c r="I712" s="68">
        <f t="shared" si="159"/>
        <v>60</v>
      </c>
      <c r="J712" s="68" t="s">
        <v>32</v>
      </c>
      <c r="K712" s="68" t="s">
        <v>33</v>
      </c>
      <c r="L712" s="69">
        <v>3</v>
      </c>
      <c r="M712" s="65">
        <f t="shared" si="152"/>
        <v>0.05678117676</v>
      </c>
      <c r="N712" s="69" t="s">
        <v>34</v>
      </c>
      <c r="O712" s="67"/>
      <c r="P712" s="74"/>
      <c r="Q712" s="71">
        <f>VLOOKUP($F712,[2]装箱单!$A:$E,5,0)</f>
        <v>41.91</v>
      </c>
      <c r="R712" s="71">
        <f>VLOOKUP($F712,[2]装箱单!$A:$F,6,0)</f>
        <v>17.78</v>
      </c>
      <c r="S712" s="71">
        <f>VLOOKUP($F712,[2]装箱单!$A:$G,7,0)</f>
        <v>25.4</v>
      </c>
      <c r="T712" s="72">
        <f>VLOOKUP($F712,[2]装箱单!$A:$J,10,0)</f>
        <v>0.01892705892</v>
      </c>
      <c r="U712" s="73">
        <f t="shared" si="153"/>
        <v>0.05678117676</v>
      </c>
      <c r="V712" s="12"/>
    </row>
    <row r="713" s="1" customFormat="1" ht="29.1" customHeight="1" spans="1:22">
      <c r="A713" s="62">
        <v>46252</v>
      </c>
      <c r="B713" s="63" t="s">
        <v>2005</v>
      </c>
      <c r="C713" s="64" t="s">
        <v>2047</v>
      </c>
      <c r="D713" s="66"/>
      <c r="E713" s="67"/>
      <c r="F713" s="66">
        <v>267758</v>
      </c>
      <c r="G713" s="67" t="str">
        <f>VLOOKUP(F713,[2]装箱单!$A:$C,3,0)</f>
        <v>橙小鸭</v>
      </c>
      <c r="H713" s="67">
        <f t="shared" si="158"/>
        <v>10</v>
      </c>
      <c r="I713" s="68">
        <f t="shared" si="159"/>
        <v>40</v>
      </c>
      <c r="J713" s="68" t="s">
        <v>32</v>
      </c>
      <c r="K713" s="68" t="s">
        <v>33</v>
      </c>
      <c r="L713" s="69">
        <v>2</v>
      </c>
      <c r="M713" s="65">
        <f t="shared" si="152"/>
        <v>0.03785411784</v>
      </c>
      <c r="N713" s="69" t="s">
        <v>34</v>
      </c>
      <c r="O713" s="67"/>
      <c r="P713" s="74"/>
      <c r="Q713" s="71">
        <f>VLOOKUP($F713,[2]装箱单!$A:$E,5,0)</f>
        <v>41.91</v>
      </c>
      <c r="R713" s="71">
        <f>VLOOKUP($F713,[2]装箱单!$A:$F,6,0)</f>
        <v>17.78</v>
      </c>
      <c r="S713" s="71">
        <f>VLOOKUP($F713,[2]装箱单!$A:$G,7,0)</f>
        <v>25.4</v>
      </c>
      <c r="T713" s="72">
        <f>VLOOKUP($F713,[2]装箱单!$A:$J,10,0)</f>
        <v>0.01892705892</v>
      </c>
      <c r="U713" s="73">
        <f t="shared" si="153"/>
        <v>0.03785411784</v>
      </c>
      <c r="V713" s="12"/>
    </row>
    <row r="714" s="1" customFormat="1" ht="29.1" customHeight="1" spans="1:22">
      <c r="A714" s="62">
        <v>46252</v>
      </c>
      <c r="B714" s="63" t="s">
        <v>2005</v>
      </c>
      <c r="C714" s="64" t="s">
        <v>2047</v>
      </c>
      <c r="D714" s="66"/>
      <c r="E714" s="67"/>
      <c r="F714" s="66">
        <v>267764</v>
      </c>
      <c r="G714" s="67" t="str">
        <f>VLOOKUP(F714,[2]装箱单!$A:$C,3,0)</f>
        <v>枣灰小鸭</v>
      </c>
      <c r="H714" s="67">
        <f t="shared" si="158"/>
        <v>10</v>
      </c>
      <c r="I714" s="68">
        <f t="shared" si="159"/>
        <v>100</v>
      </c>
      <c r="J714" s="68" t="s">
        <v>32</v>
      </c>
      <c r="K714" s="68" t="s">
        <v>33</v>
      </c>
      <c r="L714" s="69">
        <v>5</v>
      </c>
      <c r="M714" s="65">
        <f t="shared" si="152"/>
        <v>0.0946352946</v>
      </c>
      <c r="N714" s="69" t="s">
        <v>34</v>
      </c>
      <c r="O714" s="67"/>
      <c r="P714" s="74"/>
      <c r="Q714" s="71">
        <f>VLOOKUP($F714,[2]装箱单!$A:$E,5,0)</f>
        <v>41.91</v>
      </c>
      <c r="R714" s="71">
        <f>VLOOKUP($F714,[2]装箱单!$A:$F,6,0)</f>
        <v>17.78</v>
      </c>
      <c r="S714" s="71">
        <f>VLOOKUP($F714,[2]装箱单!$A:$G,7,0)</f>
        <v>25.4</v>
      </c>
      <c r="T714" s="72">
        <f>VLOOKUP($F714,[2]装箱单!$A:$J,10,0)</f>
        <v>0.01892705892</v>
      </c>
      <c r="U714" s="73">
        <f t="shared" si="153"/>
        <v>0.0946352946</v>
      </c>
      <c r="V714" s="12"/>
    </row>
    <row r="715" s="1" customFormat="1" ht="29.1" customHeight="1" spans="1:22">
      <c r="A715" s="62">
        <v>46252</v>
      </c>
      <c r="B715" s="63" t="s">
        <v>2005</v>
      </c>
      <c r="C715" s="64" t="s">
        <v>2047</v>
      </c>
      <c r="D715" s="66"/>
      <c r="E715" s="67"/>
      <c r="F715" s="66">
        <v>267751</v>
      </c>
      <c r="G715" s="67" t="str">
        <f>VLOOKUP(F715,[2]装箱单!$A:$C,3,0)</f>
        <v>粉黄小鸭</v>
      </c>
      <c r="H715" s="67">
        <f t="shared" si="158"/>
        <v>10</v>
      </c>
      <c r="I715" s="68">
        <f t="shared" si="159"/>
        <v>80</v>
      </c>
      <c r="J715" s="68" t="s">
        <v>32</v>
      </c>
      <c r="K715" s="68" t="s">
        <v>33</v>
      </c>
      <c r="L715" s="69">
        <v>4</v>
      </c>
      <c r="M715" s="65">
        <f t="shared" si="152"/>
        <v>0.07570823568</v>
      </c>
      <c r="N715" s="69" t="s">
        <v>34</v>
      </c>
      <c r="O715" s="67"/>
      <c r="P715" s="74"/>
      <c r="Q715" s="71">
        <f>VLOOKUP($F715,[2]装箱单!$A:$E,5,0)</f>
        <v>41.91</v>
      </c>
      <c r="R715" s="71">
        <f>VLOOKUP($F715,[2]装箱单!$A:$F,6,0)</f>
        <v>17.78</v>
      </c>
      <c r="S715" s="71">
        <f>VLOOKUP($F715,[2]装箱单!$A:$G,7,0)</f>
        <v>25.4</v>
      </c>
      <c r="T715" s="72">
        <f>VLOOKUP($F715,[2]装箱单!$A:$J,10,0)</f>
        <v>0.01892705892</v>
      </c>
      <c r="U715" s="73">
        <f t="shared" si="153"/>
        <v>0.07570823568</v>
      </c>
      <c r="V715" s="12"/>
    </row>
    <row r="716" s="1" customFormat="1" ht="29.1" customHeight="1" spans="1:22">
      <c r="A716" s="62">
        <v>46252</v>
      </c>
      <c r="B716" s="63" t="s">
        <v>2005</v>
      </c>
      <c r="C716" s="64" t="s">
        <v>2047</v>
      </c>
      <c r="D716" s="66"/>
      <c r="E716" s="67"/>
      <c r="F716" s="66">
        <v>267757</v>
      </c>
      <c r="G716" s="67" t="str">
        <f>VLOOKUP(F716,[2]装箱单!$A:$C,3,0)</f>
        <v>蓝小鸭</v>
      </c>
      <c r="H716" s="67">
        <f t="shared" si="158"/>
        <v>10</v>
      </c>
      <c r="I716" s="68">
        <f t="shared" si="159"/>
        <v>40</v>
      </c>
      <c r="J716" s="68" t="s">
        <v>32</v>
      </c>
      <c r="K716" s="68" t="s">
        <v>33</v>
      </c>
      <c r="L716" s="69">
        <v>2</v>
      </c>
      <c r="M716" s="65">
        <f t="shared" si="152"/>
        <v>0.03785411784</v>
      </c>
      <c r="N716" s="69" t="s">
        <v>34</v>
      </c>
      <c r="O716" s="67"/>
      <c r="P716" s="74"/>
      <c r="Q716" s="71">
        <f>VLOOKUP($F716,[2]装箱单!$A:$E,5,0)</f>
        <v>41.91</v>
      </c>
      <c r="R716" s="71">
        <f>VLOOKUP($F716,[2]装箱单!$A:$F,6,0)</f>
        <v>17.78</v>
      </c>
      <c r="S716" s="71">
        <f>VLOOKUP($F716,[2]装箱单!$A:$G,7,0)</f>
        <v>25.4</v>
      </c>
      <c r="T716" s="72">
        <f>VLOOKUP($F716,[2]装箱单!$A:$J,10,0)</f>
        <v>0.01892705892</v>
      </c>
      <c r="U716" s="73">
        <f t="shared" si="153"/>
        <v>0.03785411784</v>
      </c>
      <c r="V716" s="12"/>
    </row>
    <row r="717" s="1" customFormat="1" ht="29.1" customHeight="1" spans="1:22">
      <c r="A717" s="62">
        <v>46252</v>
      </c>
      <c r="B717" s="63" t="s">
        <v>2005</v>
      </c>
      <c r="C717" s="64" t="s">
        <v>2047</v>
      </c>
      <c r="D717" s="66"/>
      <c r="E717" s="67"/>
      <c r="F717" s="66">
        <v>267753</v>
      </c>
      <c r="G717" s="67" t="str">
        <f>VLOOKUP(F717,[2]装箱单!$A:$C,3,0)</f>
        <v>绿小鸭</v>
      </c>
      <c r="H717" s="67">
        <f t="shared" si="158"/>
        <v>10</v>
      </c>
      <c r="I717" s="68">
        <f t="shared" si="159"/>
        <v>40</v>
      </c>
      <c r="J717" s="68" t="s">
        <v>32</v>
      </c>
      <c r="K717" s="68" t="s">
        <v>33</v>
      </c>
      <c r="L717" s="69">
        <v>2</v>
      </c>
      <c r="M717" s="65">
        <f t="shared" si="152"/>
        <v>0.03785411784</v>
      </c>
      <c r="N717" s="69" t="s">
        <v>34</v>
      </c>
      <c r="O717" s="67"/>
      <c r="P717" s="74"/>
      <c r="Q717" s="71">
        <f>VLOOKUP($F717,[2]装箱单!$A:$E,5,0)</f>
        <v>41.91</v>
      </c>
      <c r="R717" s="71">
        <f>VLOOKUP($F717,[2]装箱单!$A:$F,6,0)</f>
        <v>17.78</v>
      </c>
      <c r="S717" s="71">
        <f>VLOOKUP($F717,[2]装箱单!$A:$G,7,0)</f>
        <v>25.4</v>
      </c>
      <c r="T717" s="72">
        <f>VLOOKUP($F717,[2]装箱单!$A:$J,10,0)</f>
        <v>0.01892705892</v>
      </c>
      <c r="U717" s="73">
        <f t="shared" si="153"/>
        <v>0.03785411784</v>
      </c>
      <c r="V717" s="12"/>
    </row>
    <row r="718" s="1" customFormat="1" ht="29.1" customHeight="1" spans="1:22">
      <c r="A718" s="62">
        <v>46252</v>
      </c>
      <c r="B718" s="63" t="s">
        <v>2005</v>
      </c>
      <c r="C718" s="64" t="s">
        <v>2047</v>
      </c>
      <c r="D718" s="66"/>
      <c r="E718" s="67"/>
      <c r="F718" s="66">
        <v>267760</v>
      </c>
      <c r="G718" s="67" t="str">
        <f>VLOOKUP(F718,[2]装箱单!$A:$C,3,0)</f>
        <v>粉小鸭</v>
      </c>
      <c r="H718" s="67">
        <f t="shared" si="158"/>
        <v>10</v>
      </c>
      <c r="I718" s="68">
        <f t="shared" si="159"/>
        <v>120</v>
      </c>
      <c r="J718" s="68" t="s">
        <v>32</v>
      </c>
      <c r="K718" s="68" t="s">
        <v>33</v>
      </c>
      <c r="L718" s="69">
        <v>6</v>
      </c>
      <c r="M718" s="65">
        <f t="shared" si="152"/>
        <v>0.11356235352</v>
      </c>
      <c r="N718" s="69" t="s">
        <v>34</v>
      </c>
      <c r="O718" s="67"/>
      <c r="P718" s="74"/>
      <c r="Q718" s="71">
        <f>VLOOKUP($F718,[2]装箱单!$A:$E,5,0)</f>
        <v>41.91</v>
      </c>
      <c r="R718" s="71">
        <f>VLOOKUP($F718,[2]装箱单!$A:$F,6,0)</f>
        <v>17.78</v>
      </c>
      <c r="S718" s="71">
        <f>VLOOKUP($F718,[2]装箱单!$A:$G,7,0)</f>
        <v>25.4</v>
      </c>
      <c r="T718" s="72">
        <f>VLOOKUP($F718,[2]装箱单!$A:$J,10,0)</f>
        <v>0.01892705892</v>
      </c>
      <c r="U718" s="73">
        <f t="shared" si="153"/>
        <v>0.11356235352</v>
      </c>
      <c r="V718" s="12"/>
    </row>
    <row r="719" s="1" customFormat="1" ht="29.1" customHeight="1" spans="1:22">
      <c r="A719" s="62">
        <v>46252</v>
      </c>
      <c r="B719" s="63" t="s">
        <v>2005</v>
      </c>
      <c r="C719" s="64" t="s">
        <v>2047</v>
      </c>
      <c r="D719" s="66"/>
      <c r="E719" s="67"/>
      <c r="F719" s="66">
        <v>267752</v>
      </c>
      <c r="G719" s="67" t="str">
        <f>VLOOKUP(F719,[2]装箱单!$A:$C,3,0)</f>
        <v>爱心鸭</v>
      </c>
      <c r="H719" s="67">
        <f t="shared" si="158"/>
        <v>10</v>
      </c>
      <c r="I719" s="68">
        <f t="shared" si="159"/>
        <v>140</v>
      </c>
      <c r="J719" s="68" t="s">
        <v>32</v>
      </c>
      <c r="K719" s="68" t="s">
        <v>33</v>
      </c>
      <c r="L719" s="69">
        <v>7</v>
      </c>
      <c r="M719" s="65">
        <f t="shared" si="152"/>
        <v>0.13248941244</v>
      </c>
      <c r="N719" s="69" t="s">
        <v>34</v>
      </c>
      <c r="O719" s="67"/>
      <c r="P719" s="74"/>
      <c r="Q719" s="71">
        <f>VLOOKUP($F719,[2]装箱单!$A:$E,5,0)</f>
        <v>41.91</v>
      </c>
      <c r="R719" s="71">
        <f>VLOOKUP($F719,[2]装箱单!$A:$F,6,0)</f>
        <v>17.78</v>
      </c>
      <c r="S719" s="71">
        <f>VLOOKUP($F719,[2]装箱单!$A:$G,7,0)</f>
        <v>25.4</v>
      </c>
      <c r="T719" s="72">
        <f>VLOOKUP($F719,[2]装箱单!$A:$J,10,0)</f>
        <v>0.01892705892</v>
      </c>
      <c r="U719" s="73">
        <f t="shared" si="153"/>
        <v>0.13248941244</v>
      </c>
      <c r="V719" s="12"/>
    </row>
    <row r="720" s="1" customFormat="1" ht="29.1" customHeight="1" spans="1:22">
      <c r="A720" s="62">
        <v>46252</v>
      </c>
      <c r="B720" s="63" t="s">
        <v>2005</v>
      </c>
      <c r="C720" s="64" t="s">
        <v>2047</v>
      </c>
      <c r="D720" s="66"/>
      <c r="E720" s="67"/>
      <c r="F720" s="66">
        <v>267767</v>
      </c>
      <c r="G720" s="67" t="str">
        <f>VLOOKUP(F720,[2]装箱单!$A:$C,3,0)</f>
        <v>闪金小鸭</v>
      </c>
      <c r="H720" s="67">
        <f t="shared" si="158"/>
        <v>10</v>
      </c>
      <c r="I720" s="68">
        <f t="shared" si="159"/>
        <v>160</v>
      </c>
      <c r="J720" s="68" t="s">
        <v>32</v>
      </c>
      <c r="K720" s="68" t="s">
        <v>33</v>
      </c>
      <c r="L720" s="69">
        <v>8</v>
      </c>
      <c r="M720" s="65">
        <f t="shared" si="152"/>
        <v>0.15141647136</v>
      </c>
      <c r="N720" s="69" t="s">
        <v>34</v>
      </c>
      <c r="O720" s="67"/>
      <c r="P720" s="74"/>
      <c r="Q720" s="71">
        <f>VLOOKUP($F720,[2]装箱单!$A:$E,5,0)</f>
        <v>41.91</v>
      </c>
      <c r="R720" s="71">
        <f>VLOOKUP($F720,[2]装箱单!$A:$F,6,0)</f>
        <v>17.78</v>
      </c>
      <c r="S720" s="71">
        <f>VLOOKUP($F720,[2]装箱单!$A:$G,7,0)</f>
        <v>25.4</v>
      </c>
      <c r="T720" s="72">
        <f>VLOOKUP($F720,[2]装箱单!$A:$J,10,0)</f>
        <v>0.01892705892</v>
      </c>
      <c r="U720" s="73">
        <f t="shared" si="153"/>
        <v>0.15141647136</v>
      </c>
      <c r="V720" s="12"/>
    </row>
    <row r="721" s="1" customFormat="1" ht="29.1" customHeight="1" spans="1:22">
      <c r="A721" s="62">
        <v>46252</v>
      </c>
      <c r="B721" s="63" t="s">
        <v>2005</v>
      </c>
      <c r="C721" s="64" t="s">
        <v>2047</v>
      </c>
      <c r="D721" s="66"/>
      <c r="E721" s="67"/>
      <c r="F721" s="66">
        <v>267756</v>
      </c>
      <c r="G721" s="67" t="str">
        <f>VLOOKUP(F721,[2]装箱单!$A:$C,3,0)</f>
        <v>黄绿小鸭</v>
      </c>
      <c r="H721" s="67">
        <f t="shared" si="158"/>
        <v>10</v>
      </c>
      <c r="I721" s="68">
        <f t="shared" si="159"/>
        <v>60</v>
      </c>
      <c r="J721" s="68" t="s">
        <v>32</v>
      </c>
      <c r="K721" s="68" t="s">
        <v>33</v>
      </c>
      <c r="L721" s="69">
        <v>3</v>
      </c>
      <c r="M721" s="65">
        <f t="shared" si="152"/>
        <v>0.05678117676</v>
      </c>
      <c r="N721" s="69" t="s">
        <v>34</v>
      </c>
      <c r="O721" s="67"/>
      <c r="P721" s="74"/>
      <c r="Q721" s="71">
        <f>VLOOKUP($F721,[2]装箱单!$A:$E,5,0)</f>
        <v>41.91</v>
      </c>
      <c r="R721" s="71">
        <f>VLOOKUP($F721,[2]装箱单!$A:$F,6,0)</f>
        <v>17.78</v>
      </c>
      <c r="S721" s="71">
        <f>VLOOKUP($F721,[2]装箱单!$A:$G,7,0)</f>
        <v>25.4</v>
      </c>
      <c r="T721" s="72">
        <f>VLOOKUP($F721,[2]装箱单!$A:$J,10,0)</f>
        <v>0.01892705892</v>
      </c>
      <c r="U721" s="73">
        <f t="shared" si="153"/>
        <v>0.05678117676</v>
      </c>
      <c r="V721" s="12"/>
    </row>
    <row r="722" s="1" customFormat="1" ht="29.1" customHeight="1" spans="1:22">
      <c r="A722" s="62">
        <v>46252</v>
      </c>
      <c r="B722" s="63" t="s">
        <v>2005</v>
      </c>
      <c r="C722" s="64" t="s">
        <v>2048</v>
      </c>
      <c r="D722" s="66"/>
      <c r="E722" s="67"/>
      <c r="F722" s="66">
        <v>262792</v>
      </c>
      <c r="G722" s="67" t="str">
        <f>VLOOKUP(F722,[2]装箱单!$A:$C,3,0)</f>
        <v>苹果</v>
      </c>
      <c r="H722" s="67">
        <f t="shared" si="158"/>
        <v>10</v>
      </c>
      <c r="I722" s="68">
        <f t="shared" si="159"/>
        <v>140</v>
      </c>
      <c r="J722" s="68" t="s">
        <v>32</v>
      </c>
      <c r="K722" s="68" t="s">
        <v>33</v>
      </c>
      <c r="L722" s="69">
        <v>7</v>
      </c>
      <c r="M722" s="65">
        <f t="shared" si="152"/>
        <v>0.214305926226</v>
      </c>
      <c r="N722" s="69" t="s">
        <v>34</v>
      </c>
      <c r="O722" s="67"/>
      <c r="P722" s="74"/>
      <c r="Q722" s="71">
        <f>VLOOKUP($F722,[2]装箱单!$A:$E,5,0)</f>
        <v>33.655</v>
      </c>
      <c r="R722" s="71">
        <f>VLOOKUP($F722,[2]装箱单!$A:$F,6,0)</f>
        <v>30.48</v>
      </c>
      <c r="S722" s="71">
        <f>VLOOKUP($F722,[2]装箱单!$A:$G,7,0)</f>
        <v>29.845</v>
      </c>
      <c r="T722" s="72">
        <f>VLOOKUP($F722,[2]装箱单!$A:$J,10,0)</f>
        <v>0.030615132318</v>
      </c>
      <c r="U722" s="73">
        <f t="shared" si="153"/>
        <v>0.214305926226</v>
      </c>
      <c r="V722" s="12"/>
    </row>
    <row r="723" s="1" customFormat="1" ht="29.1" customHeight="1" spans="1:22">
      <c r="A723" s="62">
        <v>46252</v>
      </c>
      <c r="B723" s="63" t="s">
        <v>2005</v>
      </c>
      <c r="C723" s="64" t="s">
        <v>2048</v>
      </c>
      <c r="D723" s="66"/>
      <c r="E723" s="67"/>
      <c r="F723" s="66">
        <v>262791</v>
      </c>
      <c r="G723" s="67" t="str">
        <f>VLOOKUP(F723,[2]装箱单!$A:$C,3,0)</f>
        <v>云朵</v>
      </c>
      <c r="H723" s="67">
        <f t="shared" si="158"/>
        <v>10</v>
      </c>
      <c r="I723" s="68">
        <f t="shared" si="159"/>
        <v>160</v>
      </c>
      <c r="J723" s="68" t="s">
        <v>32</v>
      </c>
      <c r="K723" s="68" t="s">
        <v>33</v>
      </c>
      <c r="L723" s="69">
        <v>8</v>
      </c>
      <c r="M723" s="65">
        <f t="shared" si="152"/>
        <v>0.244921058544</v>
      </c>
      <c r="N723" s="69" t="s">
        <v>34</v>
      </c>
      <c r="O723" s="67"/>
      <c r="P723" s="74"/>
      <c r="Q723" s="71">
        <f>VLOOKUP($F723,[2]装箱单!$A:$E,5,0)</f>
        <v>33.655</v>
      </c>
      <c r="R723" s="71">
        <f>VLOOKUP($F723,[2]装箱单!$A:$F,6,0)</f>
        <v>30.48</v>
      </c>
      <c r="S723" s="71">
        <f>VLOOKUP($F723,[2]装箱单!$A:$G,7,0)</f>
        <v>29.845</v>
      </c>
      <c r="T723" s="72">
        <f>VLOOKUP($F723,[2]装箱单!$A:$J,10,0)</f>
        <v>0.030615132318</v>
      </c>
      <c r="U723" s="73">
        <f t="shared" si="153"/>
        <v>0.244921058544</v>
      </c>
      <c r="V723" s="12"/>
    </row>
    <row r="724" s="1" customFormat="1" ht="29.1" customHeight="1" spans="1:22">
      <c r="A724" s="62">
        <v>46252</v>
      </c>
      <c r="B724" s="63" t="s">
        <v>2005</v>
      </c>
      <c r="C724" s="64" t="s">
        <v>2048</v>
      </c>
      <c r="D724" s="66"/>
      <c r="E724" s="67"/>
      <c r="F724" s="66">
        <v>262793</v>
      </c>
      <c r="G724" s="67" t="str">
        <f>VLOOKUP(F724,[2]装箱单!$A:$C,3,0)</f>
        <v>爱心</v>
      </c>
      <c r="H724" s="67">
        <f t="shared" si="158"/>
        <v>10</v>
      </c>
      <c r="I724" s="68">
        <f t="shared" si="159"/>
        <v>160</v>
      </c>
      <c r="J724" s="68" t="s">
        <v>32</v>
      </c>
      <c r="K724" s="68" t="s">
        <v>33</v>
      </c>
      <c r="L724" s="69">
        <v>8</v>
      </c>
      <c r="M724" s="65">
        <f t="shared" si="152"/>
        <v>0.244921058544</v>
      </c>
      <c r="N724" s="69" t="s">
        <v>34</v>
      </c>
      <c r="O724" s="67"/>
      <c r="P724" s="74"/>
      <c r="Q724" s="71">
        <f>VLOOKUP($F724,[2]装箱单!$A:$E,5,0)</f>
        <v>33.655</v>
      </c>
      <c r="R724" s="71">
        <f>VLOOKUP($F724,[2]装箱单!$A:$F,6,0)</f>
        <v>30.48</v>
      </c>
      <c r="S724" s="71">
        <f>VLOOKUP($F724,[2]装箱单!$A:$G,7,0)</f>
        <v>29.845</v>
      </c>
      <c r="T724" s="72">
        <f>VLOOKUP($F724,[2]装箱单!$A:$J,10,0)</f>
        <v>0.030615132318</v>
      </c>
      <c r="U724" s="73">
        <f t="shared" si="153"/>
        <v>0.244921058544</v>
      </c>
      <c r="V724" s="12"/>
    </row>
    <row r="725" s="1" customFormat="1" ht="29.1" customHeight="1" spans="1:22">
      <c r="A725" s="62">
        <v>46252</v>
      </c>
      <c r="B725" s="63" t="s">
        <v>2005</v>
      </c>
      <c r="C725" s="64" t="s">
        <v>2048</v>
      </c>
      <c r="D725" s="66"/>
      <c r="E725" s="67"/>
      <c r="F725" s="66">
        <v>262797</v>
      </c>
      <c r="G725" s="67" t="str">
        <f>VLOOKUP(F725,[2]装箱单!$A:$C,3,0)</f>
        <v>芒果黄</v>
      </c>
      <c r="H725" s="67">
        <f t="shared" si="158"/>
        <v>10</v>
      </c>
      <c r="I725" s="68">
        <f t="shared" si="159"/>
        <v>180</v>
      </c>
      <c r="J725" s="68" t="s">
        <v>32</v>
      </c>
      <c r="K725" s="68" t="s">
        <v>33</v>
      </c>
      <c r="L725" s="69">
        <v>9</v>
      </c>
      <c r="M725" s="65">
        <f t="shared" si="152"/>
        <v>0.58649148427275</v>
      </c>
      <c r="N725" s="69" t="s">
        <v>34</v>
      </c>
      <c r="O725" s="67"/>
      <c r="P725" s="74"/>
      <c r="Q725" s="71">
        <f>VLOOKUP($F725,[2]装箱单!$A:$E,5,0)</f>
        <v>67.31</v>
      </c>
      <c r="R725" s="71">
        <f>VLOOKUP($F725,[2]装箱单!$A:$F,6,0)</f>
        <v>31.115</v>
      </c>
      <c r="S725" s="71">
        <f>VLOOKUP($F725,[2]装箱单!$A:$G,7,0)</f>
        <v>31.115</v>
      </c>
      <c r="T725" s="72">
        <f>VLOOKUP($F725,[2]装箱单!$A:$J,10,0)</f>
        <v>0.06516572047475</v>
      </c>
      <c r="U725" s="73">
        <f t="shared" si="153"/>
        <v>0.58649148427275</v>
      </c>
      <c r="V725" s="12"/>
    </row>
    <row r="726" s="1" customFormat="1" ht="29.1" customHeight="1" spans="1:22">
      <c r="A726" s="62">
        <v>46252</v>
      </c>
      <c r="B726" s="63" t="s">
        <v>2005</v>
      </c>
      <c r="C726" s="64" t="s">
        <v>2048</v>
      </c>
      <c r="D726" s="66"/>
      <c r="E726" s="67"/>
      <c r="F726" s="66">
        <v>262794</v>
      </c>
      <c r="G726" s="67" t="str">
        <f>VLOOKUP(F726,[2]装箱单!$A:$C,3,0)</f>
        <v>樱花粉</v>
      </c>
      <c r="H726" s="67">
        <f t="shared" si="158"/>
        <v>10</v>
      </c>
      <c r="I726" s="68">
        <f t="shared" si="159"/>
        <v>160</v>
      </c>
      <c r="J726" s="68" t="s">
        <v>32</v>
      </c>
      <c r="K726" s="68" t="s">
        <v>33</v>
      </c>
      <c r="L726" s="69">
        <v>8</v>
      </c>
      <c r="M726" s="65">
        <f t="shared" si="152"/>
        <v>0.244921058544</v>
      </c>
      <c r="N726" s="69" t="s">
        <v>34</v>
      </c>
      <c r="O726" s="67"/>
      <c r="P726" s="74"/>
      <c r="Q726" s="71">
        <f>VLOOKUP($F726,[2]装箱单!$A:$E,5,0)</f>
        <v>33.655</v>
      </c>
      <c r="R726" s="71">
        <f>VLOOKUP($F726,[2]装箱单!$A:$F,6,0)</f>
        <v>30.48</v>
      </c>
      <c r="S726" s="71">
        <f>VLOOKUP($F726,[2]装箱单!$A:$G,7,0)</f>
        <v>29.845</v>
      </c>
      <c r="T726" s="72">
        <f>VLOOKUP($F726,[2]装箱单!$A:$J,10,0)</f>
        <v>0.030615132318</v>
      </c>
      <c r="U726" s="73">
        <f t="shared" si="153"/>
        <v>0.244921058544</v>
      </c>
      <c r="V726" s="12"/>
    </row>
    <row r="727" s="1" customFormat="1" ht="29.1" customHeight="1" spans="1:22">
      <c r="A727" s="62">
        <v>46252</v>
      </c>
      <c r="B727" s="63" t="s">
        <v>2005</v>
      </c>
      <c r="C727" s="64" t="s">
        <v>2048</v>
      </c>
      <c r="D727" s="66"/>
      <c r="E727" s="67"/>
      <c r="F727" s="66">
        <v>262796</v>
      </c>
      <c r="G727" s="67" t="str">
        <f>VLOOKUP(F727,[2]装箱单!$A:$C,3,0)</f>
        <v>薄荷绿</v>
      </c>
      <c r="H727" s="67">
        <f t="shared" si="158"/>
        <v>10</v>
      </c>
      <c r="I727" s="68">
        <f t="shared" si="159"/>
        <v>180</v>
      </c>
      <c r="J727" s="68" t="s">
        <v>32</v>
      </c>
      <c r="K727" s="68" t="s">
        <v>33</v>
      </c>
      <c r="L727" s="69">
        <v>9</v>
      </c>
      <c r="M727" s="65">
        <f t="shared" si="152"/>
        <v>0.58649148427275</v>
      </c>
      <c r="N727" s="69" t="s">
        <v>34</v>
      </c>
      <c r="O727" s="67"/>
      <c r="P727" s="74"/>
      <c r="Q727" s="71">
        <f>VLOOKUP($F727,[2]装箱单!$A:$E,5,0)</f>
        <v>67.31</v>
      </c>
      <c r="R727" s="71">
        <f>VLOOKUP($F727,[2]装箱单!$A:$F,6,0)</f>
        <v>31.115</v>
      </c>
      <c r="S727" s="71">
        <f>VLOOKUP($F727,[2]装箱单!$A:$G,7,0)</f>
        <v>31.115</v>
      </c>
      <c r="T727" s="72">
        <f>VLOOKUP($F727,[2]装箱单!$A:$J,10,0)</f>
        <v>0.06516572047475</v>
      </c>
      <c r="U727" s="73">
        <f t="shared" si="153"/>
        <v>0.58649148427275</v>
      </c>
      <c r="V727" s="12"/>
    </row>
    <row r="728" s="1" customFormat="1" ht="29.1" customHeight="1" spans="1:22">
      <c r="A728" s="62">
        <v>46252</v>
      </c>
      <c r="B728" s="63" t="s">
        <v>2005</v>
      </c>
      <c r="C728" s="64" t="s">
        <v>2048</v>
      </c>
      <c r="D728" s="66"/>
      <c r="E728" s="67"/>
      <c r="F728" s="66">
        <v>262795</v>
      </c>
      <c r="G728" s="67" t="str">
        <f>VLOOKUP(F728,[2]装箱单!$A:$C,3,0)</f>
        <v>芋泥紫</v>
      </c>
      <c r="H728" s="67">
        <f t="shared" si="158"/>
        <v>10</v>
      </c>
      <c r="I728" s="68">
        <f t="shared" si="159"/>
        <v>180</v>
      </c>
      <c r="J728" s="68" t="s">
        <v>32</v>
      </c>
      <c r="K728" s="68" t="s">
        <v>33</v>
      </c>
      <c r="L728" s="69">
        <v>9</v>
      </c>
      <c r="M728" s="65">
        <f t="shared" si="152"/>
        <v>0.58649148427275</v>
      </c>
      <c r="N728" s="69" t="s">
        <v>34</v>
      </c>
      <c r="O728" s="67"/>
      <c r="P728" s="74"/>
      <c r="Q728" s="71">
        <f>VLOOKUP($F728,[2]装箱单!$A:$E,5,0)</f>
        <v>67.31</v>
      </c>
      <c r="R728" s="71">
        <f>VLOOKUP($F728,[2]装箱单!$A:$F,6,0)</f>
        <v>31.115</v>
      </c>
      <c r="S728" s="71">
        <f>VLOOKUP($F728,[2]装箱单!$A:$G,7,0)</f>
        <v>31.115</v>
      </c>
      <c r="T728" s="72">
        <f>VLOOKUP($F728,[2]装箱单!$A:$J,10,0)</f>
        <v>0.06516572047475</v>
      </c>
      <c r="U728" s="73">
        <f t="shared" si="153"/>
        <v>0.58649148427275</v>
      </c>
      <c r="V728" s="12"/>
    </row>
    <row r="729" s="1" customFormat="1" ht="29.1" customHeight="1" spans="1:22">
      <c r="A729" s="62">
        <v>46252</v>
      </c>
      <c r="B729" s="63" t="s">
        <v>2005</v>
      </c>
      <c r="C729" s="64" t="s">
        <v>2049</v>
      </c>
      <c r="D729" s="66"/>
      <c r="E729" s="67"/>
      <c r="F729" s="66">
        <v>260781</v>
      </c>
      <c r="G729" s="67" t="str">
        <f>VLOOKUP(F729,[2]装箱单!$A:$C,3,0)</f>
        <v>绿紫金家族</v>
      </c>
      <c r="H729" s="67">
        <f t="shared" ref="H729:H732" si="160">1000/20</f>
        <v>50</v>
      </c>
      <c r="I729" s="68">
        <f t="shared" si="159"/>
        <v>120</v>
      </c>
      <c r="J729" s="68" t="s">
        <v>32</v>
      </c>
      <c r="K729" s="68" t="s">
        <v>33</v>
      </c>
      <c r="L729" s="69">
        <v>6</v>
      </c>
      <c r="M729" s="65">
        <f t="shared" si="152"/>
        <v>0.21977357254875</v>
      </c>
      <c r="N729" s="69" t="s">
        <v>34</v>
      </c>
      <c r="O729" s="67"/>
      <c r="P729" s="74"/>
      <c r="Q729" s="71">
        <f>VLOOKUP($F729,[2]装箱单!$A:$E,5,0)</f>
        <v>34.925</v>
      </c>
      <c r="R729" s="71">
        <f>VLOOKUP($F729,[2]装箱单!$A:$F,6,0)</f>
        <v>32.385</v>
      </c>
      <c r="S729" s="71">
        <f>VLOOKUP($F729,[2]装箱单!$A:$G,7,0)</f>
        <v>32.385</v>
      </c>
      <c r="T729" s="72">
        <f>VLOOKUP($F729,[2]装箱单!$A:$J,10,0)</f>
        <v>0.036628928758125</v>
      </c>
      <c r="U729" s="73">
        <f t="shared" si="153"/>
        <v>0.21977357254875</v>
      </c>
      <c r="V729" s="12"/>
    </row>
    <row r="730" s="1" customFormat="1" ht="29.1" customHeight="1" spans="1:22">
      <c r="A730" s="62">
        <v>46252</v>
      </c>
      <c r="B730" s="63" t="s">
        <v>2005</v>
      </c>
      <c r="C730" s="64" t="s">
        <v>2049</v>
      </c>
      <c r="D730" s="66"/>
      <c r="E730" s="67"/>
      <c r="F730" s="66">
        <v>260782</v>
      </c>
      <c r="G730" s="67" t="str">
        <f>VLOOKUP(F730,[2]装箱单!$A:$C,3,0)</f>
        <v>红黄肤家族</v>
      </c>
      <c r="H730" s="67">
        <f t="shared" si="160"/>
        <v>50</v>
      </c>
      <c r="I730" s="68">
        <f t="shared" si="159"/>
        <v>160</v>
      </c>
      <c r="J730" s="68" t="s">
        <v>32</v>
      </c>
      <c r="K730" s="68" t="s">
        <v>33</v>
      </c>
      <c r="L730" s="69">
        <v>8</v>
      </c>
      <c r="M730" s="65">
        <f t="shared" si="152"/>
        <v>0.293031430065</v>
      </c>
      <c r="N730" s="69" t="s">
        <v>34</v>
      </c>
      <c r="O730" s="67"/>
      <c r="P730" s="74"/>
      <c r="Q730" s="71">
        <f>VLOOKUP($F730,[2]装箱单!$A:$E,5,0)</f>
        <v>34.925</v>
      </c>
      <c r="R730" s="71">
        <f>VLOOKUP($F730,[2]装箱单!$A:$F,6,0)</f>
        <v>32.385</v>
      </c>
      <c r="S730" s="71">
        <f>VLOOKUP($F730,[2]装箱单!$A:$G,7,0)</f>
        <v>32.385</v>
      </c>
      <c r="T730" s="72">
        <f>VLOOKUP($F730,[2]装箱单!$A:$J,10,0)</f>
        <v>0.036628928758125</v>
      </c>
      <c r="U730" s="73">
        <f t="shared" si="153"/>
        <v>0.293031430065</v>
      </c>
      <c r="V730" s="12"/>
    </row>
    <row r="731" s="1" customFormat="1" ht="29.1" customHeight="1" spans="1:22">
      <c r="A731" s="62">
        <v>46252</v>
      </c>
      <c r="B731" s="63" t="s">
        <v>2005</v>
      </c>
      <c r="C731" s="64" t="s">
        <v>2049</v>
      </c>
      <c r="D731" s="66"/>
      <c r="E731" s="67"/>
      <c r="F731" s="66">
        <v>260783</v>
      </c>
      <c r="G731" s="67" t="str">
        <f>VLOOKUP(F731,[2]装箱单!$A:$C,3,0)</f>
        <v>绿紫肤家族</v>
      </c>
      <c r="H731" s="67">
        <f t="shared" si="160"/>
        <v>50</v>
      </c>
      <c r="I731" s="68">
        <f t="shared" si="159"/>
        <v>100</v>
      </c>
      <c r="J731" s="68" t="s">
        <v>32</v>
      </c>
      <c r="K731" s="68" t="s">
        <v>33</v>
      </c>
      <c r="L731" s="69">
        <v>5</v>
      </c>
      <c r="M731" s="65">
        <f t="shared" si="152"/>
        <v>0.183144643790625</v>
      </c>
      <c r="N731" s="69" t="s">
        <v>34</v>
      </c>
      <c r="O731" s="67"/>
      <c r="P731" s="74"/>
      <c r="Q731" s="71">
        <f>VLOOKUP($F731,[2]装箱单!$A:$E,5,0)</f>
        <v>34.925</v>
      </c>
      <c r="R731" s="71">
        <f>VLOOKUP($F731,[2]装箱单!$A:$F,6,0)</f>
        <v>32.385</v>
      </c>
      <c r="S731" s="71">
        <f>VLOOKUP($F731,[2]装箱单!$A:$G,7,0)</f>
        <v>32.385</v>
      </c>
      <c r="T731" s="72">
        <f>VLOOKUP($F731,[2]装箱单!$A:$J,10,0)</f>
        <v>0.036628928758125</v>
      </c>
      <c r="U731" s="73">
        <f t="shared" si="153"/>
        <v>0.183144643790625</v>
      </c>
      <c r="V731" s="12"/>
    </row>
    <row r="732" s="1" customFormat="1" ht="29.1" customHeight="1" spans="1:22">
      <c r="A732" s="62">
        <v>46252</v>
      </c>
      <c r="B732" s="63" t="s">
        <v>2005</v>
      </c>
      <c r="C732" s="64" t="s">
        <v>2049</v>
      </c>
      <c r="D732" s="66"/>
      <c r="E732" s="67"/>
      <c r="F732" s="66">
        <v>260784</v>
      </c>
      <c r="G732" s="67" t="str">
        <f>VLOOKUP(F732,[2]装箱单!$A:$C,3,0)</f>
        <v>斑点狗狗</v>
      </c>
      <c r="H732" s="67">
        <f t="shared" si="160"/>
        <v>50</v>
      </c>
      <c r="I732" s="68">
        <f t="shared" si="159"/>
        <v>180</v>
      </c>
      <c r="J732" s="68" t="s">
        <v>32</v>
      </c>
      <c r="K732" s="68" t="s">
        <v>33</v>
      </c>
      <c r="L732" s="69">
        <v>9</v>
      </c>
      <c r="M732" s="65">
        <f t="shared" si="152"/>
        <v>0.329660358823125</v>
      </c>
      <c r="N732" s="69" t="s">
        <v>34</v>
      </c>
      <c r="O732" s="67"/>
      <c r="P732" s="74"/>
      <c r="Q732" s="71">
        <f>VLOOKUP($F732,[2]装箱单!$A:$E,5,0)</f>
        <v>34.925</v>
      </c>
      <c r="R732" s="71">
        <f>VLOOKUP($F732,[2]装箱单!$A:$F,6,0)</f>
        <v>32.385</v>
      </c>
      <c r="S732" s="71">
        <f>VLOOKUP($F732,[2]装箱单!$A:$G,7,0)</f>
        <v>32.385</v>
      </c>
      <c r="T732" s="72">
        <f>VLOOKUP($F732,[2]装箱单!$A:$J,10,0)</f>
        <v>0.036628928758125</v>
      </c>
      <c r="U732" s="73">
        <f t="shared" si="153"/>
        <v>0.329660358823125</v>
      </c>
      <c r="V732" s="12"/>
    </row>
    <row r="733" s="1" customFormat="1" ht="29.1" customHeight="1" spans="1:22">
      <c r="A733" s="62">
        <v>46252</v>
      </c>
      <c r="B733" s="63" t="s">
        <v>2005</v>
      </c>
      <c r="C733" s="64" t="s">
        <v>2050</v>
      </c>
      <c r="D733" s="66"/>
      <c r="E733" s="67"/>
      <c r="F733" s="66">
        <v>266021</v>
      </c>
      <c r="G733" s="67" t="str">
        <f>VLOOKUP(F733,[2]装箱单!$A:$C,3,0)</f>
        <v>黄色圆球</v>
      </c>
      <c r="H733" s="67">
        <f t="shared" ref="H733:H735" si="161">500/20</f>
        <v>25</v>
      </c>
      <c r="I733" s="68">
        <f t="shared" si="159"/>
        <v>400</v>
      </c>
      <c r="J733" s="68" t="s">
        <v>32</v>
      </c>
      <c r="K733" s="68" t="s">
        <v>33</v>
      </c>
      <c r="L733" s="69">
        <v>20</v>
      </c>
      <c r="M733" s="65">
        <f t="shared" si="152"/>
        <v>0.2494930494</v>
      </c>
      <c r="N733" s="69" t="s">
        <v>34</v>
      </c>
      <c r="O733" s="67"/>
      <c r="P733" s="74"/>
      <c r="Q733" s="71">
        <f>VLOOKUP($F733,[2]装箱单!$A:$E,5,0)</f>
        <v>35.56</v>
      </c>
      <c r="R733" s="71">
        <f>VLOOKUP($F733,[2]装箱单!$A:$F,6,0)</f>
        <v>19.05</v>
      </c>
      <c r="S733" s="71">
        <f>VLOOKUP($F733,[2]装箱单!$A:$G,7,0)</f>
        <v>18.415</v>
      </c>
      <c r="T733" s="72">
        <f>VLOOKUP($F733,[2]装箱单!$A:$J,10,0)</f>
        <v>0.01247465247</v>
      </c>
      <c r="U733" s="73">
        <f t="shared" si="153"/>
        <v>0.2494930494</v>
      </c>
      <c r="V733" s="12"/>
    </row>
    <row r="734" s="1" customFormat="1" ht="29.1" customHeight="1" spans="1:22">
      <c r="A734" s="62">
        <v>46252</v>
      </c>
      <c r="B734" s="63" t="s">
        <v>2005</v>
      </c>
      <c r="C734" s="64" t="s">
        <v>2050</v>
      </c>
      <c r="D734" s="66"/>
      <c r="E734" s="67"/>
      <c r="F734" s="66">
        <v>266022</v>
      </c>
      <c r="G734" s="67" t="str">
        <f>VLOOKUP(F734,[2]装箱单!$A:$C,3,0)</f>
        <v>粉色圆球</v>
      </c>
      <c r="H734" s="67">
        <f t="shared" si="161"/>
        <v>25</v>
      </c>
      <c r="I734" s="68">
        <f t="shared" si="159"/>
        <v>460</v>
      </c>
      <c r="J734" s="68" t="s">
        <v>32</v>
      </c>
      <c r="K734" s="68" t="s">
        <v>33</v>
      </c>
      <c r="L734" s="69">
        <v>23</v>
      </c>
      <c r="M734" s="65">
        <f t="shared" si="152"/>
        <v>0.28691700681</v>
      </c>
      <c r="N734" s="69" t="s">
        <v>34</v>
      </c>
      <c r="O734" s="67"/>
      <c r="P734" s="74"/>
      <c r="Q734" s="71">
        <f>VLOOKUP($F734,[2]装箱单!$A:$E,5,0)</f>
        <v>35.56</v>
      </c>
      <c r="R734" s="71">
        <f>VLOOKUP($F734,[2]装箱单!$A:$F,6,0)</f>
        <v>19.05</v>
      </c>
      <c r="S734" s="71">
        <f>VLOOKUP($F734,[2]装箱单!$A:$G,7,0)</f>
        <v>18.415</v>
      </c>
      <c r="T734" s="72">
        <f>VLOOKUP($F734,[2]装箱单!$A:$J,10,0)</f>
        <v>0.01247465247</v>
      </c>
      <c r="U734" s="73">
        <f t="shared" si="153"/>
        <v>0.28691700681</v>
      </c>
      <c r="V734" s="12"/>
    </row>
    <row r="735" s="1" customFormat="1" ht="29.1" customHeight="1" spans="1:22">
      <c r="A735" s="62">
        <v>46252</v>
      </c>
      <c r="B735" s="63" t="s">
        <v>2005</v>
      </c>
      <c r="C735" s="64" t="s">
        <v>2050</v>
      </c>
      <c r="D735" s="66"/>
      <c r="E735" s="67"/>
      <c r="F735" s="66">
        <v>266023</v>
      </c>
      <c r="G735" s="67" t="str">
        <f>VLOOKUP(F735,[2]装箱单!$A:$C,3,0)</f>
        <v>橙色全球</v>
      </c>
      <c r="H735" s="67">
        <f t="shared" si="161"/>
        <v>25</v>
      </c>
      <c r="I735" s="68">
        <f t="shared" si="159"/>
        <v>420</v>
      </c>
      <c r="J735" s="68" t="s">
        <v>32</v>
      </c>
      <c r="K735" s="68" t="s">
        <v>33</v>
      </c>
      <c r="L735" s="69">
        <v>21</v>
      </c>
      <c r="M735" s="65">
        <f t="shared" si="152"/>
        <v>0.26196770187</v>
      </c>
      <c r="N735" s="69" t="s">
        <v>34</v>
      </c>
      <c r="O735" s="67"/>
      <c r="P735" s="74"/>
      <c r="Q735" s="71">
        <f>VLOOKUP($F735,[2]装箱单!$A:$E,5,0)</f>
        <v>35.56</v>
      </c>
      <c r="R735" s="71">
        <f>VLOOKUP($F735,[2]装箱单!$A:$F,6,0)</f>
        <v>19.05</v>
      </c>
      <c r="S735" s="71">
        <f>VLOOKUP($F735,[2]装箱单!$A:$G,7,0)</f>
        <v>18.415</v>
      </c>
      <c r="T735" s="72">
        <f>VLOOKUP($F735,[2]装箱单!$A:$J,10,0)</f>
        <v>0.01247465247</v>
      </c>
      <c r="U735" s="73">
        <f t="shared" si="153"/>
        <v>0.26196770187</v>
      </c>
      <c r="V735" s="12"/>
    </row>
    <row r="736" s="1" customFormat="1" ht="29.1" customHeight="1" spans="1:22">
      <c r="A736" s="62"/>
      <c r="B736" s="63"/>
      <c r="C736" s="64"/>
      <c r="D736" s="66"/>
      <c r="E736" s="67"/>
      <c r="F736" s="66"/>
      <c r="G736" s="67"/>
      <c r="H736" s="67"/>
      <c r="I736" s="68"/>
      <c r="J736" s="68"/>
      <c r="K736" s="68"/>
      <c r="L736" s="69"/>
      <c r="M736" s="65">
        <f>SUM(M673:M735)</f>
        <v>168.612678497077</v>
      </c>
      <c r="N736" s="69"/>
      <c r="O736" s="67"/>
      <c r="P736" s="75"/>
      <c r="Q736" s="71"/>
      <c r="R736" s="71"/>
      <c r="S736" s="71"/>
      <c r="T736" s="72"/>
      <c r="U736" s="73"/>
      <c r="V736" s="12"/>
    </row>
    <row r="737" s="1" customFormat="1" ht="29.1" customHeight="1" spans="1:22">
      <c r="A737" s="62">
        <v>46253</v>
      </c>
      <c r="B737" s="63" t="s">
        <v>52</v>
      </c>
      <c r="C737" s="64">
        <v>47196</v>
      </c>
      <c r="D737" s="66" t="s">
        <v>2051</v>
      </c>
      <c r="E737" s="67"/>
      <c r="F737" s="66">
        <v>320399</v>
      </c>
      <c r="G737" s="67" t="str">
        <f>VLOOKUP(F737,[2]装箱单!$A:$C,3,0)</f>
        <v>猫家族</v>
      </c>
      <c r="H737" s="67">
        <v>7105</v>
      </c>
      <c r="I737" s="68">
        <f>+L737*4</f>
        <v>16200</v>
      </c>
      <c r="J737" s="68" t="s">
        <v>32</v>
      </c>
      <c r="K737" s="68" t="s">
        <v>33</v>
      </c>
      <c r="L737" s="69">
        <v>4050</v>
      </c>
      <c r="M737" s="65">
        <f t="shared" ref="M737:M739" si="162">+U737</f>
        <v>41.6745</v>
      </c>
      <c r="N737" s="69" t="s">
        <v>34</v>
      </c>
      <c r="O737" s="67"/>
      <c r="P737" s="70" t="s">
        <v>137</v>
      </c>
      <c r="Q737" s="71">
        <f>VLOOKUP($F737,[2]装箱单!$A:$E,5,0)</f>
        <v>24.5</v>
      </c>
      <c r="R737" s="71">
        <f>VLOOKUP($F737,[2]装箱单!$A:$F,6,0)</f>
        <v>21</v>
      </c>
      <c r="S737" s="71">
        <f>VLOOKUP($F737,[2]装箱单!$A:$G,7,0)</f>
        <v>20</v>
      </c>
      <c r="T737" s="72">
        <f>VLOOKUP($F737,[2]装箱单!$A:$J,10,0)</f>
        <v>0.01029</v>
      </c>
      <c r="U737" s="73">
        <f t="shared" ref="U737:U739" si="163">+T737*L737</f>
        <v>41.6745</v>
      </c>
      <c r="V737" s="12"/>
    </row>
    <row r="738" s="1" customFormat="1" ht="29.1" customHeight="1" spans="1:22">
      <c r="A738" s="62">
        <v>46253</v>
      </c>
      <c r="B738" s="63" t="s">
        <v>52</v>
      </c>
      <c r="C738" s="64">
        <v>47470</v>
      </c>
      <c r="D738" s="66" t="s">
        <v>2052</v>
      </c>
      <c r="E738" s="67"/>
      <c r="F738" s="66">
        <v>570975</v>
      </c>
      <c r="G738" s="67" t="str">
        <f>VLOOKUP(F738,[2]装箱单!$A:$C,3,0)</f>
        <v>棒球</v>
      </c>
      <c r="H738" s="67">
        <v>3345</v>
      </c>
      <c r="I738" s="68">
        <f t="shared" ref="I738:I743" si="164">+L738</f>
        <v>3180</v>
      </c>
      <c r="J738" s="68" t="s">
        <v>32</v>
      </c>
      <c r="K738" s="68" t="s">
        <v>33</v>
      </c>
      <c r="L738" s="69">
        <v>3180</v>
      </c>
      <c r="M738" s="65">
        <f t="shared" si="162"/>
        <v>60.98078900592</v>
      </c>
      <c r="N738" s="69" t="s">
        <v>34</v>
      </c>
      <c r="O738" s="67"/>
      <c r="P738" s="74"/>
      <c r="Q738" s="71">
        <f>VLOOKUP($F738,[2]装箱单!$A:$E,5,0)</f>
        <v>30.48</v>
      </c>
      <c r="R738" s="71">
        <f>VLOOKUP($F738,[2]装箱单!$A:$F,6,0)</f>
        <v>11.795</v>
      </c>
      <c r="S738" s="71">
        <f>VLOOKUP($F738,[2]装箱单!$A:$G,7,0)</f>
        <v>53.34</v>
      </c>
      <c r="T738" s="72">
        <f>VLOOKUP($F738,[2]装箱单!$A:$J,10,0)</f>
        <v>0.019176348744</v>
      </c>
      <c r="U738" s="73">
        <f t="shared" si="163"/>
        <v>60.98078900592</v>
      </c>
      <c r="V738" s="12"/>
    </row>
    <row r="739" s="1" customFormat="1" ht="29.1" customHeight="1" spans="1:22">
      <c r="A739" s="62">
        <v>46253</v>
      </c>
      <c r="B739" s="63" t="s">
        <v>40</v>
      </c>
      <c r="C739" s="64" t="s">
        <v>2053</v>
      </c>
      <c r="D739" s="66" t="s">
        <v>2054</v>
      </c>
      <c r="E739" s="140" t="s">
        <v>2055</v>
      </c>
      <c r="F739" s="66">
        <v>28483</v>
      </c>
      <c r="G739" s="67" t="str">
        <f>VLOOKUP(F739,[2]装箱单!$A:$C,3,0)</f>
        <v>振动球</v>
      </c>
      <c r="H739" s="67">
        <v>1800</v>
      </c>
      <c r="I739" s="68">
        <f t="shared" si="164"/>
        <v>1800</v>
      </c>
      <c r="J739" s="68" t="s">
        <v>32</v>
      </c>
      <c r="K739" s="68" t="s">
        <v>33</v>
      </c>
      <c r="L739" s="69">
        <v>1800</v>
      </c>
      <c r="M739" s="65">
        <f t="shared" si="162"/>
        <v>10.390842</v>
      </c>
      <c r="N739" s="69" t="s">
        <v>34</v>
      </c>
      <c r="O739" s="67" t="s">
        <v>2038</v>
      </c>
      <c r="P739" s="74"/>
      <c r="Q739" s="71">
        <f>VLOOKUP($F739,[2]装箱单!$A:$E,5,0)</f>
        <v>16.83</v>
      </c>
      <c r="R739" s="71">
        <f>VLOOKUP($F739,[2]装箱单!$A:$F,6,0)</f>
        <v>17.15</v>
      </c>
      <c r="S739" s="71">
        <f>VLOOKUP($F739,[2]装箱单!$A:$G,7,0)</f>
        <v>20</v>
      </c>
      <c r="T739" s="72">
        <f>VLOOKUP($F739,[2]装箱单!$A:$J,10,0)</f>
        <v>0.00577269</v>
      </c>
      <c r="U739" s="73">
        <f t="shared" si="163"/>
        <v>10.390842</v>
      </c>
      <c r="V739" s="12"/>
    </row>
    <row r="740" s="1" customFormat="1" ht="29.1" customHeight="1" spans="1:22">
      <c r="A740" s="62"/>
      <c r="B740" s="63"/>
      <c r="C740" s="64"/>
      <c r="D740" s="66"/>
      <c r="E740" s="67"/>
      <c r="F740" s="66"/>
      <c r="G740" s="67"/>
      <c r="H740" s="67"/>
      <c r="I740" s="68"/>
      <c r="J740" s="68"/>
      <c r="K740" s="68"/>
      <c r="L740" s="69"/>
      <c r="M740" s="65">
        <f>SUM(M737:M739)</f>
        <v>113.04613100592</v>
      </c>
      <c r="N740" s="69"/>
      <c r="O740" s="67"/>
      <c r="P740" s="75"/>
      <c r="Q740" s="71"/>
      <c r="R740" s="71"/>
      <c r="S740" s="71"/>
      <c r="T740" s="72"/>
      <c r="U740" s="73"/>
      <c r="V740" s="12"/>
    </row>
    <row r="741" s="1" customFormat="1" ht="29.1" customHeight="1" spans="1:22">
      <c r="A741" s="62">
        <v>46254</v>
      </c>
      <c r="B741" s="63" t="s">
        <v>52</v>
      </c>
      <c r="C741" s="64">
        <v>47470</v>
      </c>
      <c r="D741" s="66" t="s">
        <v>2030</v>
      </c>
      <c r="E741" s="67"/>
      <c r="F741" s="66">
        <v>570974</v>
      </c>
      <c r="G741" s="67" t="str">
        <f>VLOOKUP(F741,[2]装箱单!$A:$C,3,0)</f>
        <v>蓝球</v>
      </c>
      <c r="H741" s="67">
        <v>2720</v>
      </c>
      <c r="I741" s="68">
        <f t="shared" si="164"/>
        <v>598</v>
      </c>
      <c r="J741" s="68" t="s">
        <v>32</v>
      </c>
      <c r="K741" s="68" t="s">
        <v>33</v>
      </c>
      <c r="L741" s="69">
        <v>598</v>
      </c>
      <c r="M741" s="65">
        <f t="shared" ref="M741:M751" si="165">+U741</f>
        <v>51.38288243088</v>
      </c>
      <c r="N741" s="69" t="s">
        <v>34</v>
      </c>
      <c r="O741" s="67"/>
      <c r="P741" s="70" t="s">
        <v>2056</v>
      </c>
      <c r="Q741" s="71">
        <f>VLOOKUP($F741,[2]装箱单!$A:$E,5,0)</f>
        <v>59.05</v>
      </c>
      <c r="R741" s="71">
        <f>VLOOKUP($F741,[2]装箱单!$A:$F,6,0)</f>
        <v>26.04</v>
      </c>
      <c r="S741" s="71">
        <f>VLOOKUP($F741,[2]装箱单!$A:$G,7,0)</f>
        <v>55.88</v>
      </c>
      <c r="T741" s="72">
        <f>VLOOKUP($F741,[2]装箱单!$A:$J,10,0)</f>
        <v>0.08592455256</v>
      </c>
      <c r="U741" s="73">
        <f t="shared" ref="U741:U751" si="166">+T741*L741</f>
        <v>51.38288243088</v>
      </c>
      <c r="V741" s="12"/>
    </row>
    <row r="742" s="1" customFormat="1" ht="29.1" customHeight="1" spans="1:22">
      <c r="A742" s="62">
        <v>46254</v>
      </c>
      <c r="B742" s="63" t="s">
        <v>40</v>
      </c>
      <c r="C742" s="64" t="s">
        <v>2057</v>
      </c>
      <c r="D742" s="66" t="s">
        <v>2058</v>
      </c>
      <c r="E742" s="66">
        <v>2569251</v>
      </c>
      <c r="F742" s="66">
        <v>28483</v>
      </c>
      <c r="G742" s="67" t="str">
        <f>VLOOKUP(F742,[2]装箱单!$A:$C,3,0)</f>
        <v>振动球</v>
      </c>
      <c r="H742" s="67">
        <v>1800</v>
      </c>
      <c r="I742" s="68">
        <f t="shared" si="164"/>
        <v>1800</v>
      </c>
      <c r="J742" s="68" t="s">
        <v>32</v>
      </c>
      <c r="K742" s="68" t="s">
        <v>33</v>
      </c>
      <c r="L742" s="69">
        <v>1800</v>
      </c>
      <c r="M742" s="65">
        <f t="shared" si="165"/>
        <v>10.390842</v>
      </c>
      <c r="N742" s="69" t="s">
        <v>34</v>
      </c>
      <c r="O742" s="67"/>
      <c r="P742" s="74"/>
      <c r="Q742" s="71">
        <f>VLOOKUP($F742,[2]装箱单!$A:$E,5,0)</f>
        <v>16.83</v>
      </c>
      <c r="R742" s="71">
        <f>VLOOKUP($F742,[2]装箱单!$A:$F,6,0)</f>
        <v>17.15</v>
      </c>
      <c r="S742" s="71">
        <f>VLOOKUP($F742,[2]装箱单!$A:$G,7,0)</f>
        <v>20</v>
      </c>
      <c r="T742" s="72">
        <f>VLOOKUP($F742,[2]装箱单!$A:$J,10,0)</f>
        <v>0.00577269</v>
      </c>
      <c r="U742" s="73">
        <f t="shared" si="166"/>
        <v>10.390842</v>
      </c>
      <c r="V742" s="12"/>
    </row>
    <row r="743" s="1" customFormat="1" ht="29.1" customHeight="1" spans="1:22">
      <c r="A743" s="62">
        <v>46254</v>
      </c>
      <c r="B743" s="63" t="s">
        <v>40</v>
      </c>
      <c r="C743" s="64" t="s">
        <v>2022</v>
      </c>
      <c r="D743" s="66" t="s">
        <v>2023</v>
      </c>
      <c r="E743" s="66">
        <v>2569257</v>
      </c>
      <c r="F743" s="66">
        <v>28483</v>
      </c>
      <c r="G743" s="67" t="str">
        <f>VLOOKUP(F743,[2]装箱单!$A:$C,3,0)</f>
        <v>振动球</v>
      </c>
      <c r="H743" s="67">
        <v>4320</v>
      </c>
      <c r="I743" s="68">
        <f t="shared" si="164"/>
        <v>2700</v>
      </c>
      <c r="J743" s="68" t="s">
        <v>32</v>
      </c>
      <c r="K743" s="68" t="s">
        <v>33</v>
      </c>
      <c r="L743" s="69">
        <f>4320-1620</f>
        <v>2700</v>
      </c>
      <c r="M743" s="65">
        <f t="shared" si="165"/>
        <v>15.586263</v>
      </c>
      <c r="N743" s="69" t="s">
        <v>34</v>
      </c>
      <c r="O743" s="67"/>
      <c r="P743" s="74"/>
      <c r="Q743" s="71">
        <f>VLOOKUP($F743,[2]装箱单!$A:$E,5,0)</f>
        <v>16.83</v>
      </c>
      <c r="R743" s="71">
        <f>VLOOKUP($F743,[2]装箱单!$A:$F,6,0)</f>
        <v>17.15</v>
      </c>
      <c r="S743" s="71">
        <f>VLOOKUP($F743,[2]装箱单!$A:$G,7,0)</f>
        <v>20</v>
      </c>
      <c r="T743" s="72">
        <f>VLOOKUP($F743,[2]装箱单!$A:$J,10,0)</f>
        <v>0.00577269</v>
      </c>
      <c r="U743" s="73">
        <f t="shared" si="166"/>
        <v>15.586263</v>
      </c>
      <c r="V743" s="12"/>
    </row>
    <row r="744" s="1" customFormat="1" ht="29.1" customHeight="1" spans="1:22">
      <c r="A744" s="62">
        <v>46248</v>
      </c>
      <c r="B744" s="63" t="s">
        <v>40</v>
      </c>
      <c r="C744" s="64" t="s">
        <v>2059</v>
      </c>
      <c r="D744" s="66" t="s">
        <v>2060</v>
      </c>
      <c r="E744" s="66">
        <v>999643966</v>
      </c>
      <c r="F744" s="66" t="s">
        <v>179</v>
      </c>
      <c r="G744" s="67" t="str">
        <f>VLOOKUP(F744,[2]装箱单!$A:$C,3,0)</f>
        <v>搪胶小鸭</v>
      </c>
      <c r="H744" s="67">
        <v>900</v>
      </c>
      <c r="I744" s="68">
        <f t="shared" ref="I744:I747" si="167">+L744*24</f>
        <v>21600</v>
      </c>
      <c r="J744" s="68" t="s">
        <v>32</v>
      </c>
      <c r="K744" s="68" t="s">
        <v>33</v>
      </c>
      <c r="L744" s="69">
        <v>900</v>
      </c>
      <c r="M744" s="65">
        <f t="shared" si="165"/>
        <v>11.9691</v>
      </c>
      <c r="N744" s="69" t="s">
        <v>34</v>
      </c>
      <c r="O744" s="67"/>
      <c r="P744" s="74"/>
      <c r="Q744" s="71">
        <f>VLOOKUP($F744,[2]装箱单!$A:$E,5,0)</f>
        <v>31</v>
      </c>
      <c r="R744" s="71">
        <f>VLOOKUP($F744,[2]装箱单!$A:$F,6,0)</f>
        <v>22</v>
      </c>
      <c r="S744" s="71">
        <f>VLOOKUP($F744,[2]装箱单!$A:$G,7,0)</f>
        <v>19.5</v>
      </c>
      <c r="T744" s="72">
        <f>VLOOKUP($F744,[2]装箱单!$A:$J,10,0)</f>
        <v>0.013299</v>
      </c>
      <c r="U744" s="73">
        <f t="shared" si="166"/>
        <v>11.9691</v>
      </c>
      <c r="V744" s="12"/>
    </row>
    <row r="745" s="1" customFormat="1" ht="29.1" customHeight="1" spans="1:22">
      <c r="A745" s="62">
        <v>46254</v>
      </c>
      <c r="B745" s="63" t="s">
        <v>40</v>
      </c>
      <c r="C745" s="64" t="s">
        <v>2061</v>
      </c>
      <c r="D745" s="66" t="s">
        <v>2062</v>
      </c>
      <c r="E745" s="66">
        <v>999647649</v>
      </c>
      <c r="F745" s="66" t="s">
        <v>179</v>
      </c>
      <c r="G745" s="67" t="str">
        <f>VLOOKUP(F745,[2]装箱单!$A:$C,3,0)</f>
        <v>搪胶小鸭</v>
      </c>
      <c r="H745" s="67">
        <f t="shared" ref="H745:H747" si="168">+I745/24</f>
        <v>360</v>
      </c>
      <c r="I745" s="68">
        <f t="shared" si="167"/>
        <v>8640</v>
      </c>
      <c r="J745" s="68" t="s">
        <v>32</v>
      </c>
      <c r="K745" s="68" t="s">
        <v>33</v>
      </c>
      <c r="L745" s="69">
        <v>360</v>
      </c>
      <c r="M745" s="65">
        <f t="shared" si="165"/>
        <v>4.78764</v>
      </c>
      <c r="N745" s="69" t="s">
        <v>34</v>
      </c>
      <c r="O745" s="67" t="s">
        <v>2063</v>
      </c>
      <c r="P745" s="74"/>
      <c r="Q745" s="71">
        <f>VLOOKUP($F745,[2]装箱单!$A:$E,5,0)</f>
        <v>31</v>
      </c>
      <c r="R745" s="71">
        <f>VLOOKUP($F745,[2]装箱单!$A:$F,6,0)</f>
        <v>22</v>
      </c>
      <c r="S745" s="71">
        <f>VLOOKUP($F745,[2]装箱单!$A:$G,7,0)</f>
        <v>19.5</v>
      </c>
      <c r="T745" s="72">
        <f>VLOOKUP($F745,[2]装箱单!$A:$J,10,0)</f>
        <v>0.013299</v>
      </c>
      <c r="U745" s="73">
        <f t="shared" si="166"/>
        <v>4.78764</v>
      </c>
      <c r="V745" s="12"/>
    </row>
    <row r="746" s="1" customFormat="1" ht="29.1" customHeight="1" spans="1:22">
      <c r="A746" s="62">
        <v>46254</v>
      </c>
      <c r="B746" s="63" t="s">
        <v>40</v>
      </c>
      <c r="C746" s="64" t="s">
        <v>2064</v>
      </c>
      <c r="D746" s="66" t="s">
        <v>2065</v>
      </c>
      <c r="E746" s="66">
        <v>999647755</v>
      </c>
      <c r="F746" s="66" t="s">
        <v>179</v>
      </c>
      <c r="G746" s="67" t="str">
        <f>VLOOKUP(F746,[2]装箱单!$A:$C,3,0)</f>
        <v>搪胶小鸭</v>
      </c>
      <c r="H746" s="67">
        <f t="shared" si="168"/>
        <v>720</v>
      </c>
      <c r="I746" s="68">
        <f t="shared" si="167"/>
        <v>17280</v>
      </c>
      <c r="J746" s="68" t="s">
        <v>32</v>
      </c>
      <c r="K746" s="68" t="s">
        <v>33</v>
      </c>
      <c r="L746" s="69">
        <v>720</v>
      </c>
      <c r="M746" s="65">
        <f t="shared" si="165"/>
        <v>9.57528</v>
      </c>
      <c r="N746" s="69" t="s">
        <v>34</v>
      </c>
      <c r="O746" s="67"/>
      <c r="P746" s="74"/>
      <c r="Q746" s="71">
        <f>VLOOKUP($F746,[2]装箱单!$A:$E,5,0)</f>
        <v>31</v>
      </c>
      <c r="R746" s="71">
        <f>VLOOKUP($F746,[2]装箱单!$A:$F,6,0)</f>
        <v>22</v>
      </c>
      <c r="S746" s="71">
        <f>VLOOKUP($F746,[2]装箱单!$A:$G,7,0)</f>
        <v>19.5</v>
      </c>
      <c r="T746" s="72">
        <f>VLOOKUP($F746,[2]装箱单!$A:$J,10,0)</f>
        <v>0.013299</v>
      </c>
      <c r="U746" s="73">
        <f t="shared" si="166"/>
        <v>9.57528</v>
      </c>
      <c r="V746" s="12"/>
    </row>
    <row r="747" s="1" customFormat="1" ht="29.1" customHeight="1" spans="1:22">
      <c r="A747" s="62">
        <v>46254</v>
      </c>
      <c r="B747" s="63" t="s">
        <v>40</v>
      </c>
      <c r="C747" s="64" t="s">
        <v>2066</v>
      </c>
      <c r="D747" s="66" t="s">
        <v>2067</v>
      </c>
      <c r="E747" s="66">
        <v>999644278</v>
      </c>
      <c r="F747" s="66" t="s">
        <v>179</v>
      </c>
      <c r="G747" s="67" t="str">
        <f>VLOOKUP(F747,[2]装箱单!$A:$C,3,0)</f>
        <v>搪胶小鸭</v>
      </c>
      <c r="H747" s="67">
        <f t="shared" si="168"/>
        <v>90</v>
      </c>
      <c r="I747" s="68">
        <f t="shared" si="167"/>
        <v>2160</v>
      </c>
      <c r="J747" s="68" t="s">
        <v>32</v>
      </c>
      <c r="K747" s="68" t="s">
        <v>33</v>
      </c>
      <c r="L747" s="69">
        <v>90</v>
      </c>
      <c r="M747" s="65">
        <f t="shared" si="165"/>
        <v>1.19691</v>
      </c>
      <c r="N747" s="69" t="s">
        <v>34</v>
      </c>
      <c r="O747" s="67" t="s">
        <v>2068</v>
      </c>
      <c r="P747" s="74"/>
      <c r="Q747" s="71">
        <f>VLOOKUP($F747,[2]装箱单!$A:$E,5,0)</f>
        <v>31</v>
      </c>
      <c r="R747" s="71">
        <f>VLOOKUP($F747,[2]装箱单!$A:$F,6,0)</f>
        <v>22</v>
      </c>
      <c r="S747" s="71">
        <f>VLOOKUP($F747,[2]装箱单!$A:$G,7,0)</f>
        <v>19.5</v>
      </c>
      <c r="T747" s="72">
        <f>VLOOKUP($F747,[2]装箱单!$A:$J,10,0)</f>
        <v>0.013299</v>
      </c>
      <c r="U747" s="73">
        <f t="shared" si="166"/>
        <v>1.19691</v>
      </c>
      <c r="V747" s="12"/>
    </row>
    <row r="748" s="1" customFormat="1" ht="29.1" customHeight="1" spans="1:22">
      <c r="A748" s="62">
        <v>46254</v>
      </c>
      <c r="B748" s="63" t="s">
        <v>52</v>
      </c>
      <c r="C748" s="64">
        <v>47466</v>
      </c>
      <c r="D748" s="66" t="s">
        <v>1910</v>
      </c>
      <c r="E748" s="67"/>
      <c r="F748" s="66" t="s">
        <v>63</v>
      </c>
      <c r="G748" s="67" t="str">
        <f>VLOOKUP(F748,[2]装箱单!$A:$C,3,0)</f>
        <v>卷发女孩</v>
      </c>
      <c r="H748" s="67">
        <v>750</v>
      </c>
      <c r="I748" s="68">
        <f>+L748*4</f>
        <v>3000</v>
      </c>
      <c r="J748" s="68" t="s">
        <v>32</v>
      </c>
      <c r="K748" s="68" t="s">
        <v>33</v>
      </c>
      <c r="L748" s="69">
        <v>750</v>
      </c>
      <c r="M748" s="65">
        <f t="shared" si="165"/>
        <v>11.41691265</v>
      </c>
      <c r="N748" s="69" t="s">
        <v>34</v>
      </c>
      <c r="O748" s="67"/>
      <c r="P748" s="74"/>
      <c r="Q748" s="71">
        <f>VLOOKUP($F748,[2]装箱单!$A:$E,5,0)</f>
        <v>27.94</v>
      </c>
      <c r="R748" s="71">
        <f>VLOOKUP($F748,[2]装箱单!$A:$F,6,0)</f>
        <v>16.51</v>
      </c>
      <c r="S748" s="71">
        <f>VLOOKUP($F748,[2]装箱单!$A:$G,7,0)</f>
        <v>33</v>
      </c>
      <c r="T748" s="72">
        <f>VLOOKUP($F748,[2]装箱单!$A:$J,10,0)</f>
        <v>0.0152225502</v>
      </c>
      <c r="U748" s="73">
        <f t="shared" si="166"/>
        <v>11.41691265</v>
      </c>
      <c r="V748" s="12"/>
    </row>
    <row r="749" s="1" customFormat="1" ht="29.1" customHeight="1" spans="1:22">
      <c r="A749" s="62">
        <v>46246</v>
      </c>
      <c r="B749" s="63" t="s">
        <v>40</v>
      </c>
      <c r="C749" s="64" t="s">
        <v>1947</v>
      </c>
      <c r="D749" s="66" t="s">
        <v>1948</v>
      </c>
      <c r="E749" s="140" t="s">
        <v>1949</v>
      </c>
      <c r="F749" s="66">
        <v>28458</v>
      </c>
      <c r="G749" s="67" t="str">
        <f>VLOOKUP(F749,[2]装箱单!$A:$C,3,0)</f>
        <v>五款硅胶手感球</v>
      </c>
      <c r="H749" s="67">
        <v>478</v>
      </c>
      <c r="I749" s="68">
        <f>+L749*3</f>
        <v>720</v>
      </c>
      <c r="J749" s="68" t="s">
        <v>32</v>
      </c>
      <c r="K749" s="68" t="s">
        <v>33</v>
      </c>
      <c r="L749" s="69">
        <f>478-238</f>
        <v>240</v>
      </c>
      <c r="M749" s="65">
        <f t="shared" si="165"/>
        <v>4.99928601456</v>
      </c>
      <c r="N749" s="69" t="s">
        <v>34</v>
      </c>
      <c r="O749" s="67"/>
      <c r="P749" s="74"/>
      <c r="Q749" s="71">
        <f>VLOOKUP($F749,[2]装箱单!$A:$E,5,0)</f>
        <v>26.99</v>
      </c>
      <c r="R749" s="71">
        <f>VLOOKUP($F749,[2]装箱单!$A:$F,6,0)</f>
        <v>27.31</v>
      </c>
      <c r="S749" s="71">
        <f>VLOOKUP($F749,[2]装箱单!$A:$G,7,0)</f>
        <v>28.26</v>
      </c>
      <c r="T749" s="72">
        <f>VLOOKUP($F749,[2]装箱单!$A:$J,10,0)</f>
        <v>0.020830358394</v>
      </c>
      <c r="U749" s="73">
        <f t="shared" si="166"/>
        <v>4.99928601456</v>
      </c>
      <c r="V749" s="12"/>
    </row>
    <row r="750" s="1" customFormat="1" ht="29.1" customHeight="1" spans="1:22">
      <c r="A750" s="62">
        <v>46254</v>
      </c>
      <c r="B750" s="63" t="s">
        <v>1133</v>
      </c>
      <c r="C750" s="64" t="s">
        <v>2069</v>
      </c>
      <c r="D750" s="66" t="s">
        <v>2070</v>
      </c>
      <c r="E750" s="67" t="s">
        <v>2071</v>
      </c>
      <c r="F750" s="66">
        <v>46092</v>
      </c>
      <c r="G750" s="67" t="str">
        <f>VLOOKUP(F750,[2]装箱单!$A:$C,3,0)</f>
        <v>玩具总动员系列</v>
      </c>
      <c r="H750" s="67">
        <v>358</v>
      </c>
      <c r="I750" s="68">
        <f t="shared" ref="I750:I755" si="169">+L750*2</f>
        <v>716</v>
      </c>
      <c r="J750" s="68" t="s">
        <v>32</v>
      </c>
      <c r="K750" s="68" t="s">
        <v>33</v>
      </c>
      <c r="L750" s="69">
        <v>358</v>
      </c>
      <c r="M750" s="65">
        <f t="shared" si="165"/>
        <v>8.006927055456</v>
      </c>
      <c r="N750" s="69" t="s">
        <v>34</v>
      </c>
      <c r="O750" s="67" t="s">
        <v>2072</v>
      </c>
      <c r="P750" s="74"/>
      <c r="Q750" s="71">
        <f>VLOOKUP($F750,[2]装箱单!$A:$E,5,0)</f>
        <v>40.01</v>
      </c>
      <c r="R750" s="71">
        <f>VLOOKUP($F750,[2]装箱单!$A:$F,6,0)</f>
        <v>26.67</v>
      </c>
      <c r="S750" s="71">
        <f>VLOOKUP($F750,[2]装箱单!$A:$G,7,0)</f>
        <v>20.96</v>
      </c>
      <c r="T750" s="72">
        <f>VLOOKUP($F750,[2]装箱单!$A:$J,10,0)</f>
        <v>0.022365718032</v>
      </c>
      <c r="U750" s="73">
        <f t="shared" si="166"/>
        <v>8.006927055456</v>
      </c>
      <c r="V750" s="12"/>
    </row>
    <row r="751" s="1" customFormat="1" ht="29.1" customHeight="1" spans="1:22">
      <c r="A751" s="62">
        <v>46254</v>
      </c>
      <c r="B751" s="63" t="s">
        <v>2073</v>
      </c>
      <c r="C751" s="64" t="s">
        <v>2074</v>
      </c>
      <c r="D751" s="66" t="s">
        <v>2075</v>
      </c>
      <c r="E751" s="67" t="s">
        <v>2076</v>
      </c>
      <c r="F751" s="66">
        <v>46092</v>
      </c>
      <c r="G751" s="67" t="str">
        <f>VLOOKUP(F751,[2]装箱单!$A:$C,3,0)</f>
        <v>玩具总动员系列</v>
      </c>
      <c r="H751" s="67">
        <v>240</v>
      </c>
      <c r="I751" s="68">
        <f t="shared" si="169"/>
        <v>426</v>
      </c>
      <c r="J751" s="68" t="s">
        <v>32</v>
      </c>
      <c r="K751" s="68" t="s">
        <v>33</v>
      </c>
      <c r="L751" s="69">
        <v>213</v>
      </c>
      <c r="M751" s="65">
        <f t="shared" si="165"/>
        <v>4.763897940816</v>
      </c>
      <c r="N751" s="69" t="s">
        <v>34</v>
      </c>
      <c r="O751" s="67"/>
      <c r="P751" s="74"/>
      <c r="Q751" s="71">
        <f>VLOOKUP($F751,[2]装箱单!$A:$E,5,0)</f>
        <v>40.01</v>
      </c>
      <c r="R751" s="71">
        <f>VLOOKUP($F751,[2]装箱单!$A:$F,6,0)</f>
        <v>26.67</v>
      </c>
      <c r="S751" s="71">
        <f>VLOOKUP($F751,[2]装箱单!$A:$G,7,0)</f>
        <v>20.96</v>
      </c>
      <c r="T751" s="72">
        <f>VLOOKUP($F751,[2]装箱单!$A:$J,10,0)</f>
        <v>0.022365718032</v>
      </c>
      <c r="U751" s="73">
        <f t="shared" si="166"/>
        <v>4.763897940816</v>
      </c>
      <c r="V751" s="12"/>
    </row>
    <row r="752" s="1" customFormat="1" ht="29.1" customHeight="1" spans="1:22">
      <c r="A752" s="62">
        <v>46254</v>
      </c>
      <c r="B752" s="63"/>
      <c r="C752" s="64"/>
      <c r="D752" s="66"/>
      <c r="E752" s="67"/>
      <c r="F752" s="66">
        <v>320920</v>
      </c>
      <c r="G752" s="67" t="s">
        <v>907</v>
      </c>
      <c r="H752" s="67">
        <v>2</v>
      </c>
      <c r="I752" s="68">
        <v>2</v>
      </c>
      <c r="J752" s="68" t="s">
        <v>47</v>
      </c>
      <c r="K752" s="68" t="s">
        <v>218</v>
      </c>
      <c r="L752" s="69">
        <v>2</v>
      </c>
      <c r="M752" s="65"/>
      <c r="N752" s="69"/>
      <c r="O752" s="67"/>
      <c r="P752" s="74"/>
      <c r="Q752" s="71"/>
      <c r="R752" s="71"/>
      <c r="S752" s="71"/>
      <c r="T752" s="72"/>
      <c r="U752" s="73"/>
      <c r="V752" s="12"/>
    </row>
    <row r="753" s="1" customFormat="1" ht="29.1" customHeight="1" spans="1:22">
      <c r="A753" s="62"/>
      <c r="B753" s="63"/>
      <c r="C753" s="64"/>
      <c r="D753" s="66"/>
      <c r="E753" s="67"/>
      <c r="F753" s="66"/>
      <c r="G753" s="67"/>
      <c r="H753" s="67"/>
      <c r="I753" s="68"/>
      <c r="J753" s="68"/>
      <c r="K753" s="68"/>
      <c r="L753" s="69"/>
      <c r="M753" s="65">
        <f>SUM(M741:M751)</f>
        <v>134.075941091712</v>
      </c>
      <c r="N753" s="69"/>
      <c r="O753" s="67"/>
      <c r="P753" s="75"/>
      <c r="Q753" s="71"/>
      <c r="R753" s="71"/>
      <c r="S753" s="71"/>
      <c r="T753" s="72"/>
      <c r="U753" s="73"/>
      <c r="V753" s="12"/>
    </row>
    <row r="754" s="1" customFormat="1" ht="29.1" customHeight="1" spans="1:22">
      <c r="A754" s="62">
        <v>46256</v>
      </c>
      <c r="B754" s="63" t="s">
        <v>52</v>
      </c>
      <c r="C754" s="64">
        <v>47470</v>
      </c>
      <c r="D754" s="66" t="s">
        <v>2052</v>
      </c>
      <c r="E754" s="67"/>
      <c r="F754" s="66">
        <v>570975</v>
      </c>
      <c r="G754" s="67" t="str">
        <f>VLOOKUP(F754,[2]装箱单!$A:$C,3,0)</f>
        <v>棒球</v>
      </c>
      <c r="H754" s="67">
        <v>3345</v>
      </c>
      <c r="I754" s="103">
        <f>+L754</f>
        <v>165</v>
      </c>
      <c r="J754" s="68" t="s">
        <v>32</v>
      </c>
      <c r="K754" s="68" t="s">
        <v>33</v>
      </c>
      <c r="L754" s="103">
        <f>3345-3180</f>
        <v>165</v>
      </c>
      <c r="M754" s="104">
        <f t="shared" ref="M754:M796" si="170">+U754</f>
        <v>3.16409754276</v>
      </c>
      <c r="N754" s="69" t="s">
        <v>34</v>
      </c>
      <c r="O754" s="67"/>
      <c r="P754" s="70" t="s">
        <v>1716</v>
      </c>
      <c r="Q754" s="71">
        <f>VLOOKUP($F754,[2]装箱单!$A:$E,5,0)</f>
        <v>30.48</v>
      </c>
      <c r="R754" s="71">
        <f>VLOOKUP($F754,[2]装箱单!$A:$F,6,0)</f>
        <v>11.795</v>
      </c>
      <c r="S754" s="71">
        <f>VLOOKUP($F754,[2]装箱单!$A:$G,7,0)</f>
        <v>53.34</v>
      </c>
      <c r="T754" s="105">
        <f>VLOOKUP($F754,[2]装箱单!$A:$J,10,0)</f>
        <v>0.019176348744</v>
      </c>
      <c r="U754" s="71">
        <f t="shared" ref="U754:U796" si="171">+T754*L754</f>
        <v>3.16409754276</v>
      </c>
      <c r="V754" s="12"/>
    </row>
    <row r="755" s="1" customFormat="1" ht="29.1" customHeight="1" spans="1:22">
      <c r="A755" s="62">
        <v>46256</v>
      </c>
      <c r="B755" s="63" t="s">
        <v>52</v>
      </c>
      <c r="C755" s="64">
        <v>47452</v>
      </c>
      <c r="D755" s="66" t="s">
        <v>1910</v>
      </c>
      <c r="E755" s="67"/>
      <c r="F755" s="106">
        <v>320635</v>
      </c>
      <c r="G755" s="67" t="str">
        <f>VLOOKUP(F755,[2]装箱单!$A:$C,3,0)</f>
        <v>校车</v>
      </c>
      <c r="H755" s="67">
        <v>1500</v>
      </c>
      <c r="I755" s="103">
        <f t="shared" si="169"/>
        <v>3000</v>
      </c>
      <c r="J755" s="68" t="s">
        <v>32</v>
      </c>
      <c r="K755" s="68" t="s">
        <v>33</v>
      </c>
      <c r="L755" s="103">
        <v>1500</v>
      </c>
      <c r="M755" s="104">
        <f t="shared" si="170"/>
        <v>23.680104786</v>
      </c>
      <c r="N755" s="69" t="s">
        <v>34</v>
      </c>
      <c r="O755" s="67"/>
      <c r="P755" s="74"/>
      <c r="Q755" s="71">
        <f>VLOOKUP($F755,[2]装箱单!$A:$E,5,0)</f>
        <v>35.18</v>
      </c>
      <c r="R755" s="71">
        <f>VLOOKUP($F755,[2]装箱单!$A:$F,6,0)</f>
        <v>27.18</v>
      </c>
      <c r="S755" s="71">
        <f>VLOOKUP($F755,[2]装箱单!$A:$G,7,0)</f>
        <v>16.51</v>
      </c>
      <c r="T755" s="105">
        <f>VLOOKUP($F755,[2]装箱单!$A:$J,10,0)</f>
        <v>0.015786736524</v>
      </c>
      <c r="U755" s="71">
        <f t="shared" si="171"/>
        <v>23.680104786</v>
      </c>
      <c r="V755" s="12"/>
    </row>
    <row r="756" s="1" customFormat="1" ht="29.1" customHeight="1" spans="1:22">
      <c r="A756" s="62">
        <v>46256</v>
      </c>
      <c r="B756" s="63" t="s">
        <v>52</v>
      </c>
      <c r="C756" s="64">
        <v>47196</v>
      </c>
      <c r="D756" s="66" t="s">
        <v>2051</v>
      </c>
      <c r="E756" s="67"/>
      <c r="F756" s="66">
        <v>320398</v>
      </c>
      <c r="G756" s="67" t="str">
        <f>VLOOKUP(F756,[2]装箱单!$A:$C,3,0)</f>
        <v>兔子家族</v>
      </c>
      <c r="H756" s="67">
        <v>3552</v>
      </c>
      <c r="I756" s="103">
        <f>+L756*4</f>
        <v>14208</v>
      </c>
      <c r="J756" s="68" t="s">
        <v>32</v>
      </c>
      <c r="K756" s="68" t="s">
        <v>33</v>
      </c>
      <c r="L756" s="103">
        <v>3552</v>
      </c>
      <c r="M756" s="104">
        <f t="shared" si="170"/>
        <v>36.55008</v>
      </c>
      <c r="N756" s="69" t="s">
        <v>34</v>
      </c>
      <c r="O756" s="67"/>
      <c r="P756" s="74"/>
      <c r="Q756" s="71">
        <f>VLOOKUP($F756,[2]装箱单!$A:$E,5,0)</f>
        <v>24.5</v>
      </c>
      <c r="R756" s="71">
        <f>VLOOKUP($F756,[2]装箱单!$A:$F,6,0)</f>
        <v>21</v>
      </c>
      <c r="S756" s="71">
        <f>VLOOKUP($F756,[2]装箱单!$A:$G,7,0)</f>
        <v>20</v>
      </c>
      <c r="T756" s="105">
        <f>VLOOKUP($F756,[2]装箱单!$A:$J,10,0)</f>
        <v>0.01029</v>
      </c>
      <c r="U756" s="71">
        <f t="shared" si="171"/>
        <v>36.55008</v>
      </c>
      <c r="V756" s="12"/>
    </row>
    <row r="757" s="1" customFormat="1" ht="29.1" customHeight="1" spans="1:22">
      <c r="A757" s="62">
        <v>46256</v>
      </c>
      <c r="B757" s="63" t="s">
        <v>52</v>
      </c>
      <c r="C757" s="64">
        <v>47196</v>
      </c>
      <c r="D757" s="66" t="s">
        <v>2051</v>
      </c>
      <c r="E757" s="67"/>
      <c r="F757" s="66">
        <v>470725</v>
      </c>
      <c r="G757" s="67" t="str">
        <f>VLOOKUP(F757,[2]装箱单!$A:$C,3,0)</f>
        <v>独角兽家族</v>
      </c>
      <c r="H757" s="67">
        <v>3079</v>
      </c>
      <c r="I757" s="103">
        <f>+L757*4</f>
        <v>9916</v>
      </c>
      <c r="J757" s="68" t="s">
        <v>32</v>
      </c>
      <c r="K757" s="68" t="s">
        <v>33</v>
      </c>
      <c r="L757" s="103">
        <v>2479</v>
      </c>
      <c r="M757" s="104">
        <f t="shared" si="170"/>
        <v>26.55009</v>
      </c>
      <c r="N757" s="69" t="s">
        <v>34</v>
      </c>
      <c r="O757" s="67"/>
      <c r="P757" s="74"/>
      <c r="Q757" s="71">
        <f>VLOOKUP($F757,[2]装箱单!$A:$E,5,0)</f>
        <v>25.5</v>
      </c>
      <c r="R757" s="71">
        <f>VLOOKUP($F757,[2]装箱单!$A:$F,6,0)</f>
        <v>21</v>
      </c>
      <c r="S757" s="71">
        <f>VLOOKUP($F757,[2]装箱单!$A:$G,7,0)</f>
        <v>20</v>
      </c>
      <c r="T757" s="105">
        <f>VLOOKUP($F757,[2]装箱单!$A:$J,10,0)</f>
        <v>0.01071</v>
      </c>
      <c r="U757" s="71">
        <f t="shared" si="171"/>
        <v>26.55009</v>
      </c>
      <c r="V757" s="12"/>
    </row>
    <row r="758" s="1" customFormat="1" ht="29.1" customHeight="1" spans="1:22">
      <c r="A758" s="62">
        <v>46256</v>
      </c>
      <c r="B758" s="63" t="s">
        <v>52</v>
      </c>
      <c r="C758" s="64">
        <v>47470</v>
      </c>
      <c r="D758" s="66" t="s">
        <v>2030</v>
      </c>
      <c r="E758" s="67"/>
      <c r="F758" s="66">
        <v>570974</v>
      </c>
      <c r="G758" s="67" t="str">
        <f>VLOOKUP(F758,[2]装箱单!$A:$C,3,0)</f>
        <v>蓝球</v>
      </c>
      <c r="H758" s="67">
        <v>2720</v>
      </c>
      <c r="I758" s="103">
        <f>+L758</f>
        <v>544</v>
      </c>
      <c r="J758" s="68" t="s">
        <v>32</v>
      </c>
      <c r="K758" s="68" t="s">
        <v>33</v>
      </c>
      <c r="L758" s="103">
        <f>2720-1578-598</f>
        <v>544</v>
      </c>
      <c r="M758" s="104">
        <f t="shared" si="170"/>
        <v>46.74295659264</v>
      </c>
      <c r="N758" s="69" t="s">
        <v>34</v>
      </c>
      <c r="O758" s="67"/>
      <c r="P758" s="74"/>
      <c r="Q758" s="71">
        <f>VLOOKUP($F758,[2]装箱单!$A:$E,5,0)</f>
        <v>59.05</v>
      </c>
      <c r="R758" s="71">
        <f>VLOOKUP($F758,[2]装箱单!$A:$F,6,0)</f>
        <v>26.04</v>
      </c>
      <c r="S758" s="71">
        <f>VLOOKUP($F758,[2]装箱单!$A:$G,7,0)</f>
        <v>55.88</v>
      </c>
      <c r="T758" s="105">
        <f>VLOOKUP($F758,[2]装箱单!$A:$J,10,0)</f>
        <v>0.08592455256</v>
      </c>
      <c r="U758" s="71">
        <f t="shared" si="171"/>
        <v>46.74295659264</v>
      </c>
      <c r="V758" s="12"/>
    </row>
    <row r="759" s="1" customFormat="1" ht="29.1" customHeight="1" spans="1:22">
      <c r="A759" s="62">
        <v>46256</v>
      </c>
      <c r="B759" s="63" t="s">
        <v>2005</v>
      </c>
      <c r="C759" s="64" t="s">
        <v>2046</v>
      </c>
      <c r="D759" s="66"/>
      <c r="E759" s="67"/>
      <c r="F759" s="66">
        <v>261071</v>
      </c>
      <c r="G759" s="67" t="str">
        <f>VLOOKUP(F759,[2]装箱单!$A:$C,3,0)</f>
        <v>粉黄水晶狗</v>
      </c>
      <c r="H759" s="67">
        <f t="shared" ref="H759:H769" si="172">200/20</f>
        <v>10</v>
      </c>
      <c r="I759" s="103">
        <f t="shared" ref="I759:I769" si="173">+L759*20</f>
        <v>80</v>
      </c>
      <c r="J759" s="68" t="s">
        <v>32</v>
      </c>
      <c r="K759" s="68" t="s">
        <v>33</v>
      </c>
      <c r="L759" s="103">
        <v>4</v>
      </c>
      <c r="M759" s="104">
        <f t="shared" si="170"/>
        <v>0.050771221038</v>
      </c>
      <c r="N759" s="69" t="s">
        <v>34</v>
      </c>
      <c r="O759" s="67"/>
      <c r="P759" s="74"/>
      <c r="Q759" s="71">
        <f>VLOOKUP($F759,[2]装箱单!$A:$E,5,0)</f>
        <v>32.385</v>
      </c>
      <c r="R759" s="71">
        <f>VLOOKUP($F759,[2]装箱单!$A:$F,6,0)</f>
        <v>22.86</v>
      </c>
      <c r="S759" s="71">
        <f>VLOOKUP($F759,[2]装箱单!$A:$G,7,0)</f>
        <v>17.145</v>
      </c>
      <c r="T759" s="105">
        <f>VLOOKUP($F759,[2]装箱单!$A:$J,10,0)</f>
        <v>0.0126928052595</v>
      </c>
      <c r="U759" s="71">
        <f t="shared" si="171"/>
        <v>0.050771221038</v>
      </c>
      <c r="V759" s="12"/>
    </row>
    <row r="760" s="1" customFormat="1" ht="29.1" customHeight="1" spans="1:22">
      <c r="A760" s="62">
        <v>46256</v>
      </c>
      <c r="B760" s="63" t="s">
        <v>2005</v>
      </c>
      <c r="C760" s="64" t="s">
        <v>2046</v>
      </c>
      <c r="D760" s="66"/>
      <c r="E760" s="67"/>
      <c r="F760" s="66">
        <v>261074</v>
      </c>
      <c r="G760" s="67" t="str">
        <f>VLOOKUP(F760,[2]装箱单!$A:$C,3,0)</f>
        <v>粉紫水晶狗</v>
      </c>
      <c r="H760" s="67">
        <f t="shared" si="172"/>
        <v>10</v>
      </c>
      <c r="I760" s="103">
        <f t="shared" si="173"/>
        <v>100</v>
      </c>
      <c r="J760" s="68" t="s">
        <v>32</v>
      </c>
      <c r="K760" s="68" t="s">
        <v>33</v>
      </c>
      <c r="L760" s="103">
        <v>5</v>
      </c>
      <c r="M760" s="104">
        <f t="shared" si="170"/>
        <v>0.0634640262975</v>
      </c>
      <c r="N760" s="69" t="s">
        <v>34</v>
      </c>
      <c r="O760" s="67"/>
      <c r="P760" s="74"/>
      <c r="Q760" s="71">
        <f>VLOOKUP($F760,[2]装箱单!$A:$E,5,0)</f>
        <v>32.385</v>
      </c>
      <c r="R760" s="71">
        <f>VLOOKUP($F760,[2]装箱单!$A:$F,6,0)</f>
        <v>22.86</v>
      </c>
      <c r="S760" s="71">
        <f>VLOOKUP($F760,[2]装箱单!$A:$G,7,0)</f>
        <v>17.145</v>
      </c>
      <c r="T760" s="105">
        <f>VLOOKUP($F760,[2]装箱单!$A:$J,10,0)</f>
        <v>0.0126928052595</v>
      </c>
      <c r="U760" s="71">
        <f t="shared" si="171"/>
        <v>0.0634640262975</v>
      </c>
      <c r="V760" s="12"/>
    </row>
    <row r="761" s="1" customFormat="1" ht="29.1" customHeight="1" spans="1:22">
      <c r="A761" s="62">
        <v>46256</v>
      </c>
      <c r="B761" s="63" t="s">
        <v>2005</v>
      </c>
      <c r="C761" s="64" t="s">
        <v>2046</v>
      </c>
      <c r="D761" s="66"/>
      <c r="E761" s="67"/>
      <c r="F761" s="66">
        <v>261072</v>
      </c>
      <c r="G761" s="67" t="str">
        <f>VLOOKUP(F761,[2]装箱单!$A:$C,3,0)</f>
        <v>蓝粉水晶狗</v>
      </c>
      <c r="H761" s="67">
        <f t="shared" si="172"/>
        <v>10</v>
      </c>
      <c r="I761" s="103">
        <f t="shared" si="173"/>
        <v>60</v>
      </c>
      <c r="J761" s="68" t="s">
        <v>32</v>
      </c>
      <c r="K761" s="68" t="s">
        <v>33</v>
      </c>
      <c r="L761" s="103">
        <v>3</v>
      </c>
      <c r="M761" s="104">
        <f t="shared" si="170"/>
        <v>0.0380784157785</v>
      </c>
      <c r="N761" s="69" t="s">
        <v>34</v>
      </c>
      <c r="O761" s="67"/>
      <c r="P761" s="74"/>
      <c r="Q761" s="71">
        <f>VLOOKUP($F761,[2]装箱单!$A:$E,5,0)</f>
        <v>32.385</v>
      </c>
      <c r="R761" s="71">
        <f>VLOOKUP($F761,[2]装箱单!$A:$F,6,0)</f>
        <v>22.86</v>
      </c>
      <c r="S761" s="71">
        <f>VLOOKUP($F761,[2]装箱单!$A:$G,7,0)</f>
        <v>17.145</v>
      </c>
      <c r="T761" s="105">
        <f>VLOOKUP($F761,[2]装箱单!$A:$J,10,0)</f>
        <v>0.0126928052595</v>
      </c>
      <c r="U761" s="71">
        <f t="shared" si="171"/>
        <v>0.0380784157785</v>
      </c>
      <c r="V761" s="12"/>
    </row>
    <row r="762" s="1" customFormat="1" ht="29.1" customHeight="1" spans="1:22">
      <c r="A762" s="62">
        <v>46256</v>
      </c>
      <c r="B762" s="63" t="s">
        <v>2005</v>
      </c>
      <c r="C762" s="64" t="s">
        <v>2046</v>
      </c>
      <c r="D762" s="66"/>
      <c r="E762" s="67"/>
      <c r="F762" s="66">
        <v>261075</v>
      </c>
      <c r="G762" s="67" t="str">
        <f>VLOOKUP(F762,[2]装箱单!$A:$C,3,0)</f>
        <v>绿水晶狗</v>
      </c>
      <c r="H762" s="67">
        <f t="shared" si="172"/>
        <v>10</v>
      </c>
      <c r="I762" s="103">
        <f t="shared" si="173"/>
        <v>80</v>
      </c>
      <c r="J762" s="68" t="s">
        <v>32</v>
      </c>
      <c r="K762" s="68" t="s">
        <v>33</v>
      </c>
      <c r="L762" s="103">
        <v>4</v>
      </c>
      <c r="M762" s="104">
        <f t="shared" si="170"/>
        <v>0.050771221038</v>
      </c>
      <c r="N762" s="69" t="s">
        <v>34</v>
      </c>
      <c r="O762" s="67"/>
      <c r="P762" s="74"/>
      <c r="Q762" s="71">
        <f>VLOOKUP($F762,[2]装箱单!$A:$E,5,0)</f>
        <v>32.385</v>
      </c>
      <c r="R762" s="71">
        <f>VLOOKUP($F762,[2]装箱单!$A:$F,6,0)</f>
        <v>22.86</v>
      </c>
      <c r="S762" s="71">
        <f>VLOOKUP($F762,[2]装箱单!$A:$G,7,0)</f>
        <v>17.145</v>
      </c>
      <c r="T762" s="105">
        <f>VLOOKUP($F762,[2]装箱单!$A:$J,10,0)</f>
        <v>0.0126928052595</v>
      </c>
      <c r="U762" s="71">
        <f t="shared" si="171"/>
        <v>0.050771221038</v>
      </c>
      <c r="V762" s="12"/>
    </row>
    <row r="763" s="1" customFormat="1" ht="29.1" customHeight="1" spans="1:22">
      <c r="A763" s="62">
        <v>46256</v>
      </c>
      <c r="B763" s="63" t="s">
        <v>2005</v>
      </c>
      <c r="C763" s="64" t="s">
        <v>2046</v>
      </c>
      <c r="D763" s="66"/>
      <c r="E763" s="67"/>
      <c r="F763" s="66">
        <v>261076</v>
      </c>
      <c r="G763" s="67" t="str">
        <f>VLOOKUP(F763,[2]装箱单!$A:$C,3,0)</f>
        <v>黑白水晶狗</v>
      </c>
      <c r="H763" s="67">
        <f t="shared" si="172"/>
        <v>10</v>
      </c>
      <c r="I763" s="103">
        <f t="shared" si="173"/>
        <v>120</v>
      </c>
      <c r="J763" s="68" t="s">
        <v>32</v>
      </c>
      <c r="K763" s="68" t="s">
        <v>33</v>
      </c>
      <c r="L763" s="103">
        <v>6</v>
      </c>
      <c r="M763" s="104">
        <f t="shared" si="170"/>
        <v>0.076156831557</v>
      </c>
      <c r="N763" s="69" t="s">
        <v>34</v>
      </c>
      <c r="O763" s="67"/>
      <c r="P763" s="74"/>
      <c r="Q763" s="71">
        <f>VLOOKUP($F763,[2]装箱单!$A:$E,5,0)</f>
        <v>32.385</v>
      </c>
      <c r="R763" s="71">
        <f>VLOOKUP($F763,[2]装箱单!$A:$F,6,0)</f>
        <v>22.86</v>
      </c>
      <c r="S763" s="71">
        <f>VLOOKUP($F763,[2]装箱单!$A:$G,7,0)</f>
        <v>17.145</v>
      </c>
      <c r="T763" s="105">
        <f>VLOOKUP($F763,[2]装箱单!$A:$J,10,0)</f>
        <v>0.0126928052595</v>
      </c>
      <c r="U763" s="71">
        <f t="shared" si="171"/>
        <v>0.076156831557</v>
      </c>
      <c r="V763" s="12"/>
    </row>
    <row r="764" s="1" customFormat="1" ht="29.1" customHeight="1" spans="1:22">
      <c r="A764" s="62">
        <v>46256</v>
      </c>
      <c r="B764" s="63" t="s">
        <v>2005</v>
      </c>
      <c r="C764" s="64" t="s">
        <v>2046</v>
      </c>
      <c r="D764" s="66"/>
      <c r="E764" s="67"/>
      <c r="F764" s="66">
        <v>261077</v>
      </c>
      <c r="G764" s="67" t="str">
        <f>VLOOKUP(F764,[2]装箱单!$A:$C,3,0)</f>
        <v>红绿水晶狗</v>
      </c>
      <c r="H764" s="67">
        <f t="shared" si="172"/>
        <v>10</v>
      </c>
      <c r="I764" s="103">
        <f t="shared" si="173"/>
        <v>100</v>
      </c>
      <c r="J764" s="68" t="s">
        <v>32</v>
      </c>
      <c r="K764" s="68" t="s">
        <v>33</v>
      </c>
      <c r="L764" s="103">
        <v>5</v>
      </c>
      <c r="M764" s="104">
        <f t="shared" si="170"/>
        <v>0.0634640262975</v>
      </c>
      <c r="N764" s="69" t="s">
        <v>34</v>
      </c>
      <c r="O764" s="67"/>
      <c r="P764" s="74"/>
      <c r="Q764" s="71">
        <f>VLOOKUP($F764,[2]装箱单!$A:$E,5,0)</f>
        <v>32.385</v>
      </c>
      <c r="R764" s="71">
        <f>VLOOKUP($F764,[2]装箱单!$A:$F,6,0)</f>
        <v>22.86</v>
      </c>
      <c r="S764" s="71">
        <f>VLOOKUP($F764,[2]装箱单!$A:$G,7,0)</f>
        <v>17.145</v>
      </c>
      <c r="T764" s="105">
        <f>VLOOKUP($F764,[2]装箱单!$A:$J,10,0)</f>
        <v>0.0126928052595</v>
      </c>
      <c r="U764" s="71">
        <f t="shared" si="171"/>
        <v>0.0634640262975</v>
      </c>
      <c r="V764" s="12"/>
    </row>
    <row r="765" s="1" customFormat="1" ht="29.1" customHeight="1" spans="1:22">
      <c r="A765" s="62">
        <v>46256</v>
      </c>
      <c r="B765" s="63" t="s">
        <v>2005</v>
      </c>
      <c r="C765" s="64" t="s">
        <v>2046</v>
      </c>
      <c r="D765" s="66"/>
      <c r="E765" s="67"/>
      <c r="F765" s="66">
        <v>261078</v>
      </c>
      <c r="G765" s="67" t="str">
        <f>VLOOKUP(F765,[2]装箱单!$A:$C,3,0)</f>
        <v>粉蓝水晶狗</v>
      </c>
      <c r="H765" s="67">
        <f t="shared" si="172"/>
        <v>10</v>
      </c>
      <c r="I765" s="103">
        <f t="shared" si="173"/>
        <v>60</v>
      </c>
      <c r="J765" s="68" t="s">
        <v>32</v>
      </c>
      <c r="K765" s="68" t="s">
        <v>33</v>
      </c>
      <c r="L765" s="103">
        <v>3</v>
      </c>
      <c r="M765" s="104">
        <f t="shared" si="170"/>
        <v>0.0380784157785</v>
      </c>
      <c r="N765" s="69" t="s">
        <v>34</v>
      </c>
      <c r="O765" s="67"/>
      <c r="P765" s="74"/>
      <c r="Q765" s="71">
        <f>VLOOKUP($F765,[2]装箱单!$A:$E,5,0)</f>
        <v>32.385</v>
      </c>
      <c r="R765" s="71">
        <f>VLOOKUP($F765,[2]装箱单!$A:$F,6,0)</f>
        <v>22.86</v>
      </c>
      <c r="S765" s="71">
        <f>VLOOKUP($F765,[2]装箱单!$A:$G,7,0)</f>
        <v>17.145</v>
      </c>
      <c r="T765" s="105">
        <f>VLOOKUP($F765,[2]装箱单!$A:$J,10,0)</f>
        <v>0.0126928052595</v>
      </c>
      <c r="U765" s="71">
        <f t="shared" si="171"/>
        <v>0.0380784157785</v>
      </c>
      <c r="V765" s="12"/>
    </row>
    <row r="766" s="1" customFormat="1" ht="29.1" customHeight="1" spans="1:22">
      <c r="A766" s="62">
        <v>46256</v>
      </c>
      <c r="B766" s="63" t="s">
        <v>2005</v>
      </c>
      <c r="C766" s="64" t="s">
        <v>2046</v>
      </c>
      <c r="D766" s="66"/>
      <c r="E766" s="67"/>
      <c r="F766" s="66">
        <v>261079</v>
      </c>
      <c r="G766" s="67" t="str">
        <f>VLOOKUP(F766,[2]装箱单!$A:$C,3,0)</f>
        <v>蓝白水晶狗</v>
      </c>
      <c r="H766" s="67">
        <f t="shared" si="172"/>
        <v>10</v>
      </c>
      <c r="I766" s="103">
        <f t="shared" si="173"/>
        <v>60</v>
      </c>
      <c r="J766" s="68" t="s">
        <v>32</v>
      </c>
      <c r="K766" s="68" t="s">
        <v>33</v>
      </c>
      <c r="L766" s="103">
        <v>3</v>
      </c>
      <c r="M766" s="104">
        <f t="shared" si="170"/>
        <v>0.0380784157785</v>
      </c>
      <c r="N766" s="69" t="s">
        <v>34</v>
      </c>
      <c r="O766" s="67"/>
      <c r="P766" s="74"/>
      <c r="Q766" s="71">
        <f>VLOOKUP($F766,[2]装箱单!$A:$E,5,0)</f>
        <v>32.385</v>
      </c>
      <c r="R766" s="71">
        <f>VLOOKUP($F766,[2]装箱单!$A:$F,6,0)</f>
        <v>22.86</v>
      </c>
      <c r="S766" s="71">
        <f>VLOOKUP($F766,[2]装箱单!$A:$G,7,0)</f>
        <v>17.145</v>
      </c>
      <c r="T766" s="105">
        <f>VLOOKUP($F766,[2]装箱单!$A:$J,10,0)</f>
        <v>0.0126928052595</v>
      </c>
      <c r="U766" s="71">
        <f t="shared" si="171"/>
        <v>0.0380784157785</v>
      </c>
      <c r="V766" s="12"/>
    </row>
    <row r="767" s="1" customFormat="1" ht="29.1" customHeight="1" spans="1:22">
      <c r="A767" s="62">
        <v>46256</v>
      </c>
      <c r="B767" s="63" t="s">
        <v>2005</v>
      </c>
      <c r="C767" s="64" t="s">
        <v>2046</v>
      </c>
      <c r="D767" s="66"/>
      <c r="E767" s="67"/>
      <c r="F767" s="66">
        <v>261080</v>
      </c>
      <c r="G767" s="67" t="str">
        <f>VLOOKUP(F767,[2]装箱单!$A:$C,3,0)</f>
        <v>橙红水晶狗</v>
      </c>
      <c r="H767" s="67">
        <f t="shared" si="172"/>
        <v>10</v>
      </c>
      <c r="I767" s="103">
        <f t="shared" si="173"/>
        <v>80</v>
      </c>
      <c r="J767" s="68" t="s">
        <v>32</v>
      </c>
      <c r="K767" s="68" t="s">
        <v>33</v>
      </c>
      <c r="L767" s="103">
        <v>4</v>
      </c>
      <c r="M767" s="104">
        <f t="shared" si="170"/>
        <v>0.050771221038</v>
      </c>
      <c r="N767" s="69" t="s">
        <v>34</v>
      </c>
      <c r="O767" s="67"/>
      <c r="P767" s="74"/>
      <c r="Q767" s="71">
        <f>VLOOKUP($F767,[2]装箱单!$A:$E,5,0)</f>
        <v>32.385</v>
      </c>
      <c r="R767" s="71">
        <f>VLOOKUP($F767,[2]装箱单!$A:$F,6,0)</f>
        <v>22.86</v>
      </c>
      <c r="S767" s="71">
        <f>VLOOKUP($F767,[2]装箱单!$A:$G,7,0)</f>
        <v>17.145</v>
      </c>
      <c r="T767" s="105">
        <f>VLOOKUP($F767,[2]装箱单!$A:$J,10,0)</f>
        <v>0.0126928052595</v>
      </c>
      <c r="U767" s="71">
        <f t="shared" si="171"/>
        <v>0.050771221038</v>
      </c>
      <c r="V767" s="12"/>
    </row>
    <row r="768" s="1" customFormat="1" ht="29.1" customHeight="1" spans="1:22">
      <c r="A768" s="62">
        <v>46256</v>
      </c>
      <c r="B768" s="63" t="s">
        <v>2005</v>
      </c>
      <c r="C768" s="64" t="s">
        <v>2046</v>
      </c>
      <c r="D768" s="66"/>
      <c r="E768" s="67"/>
      <c r="F768" s="66">
        <v>261081</v>
      </c>
      <c r="G768" s="67" t="str">
        <f>VLOOKUP(F768,[2]装箱单!$A:$C,3,0)</f>
        <v>蓝紫水晶狗</v>
      </c>
      <c r="H768" s="67">
        <f t="shared" si="172"/>
        <v>10</v>
      </c>
      <c r="I768" s="103">
        <f t="shared" si="173"/>
        <v>60</v>
      </c>
      <c r="J768" s="68" t="s">
        <v>32</v>
      </c>
      <c r="K768" s="68" t="s">
        <v>33</v>
      </c>
      <c r="L768" s="103">
        <v>3</v>
      </c>
      <c r="M768" s="104">
        <f t="shared" si="170"/>
        <v>0.0380784157785</v>
      </c>
      <c r="N768" s="69" t="s">
        <v>34</v>
      </c>
      <c r="O768" s="67"/>
      <c r="P768" s="74"/>
      <c r="Q768" s="71">
        <f>VLOOKUP($F768,[2]装箱单!$A:$E,5,0)</f>
        <v>32.385</v>
      </c>
      <c r="R768" s="71">
        <f>VLOOKUP($F768,[2]装箱单!$A:$F,6,0)</f>
        <v>22.86</v>
      </c>
      <c r="S768" s="71">
        <f>VLOOKUP($F768,[2]装箱单!$A:$G,7,0)</f>
        <v>17.145</v>
      </c>
      <c r="T768" s="105">
        <f>VLOOKUP($F768,[2]装箱单!$A:$J,10,0)</f>
        <v>0.0126928052595</v>
      </c>
      <c r="U768" s="71">
        <f t="shared" si="171"/>
        <v>0.0380784157785</v>
      </c>
      <c r="V768" s="12"/>
    </row>
    <row r="769" s="1" customFormat="1" ht="29.1" customHeight="1" spans="1:22">
      <c r="A769" s="62">
        <v>46256</v>
      </c>
      <c r="B769" s="63" t="s">
        <v>2005</v>
      </c>
      <c r="C769" s="64" t="s">
        <v>2046</v>
      </c>
      <c r="D769" s="66"/>
      <c r="E769" s="67"/>
      <c r="F769" s="66">
        <v>261082</v>
      </c>
      <c r="G769" s="67" t="str">
        <f>VLOOKUP(F769,[2]装箱单!$A:$C,3,0)</f>
        <v>黄水晶狗</v>
      </c>
      <c r="H769" s="67">
        <f t="shared" si="172"/>
        <v>10</v>
      </c>
      <c r="I769" s="103">
        <f t="shared" si="173"/>
        <v>60</v>
      </c>
      <c r="J769" s="68" t="s">
        <v>32</v>
      </c>
      <c r="K769" s="68" t="s">
        <v>33</v>
      </c>
      <c r="L769" s="103">
        <v>3</v>
      </c>
      <c r="M769" s="104">
        <f t="shared" si="170"/>
        <v>0.0380784157785</v>
      </c>
      <c r="N769" s="69" t="s">
        <v>34</v>
      </c>
      <c r="O769" s="67"/>
      <c r="P769" s="74"/>
      <c r="Q769" s="71">
        <f>VLOOKUP($F769,[2]装箱单!$A:$E,5,0)</f>
        <v>32.385</v>
      </c>
      <c r="R769" s="71">
        <f>VLOOKUP($F769,[2]装箱单!$A:$F,6,0)</f>
        <v>22.86</v>
      </c>
      <c r="S769" s="71">
        <f>VLOOKUP($F769,[2]装箱单!$A:$G,7,0)</f>
        <v>17.145</v>
      </c>
      <c r="T769" s="105">
        <f>VLOOKUP($F769,[2]装箱单!$A:$J,10,0)</f>
        <v>0.0126928052595</v>
      </c>
      <c r="U769" s="71">
        <f t="shared" si="171"/>
        <v>0.0380784157785</v>
      </c>
      <c r="V769" s="12"/>
    </row>
    <row r="770" s="1" customFormat="1" ht="29.1" customHeight="1" spans="1:22">
      <c r="A770" s="62">
        <v>46256</v>
      </c>
      <c r="B770" s="63" t="s">
        <v>2005</v>
      </c>
      <c r="C770" s="64" t="s">
        <v>2008</v>
      </c>
      <c r="D770" s="66"/>
      <c r="E770" s="67"/>
      <c r="F770" s="66">
        <v>261736</v>
      </c>
      <c r="G770" s="67" t="str">
        <f>VLOOKUP(F770,[2]装箱单!$A:$C,3,0)</f>
        <v>滨妮</v>
      </c>
      <c r="H770" s="67">
        <v>100</v>
      </c>
      <c r="I770" s="103">
        <f>+L770*10</f>
        <v>200</v>
      </c>
      <c r="J770" s="68" t="s">
        <v>32</v>
      </c>
      <c r="K770" s="68" t="s">
        <v>33</v>
      </c>
      <c r="L770" s="103">
        <v>20</v>
      </c>
      <c r="M770" s="104">
        <f t="shared" si="170"/>
        <v>1.5747712456125</v>
      </c>
      <c r="N770" s="69" t="s">
        <v>34</v>
      </c>
      <c r="O770" s="67"/>
      <c r="P770" s="74"/>
      <c r="Q770" s="71">
        <f>VLOOKUP($F770,[2]装箱单!$A:$E,5,0)</f>
        <v>52.705</v>
      </c>
      <c r="R770" s="71">
        <f>VLOOKUP($F770,[2]装箱单!$A:$F,6,0)</f>
        <v>41.275</v>
      </c>
      <c r="S770" s="71">
        <f>VLOOKUP($F770,[2]装箱单!$A:$G,7,0)</f>
        <v>36.195</v>
      </c>
      <c r="T770" s="105">
        <f>VLOOKUP($F770,[2]装箱单!$A:$J,10,0)</f>
        <v>0.078738562280625</v>
      </c>
      <c r="U770" s="71">
        <f t="shared" si="171"/>
        <v>1.5747712456125</v>
      </c>
      <c r="V770" s="12"/>
    </row>
    <row r="771" s="1" customFormat="1" ht="29.1" customHeight="1" spans="1:22">
      <c r="A771" s="62">
        <v>46256</v>
      </c>
      <c r="B771" s="63" t="s">
        <v>2005</v>
      </c>
      <c r="C771" s="64" t="s">
        <v>2008</v>
      </c>
      <c r="D771" s="66"/>
      <c r="E771" s="67"/>
      <c r="F771" s="66">
        <v>261744</v>
      </c>
      <c r="G771" s="67" t="str">
        <f>VLOOKUP(F771,[2]装箱单!$A:$C,3,0)</f>
        <v>恩诺</v>
      </c>
      <c r="H771" s="67">
        <v>100</v>
      </c>
      <c r="I771" s="103">
        <f>+L771*10</f>
        <v>100</v>
      </c>
      <c r="J771" s="68" t="s">
        <v>32</v>
      </c>
      <c r="K771" s="68" t="s">
        <v>33</v>
      </c>
      <c r="L771" s="103">
        <v>10</v>
      </c>
      <c r="M771" s="104">
        <f t="shared" si="170"/>
        <v>0.78738562280625</v>
      </c>
      <c r="N771" s="69" t="s">
        <v>34</v>
      </c>
      <c r="O771" s="67"/>
      <c r="P771" s="74"/>
      <c r="Q771" s="71">
        <f>VLOOKUP($F771,[2]装箱单!$A:$E,5,0)</f>
        <v>52.705</v>
      </c>
      <c r="R771" s="71">
        <f>VLOOKUP($F771,[2]装箱单!$A:$F,6,0)</f>
        <v>41.275</v>
      </c>
      <c r="S771" s="71">
        <f>VLOOKUP($F771,[2]装箱单!$A:$G,7,0)</f>
        <v>36.195</v>
      </c>
      <c r="T771" s="105">
        <f>VLOOKUP($F771,[2]装箱单!$A:$J,10,0)</f>
        <v>0.078738562280625</v>
      </c>
      <c r="U771" s="71">
        <f t="shared" si="171"/>
        <v>0.78738562280625</v>
      </c>
      <c r="V771" s="12"/>
    </row>
    <row r="772" s="1" customFormat="1" ht="29.1" customHeight="1" spans="1:22">
      <c r="A772" s="62">
        <v>46256</v>
      </c>
      <c r="B772" s="63" t="s">
        <v>2005</v>
      </c>
      <c r="C772" s="64" t="s">
        <v>2010</v>
      </c>
      <c r="D772" s="66"/>
      <c r="E772" s="67"/>
      <c r="F772" s="66">
        <v>263711</v>
      </c>
      <c r="G772" s="67" t="str">
        <f>VLOOKUP(F772,[2]装箱单!$A:$C,3,0)</f>
        <v>大眼妹</v>
      </c>
      <c r="H772" s="67">
        <v>50</v>
      </c>
      <c r="I772" s="103">
        <f t="shared" ref="I772:I782" si="174">+L772*4</f>
        <v>64</v>
      </c>
      <c r="J772" s="68" t="s">
        <v>32</v>
      </c>
      <c r="K772" s="68" t="s">
        <v>33</v>
      </c>
      <c r="L772" s="103">
        <v>16</v>
      </c>
      <c r="M772" s="104">
        <f t="shared" si="170"/>
        <v>1.255380198912</v>
      </c>
      <c r="N772" s="69" t="s">
        <v>34</v>
      </c>
      <c r="O772" s="67"/>
      <c r="P772" s="74"/>
      <c r="Q772" s="71">
        <f>VLOOKUP($F772,[2]装箱单!$A:$E,5,0)</f>
        <v>60.96</v>
      </c>
      <c r="R772" s="71">
        <f>VLOOKUP($F772,[2]装箱单!$A:$F,6,0)</f>
        <v>35.56</v>
      </c>
      <c r="S772" s="71">
        <f>VLOOKUP($F772,[2]装箱单!$A:$G,7,0)</f>
        <v>36.195</v>
      </c>
      <c r="T772" s="105">
        <f>VLOOKUP($F772,[2]装箱单!$A:$J,10,0)</f>
        <v>0.078461262432</v>
      </c>
      <c r="U772" s="71">
        <f t="shared" si="171"/>
        <v>1.255380198912</v>
      </c>
      <c r="V772" s="12"/>
    </row>
    <row r="773" s="1" customFormat="1" ht="29.1" customHeight="1" spans="1:22">
      <c r="A773" s="62">
        <v>46256</v>
      </c>
      <c r="B773" s="63" t="s">
        <v>2005</v>
      </c>
      <c r="C773" s="64" t="s">
        <v>2010</v>
      </c>
      <c r="D773" s="66"/>
      <c r="E773" s="67"/>
      <c r="F773" s="66">
        <v>263713</v>
      </c>
      <c r="G773" s="67" t="str">
        <f>VLOOKUP(F773,[2]装箱单!$A:$C,3,0)</f>
        <v>爱心抱枕</v>
      </c>
      <c r="H773" s="67">
        <v>50</v>
      </c>
      <c r="I773" s="103">
        <f t="shared" si="174"/>
        <v>92</v>
      </c>
      <c r="J773" s="68" t="s">
        <v>32</v>
      </c>
      <c r="K773" s="68" t="s">
        <v>33</v>
      </c>
      <c r="L773" s="103">
        <v>23</v>
      </c>
      <c r="M773" s="104">
        <f t="shared" si="170"/>
        <v>1.804609035936</v>
      </c>
      <c r="N773" s="69" t="s">
        <v>34</v>
      </c>
      <c r="O773" s="67"/>
      <c r="P773" s="74"/>
      <c r="Q773" s="71">
        <f>VLOOKUP($F773,[2]装箱单!$A:$E,5,0)</f>
        <v>60.96</v>
      </c>
      <c r="R773" s="71">
        <f>VLOOKUP($F773,[2]装箱单!$A:$F,6,0)</f>
        <v>35.56</v>
      </c>
      <c r="S773" s="71">
        <f>VLOOKUP($F773,[2]装箱单!$A:$G,7,0)</f>
        <v>36.195</v>
      </c>
      <c r="T773" s="105">
        <f>VLOOKUP($F773,[2]装箱单!$A:$J,10,0)</f>
        <v>0.078461262432</v>
      </c>
      <c r="U773" s="71">
        <f t="shared" si="171"/>
        <v>1.804609035936</v>
      </c>
      <c r="V773" s="12"/>
    </row>
    <row r="774" s="1" customFormat="1" ht="29.1" customHeight="1" spans="1:22">
      <c r="A774" s="62">
        <v>46256</v>
      </c>
      <c r="B774" s="63" t="s">
        <v>2005</v>
      </c>
      <c r="C774" s="64" t="s">
        <v>2006</v>
      </c>
      <c r="D774" s="66"/>
      <c r="E774" s="67"/>
      <c r="F774" s="66">
        <v>263716</v>
      </c>
      <c r="G774" s="67" t="str">
        <f>VLOOKUP(F774,[2]装箱单!$A:$C,3,0)</f>
        <v>南瓜</v>
      </c>
      <c r="H774" s="67">
        <v>50</v>
      </c>
      <c r="I774" s="103">
        <f t="shared" si="174"/>
        <v>80</v>
      </c>
      <c r="J774" s="68" t="s">
        <v>32</v>
      </c>
      <c r="K774" s="68" t="s">
        <v>33</v>
      </c>
      <c r="L774" s="103">
        <v>20</v>
      </c>
      <c r="M774" s="104">
        <f t="shared" si="170"/>
        <v>1.15332156432</v>
      </c>
      <c r="N774" s="69" t="s">
        <v>34</v>
      </c>
      <c r="O774" s="67"/>
      <c r="P774" s="74"/>
      <c r="Q774" s="71">
        <f>VLOOKUP($F774,[2]装箱单!$A:$E,5,0)</f>
        <v>64.77</v>
      </c>
      <c r="R774" s="71">
        <f>VLOOKUP($F774,[2]装箱单!$A:$F,6,0)</f>
        <v>29.21</v>
      </c>
      <c r="S774" s="71">
        <f>VLOOKUP($F774,[2]装箱单!$A:$G,7,0)</f>
        <v>30.48</v>
      </c>
      <c r="T774" s="105">
        <f>VLOOKUP($F774,[2]装箱单!$A:$J,10,0)</f>
        <v>0.057666078216</v>
      </c>
      <c r="U774" s="71">
        <f t="shared" si="171"/>
        <v>1.15332156432</v>
      </c>
      <c r="V774" s="12"/>
    </row>
    <row r="775" s="1" customFormat="1" ht="29.1" customHeight="1" spans="1:22">
      <c r="A775" s="62">
        <v>46256</v>
      </c>
      <c r="B775" s="63" t="s">
        <v>2005</v>
      </c>
      <c r="C775" s="64" t="s">
        <v>2077</v>
      </c>
      <c r="D775" s="66"/>
      <c r="E775" s="67"/>
      <c r="F775" s="66">
        <v>264722</v>
      </c>
      <c r="G775" s="67" t="str">
        <f>VLOOKUP(F775,[2]装箱单!$A:$C,3,0)</f>
        <v>13.5"粉色妞妞</v>
      </c>
      <c r="H775" s="67">
        <v>50</v>
      </c>
      <c r="I775" s="103">
        <f t="shared" si="174"/>
        <v>92</v>
      </c>
      <c r="J775" s="68" t="s">
        <v>32</v>
      </c>
      <c r="K775" s="68" t="s">
        <v>33</v>
      </c>
      <c r="L775" s="103">
        <v>23</v>
      </c>
      <c r="M775" s="104">
        <f t="shared" si="170"/>
        <v>1.344976471332</v>
      </c>
      <c r="N775" s="69" t="s">
        <v>34</v>
      </c>
      <c r="O775" s="67"/>
      <c r="P775" s="74"/>
      <c r="Q775" s="71">
        <f>VLOOKUP($F775,[2]装箱单!$A:$E,5,0)</f>
        <v>49.53</v>
      </c>
      <c r="R775" s="71">
        <f>VLOOKUP($F775,[2]装箱单!$A:$F,6,0)</f>
        <v>38.735</v>
      </c>
      <c r="S775" s="71">
        <f>VLOOKUP($F775,[2]装箱单!$A:$G,7,0)</f>
        <v>30.48</v>
      </c>
      <c r="T775" s="105">
        <f>VLOOKUP($F775,[2]装箱单!$A:$J,10,0)</f>
        <v>0.058477237884</v>
      </c>
      <c r="U775" s="71">
        <f t="shared" si="171"/>
        <v>1.344976471332</v>
      </c>
      <c r="V775" s="12"/>
    </row>
    <row r="776" s="1" customFormat="1" ht="29.1" customHeight="1" spans="1:22">
      <c r="A776" s="62">
        <v>46256</v>
      </c>
      <c r="B776" s="63" t="s">
        <v>2005</v>
      </c>
      <c r="C776" s="64" t="s">
        <v>2011</v>
      </c>
      <c r="D776" s="66"/>
      <c r="E776" s="67"/>
      <c r="F776" s="66">
        <v>268031</v>
      </c>
      <c r="G776" s="67" t="str">
        <f>VLOOKUP(F776,[2]装箱单!$A:$C,3,0)</f>
        <v>彩云咩咩</v>
      </c>
      <c r="H776" s="67">
        <v>50</v>
      </c>
      <c r="I776" s="103">
        <f t="shared" si="174"/>
        <v>36</v>
      </c>
      <c r="J776" s="68" t="s">
        <v>32</v>
      </c>
      <c r="K776" s="68" t="s">
        <v>33</v>
      </c>
      <c r="L776" s="103">
        <v>9</v>
      </c>
      <c r="M776" s="104">
        <f t="shared" si="170"/>
        <v>0.2728538333235</v>
      </c>
      <c r="N776" s="69" t="s">
        <v>34</v>
      </c>
      <c r="O776" s="67"/>
      <c r="P776" s="74"/>
      <c r="Q776" s="71">
        <f>VLOOKUP($F776,[2]装箱单!$A:$E,5,0)</f>
        <v>43.815</v>
      </c>
      <c r="R776" s="71">
        <f>VLOOKUP($F776,[2]装箱单!$A:$F,6,0)</f>
        <v>27.94</v>
      </c>
      <c r="S776" s="71">
        <f>VLOOKUP($F776,[2]装箱单!$A:$G,7,0)</f>
        <v>24.765</v>
      </c>
      <c r="T776" s="105">
        <f>VLOOKUP($F776,[2]装箱单!$A:$J,10,0)</f>
        <v>0.0303170925915</v>
      </c>
      <c r="U776" s="71">
        <f t="shared" si="171"/>
        <v>0.2728538333235</v>
      </c>
      <c r="V776" s="12"/>
    </row>
    <row r="777" s="1" customFormat="1" ht="29.1" customHeight="1" spans="1:22">
      <c r="A777" s="62">
        <v>46256</v>
      </c>
      <c r="B777" s="63" t="s">
        <v>2005</v>
      </c>
      <c r="C777" s="64" t="s">
        <v>2011</v>
      </c>
      <c r="D777" s="66"/>
      <c r="E777" s="67"/>
      <c r="F777" s="66">
        <v>268032</v>
      </c>
      <c r="G777" s="67" t="str">
        <f>VLOOKUP(F777,[2]装箱单!$A:$C,3,0)</f>
        <v>黑云咩咩</v>
      </c>
      <c r="H777" s="67">
        <v>50</v>
      </c>
      <c r="I777" s="103">
        <f t="shared" si="174"/>
        <v>56</v>
      </c>
      <c r="J777" s="68" t="s">
        <v>32</v>
      </c>
      <c r="K777" s="68" t="s">
        <v>33</v>
      </c>
      <c r="L777" s="103">
        <v>14</v>
      </c>
      <c r="M777" s="104">
        <f t="shared" si="170"/>
        <v>0.424439296281</v>
      </c>
      <c r="N777" s="69" t="s">
        <v>34</v>
      </c>
      <c r="O777" s="67"/>
      <c r="P777" s="74"/>
      <c r="Q777" s="71">
        <f>VLOOKUP($F777,[2]装箱单!$A:$E,5,0)</f>
        <v>43.815</v>
      </c>
      <c r="R777" s="71">
        <f>VLOOKUP($F777,[2]装箱单!$A:$F,6,0)</f>
        <v>27.94</v>
      </c>
      <c r="S777" s="71">
        <f>VLOOKUP($F777,[2]装箱单!$A:$G,7,0)</f>
        <v>24.765</v>
      </c>
      <c r="T777" s="105">
        <f>VLOOKUP($F777,[2]装箱单!$A:$J,10,0)</f>
        <v>0.0303170925915</v>
      </c>
      <c r="U777" s="71">
        <f t="shared" si="171"/>
        <v>0.424439296281</v>
      </c>
      <c r="V777" s="12"/>
    </row>
    <row r="778" s="1" customFormat="1" ht="29.1" customHeight="1" spans="1:22">
      <c r="A778" s="62">
        <v>46256</v>
      </c>
      <c r="B778" s="63" t="s">
        <v>2005</v>
      </c>
      <c r="C778" s="64" t="s">
        <v>2011</v>
      </c>
      <c r="D778" s="66"/>
      <c r="E778" s="67"/>
      <c r="F778" s="66">
        <v>268033</v>
      </c>
      <c r="G778" s="67" t="str">
        <f>VLOOKUP(F778,[2]装箱单!$A:$C,3,0)</f>
        <v>霓虹咪咪</v>
      </c>
      <c r="H778" s="67">
        <v>50</v>
      </c>
      <c r="I778" s="103">
        <f t="shared" si="174"/>
        <v>56</v>
      </c>
      <c r="J778" s="68" t="s">
        <v>32</v>
      </c>
      <c r="K778" s="68" t="s">
        <v>33</v>
      </c>
      <c r="L778" s="103">
        <v>14</v>
      </c>
      <c r="M778" s="104">
        <f t="shared" si="170"/>
        <v>0.424439296281</v>
      </c>
      <c r="N778" s="69" t="s">
        <v>34</v>
      </c>
      <c r="O778" s="67"/>
      <c r="P778" s="74"/>
      <c r="Q778" s="71">
        <f>VLOOKUP($F778,[2]装箱单!$A:$E,5,0)</f>
        <v>43.815</v>
      </c>
      <c r="R778" s="71">
        <f>VLOOKUP($F778,[2]装箱单!$A:$F,6,0)</f>
        <v>27.94</v>
      </c>
      <c r="S778" s="71">
        <f>VLOOKUP($F778,[2]装箱单!$A:$G,7,0)</f>
        <v>24.765</v>
      </c>
      <c r="T778" s="105">
        <f>VLOOKUP($F778,[2]装箱单!$A:$J,10,0)</f>
        <v>0.0303170925915</v>
      </c>
      <c r="U778" s="71">
        <f t="shared" si="171"/>
        <v>0.424439296281</v>
      </c>
      <c r="V778" s="12"/>
    </row>
    <row r="779" s="1" customFormat="1" ht="29.1" customHeight="1" spans="1:22">
      <c r="A779" s="62">
        <v>46256</v>
      </c>
      <c r="B779" s="63" t="s">
        <v>2005</v>
      </c>
      <c r="C779" s="64" t="s">
        <v>2011</v>
      </c>
      <c r="D779" s="66"/>
      <c r="E779" s="67"/>
      <c r="F779" s="66">
        <v>268034</v>
      </c>
      <c r="G779" s="67" t="str">
        <f>VLOOKUP(F779,[2]装箱单!$A:$C,3,0)</f>
        <v>青空羊咪咪</v>
      </c>
      <c r="H779" s="67">
        <v>50</v>
      </c>
      <c r="I779" s="103">
        <f t="shared" si="174"/>
        <v>76</v>
      </c>
      <c r="J779" s="68" t="s">
        <v>32</v>
      </c>
      <c r="K779" s="68" t="s">
        <v>33</v>
      </c>
      <c r="L779" s="103">
        <v>19</v>
      </c>
      <c r="M779" s="104">
        <f t="shared" si="170"/>
        <v>0.5760247592385</v>
      </c>
      <c r="N779" s="69" t="s">
        <v>34</v>
      </c>
      <c r="O779" s="67"/>
      <c r="P779" s="74"/>
      <c r="Q779" s="71">
        <f>VLOOKUP($F779,[2]装箱单!$A:$E,5,0)</f>
        <v>43.815</v>
      </c>
      <c r="R779" s="71">
        <f>VLOOKUP($F779,[2]装箱单!$A:$F,6,0)</f>
        <v>27.94</v>
      </c>
      <c r="S779" s="71">
        <f>VLOOKUP($F779,[2]装箱单!$A:$G,7,0)</f>
        <v>24.765</v>
      </c>
      <c r="T779" s="105">
        <f>VLOOKUP($F779,[2]装箱单!$A:$J,10,0)</f>
        <v>0.0303170925915</v>
      </c>
      <c r="U779" s="71">
        <f t="shared" si="171"/>
        <v>0.5760247592385</v>
      </c>
      <c r="V779" s="12"/>
    </row>
    <row r="780" s="1" customFormat="1" ht="29.1" customHeight="1" spans="1:22">
      <c r="A780" s="62">
        <v>46256</v>
      </c>
      <c r="B780" s="63" t="s">
        <v>2005</v>
      </c>
      <c r="C780" s="64" t="s">
        <v>2011</v>
      </c>
      <c r="D780" s="66"/>
      <c r="E780" s="67"/>
      <c r="F780" s="66">
        <v>268035</v>
      </c>
      <c r="G780" s="67" t="str">
        <f>VLOOKUP(F780,[2]装箱单!$A:$C,3,0)</f>
        <v>红桃咪咪</v>
      </c>
      <c r="H780" s="67">
        <v>50</v>
      </c>
      <c r="I780" s="103">
        <f t="shared" si="174"/>
        <v>28</v>
      </c>
      <c r="J780" s="68" t="s">
        <v>32</v>
      </c>
      <c r="K780" s="68" t="s">
        <v>33</v>
      </c>
      <c r="L780" s="103">
        <v>7</v>
      </c>
      <c r="M780" s="104">
        <f t="shared" si="170"/>
        <v>0.2122196481405</v>
      </c>
      <c r="N780" s="69" t="s">
        <v>34</v>
      </c>
      <c r="O780" s="67"/>
      <c r="P780" s="74"/>
      <c r="Q780" s="71">
        <f>VLOOKUP($F780,[2]装箱单!$A:$E,5,0)</f>
        <v>43.815</v>
      </c>
      <c r="R780" s="71">
        <f>VLOOKUP($F780,[2]装箱单!$A:$F,6,0)</f>
        <v>27.94</v>
      </c>
      <c r="S780" s="71">
        <f>VLOOKUP($F780,[2]装箱单!$A:$G,7,0)</f>
        <v>24.765</v>
      </c>
      <c r="T780" s="105">
        <f>VLOOKUP($F780,[2]装箱单!$A:$J,10,0)</f>
        <v>0.0303170925915</v>
      </c>
      <c r="U780" s="71">
        <f t="shared" si="171"/>
        <v>0.2122196481405</v>
      </c>
      <c r="V780" s="12"/>
    </row>
    <row r="781" s="1" customFormat="1" ht="29.1" customHeight="1" spans="1:22">
      <c r="A781" s="62">
        <v>46256</v>
      </c>
      <c r="B781" s="63" t="s">
        <v>2005</v>
      </c>
      <c r="C781" s="64" t="s">
        <v>2011</v>
      </c>
      <c r="D781" s="66"/>
      <c r="E781" s="67"/>
      <c r="F781" s="66">
        <v>268036</v>
      </c>
      <c r="G781" s="67" t="str">
        <f>VLOOKUP(F781,[2]装箱单!$A:$C,3,0)</f>
        <v>焦糖咪咪</v>
      </c>
      <c r="H781" s="67">
        <v>50</v>
      </c>
      <c r="I781" s="103">
        <f t="shared" si="174"/>
        <v>88</v>
      </c>
      <c r="J781" s="68" t="s">
        <v>32</v>
      </c>
      <c r="K781" s="68" t="s">
        <v>33</v>
      </c>
      <c r="L781" s="103">
        <v>22</v>
      </c>
      <c r="M781" s="104">
        <f t="shared" si="170"/>
        <v>0.666976037013</v>
      </c>
      <c r="N781" s="69" t="s">
        <v>34</v>
      </c>
      <c r="O781" s="67"/>
      <c r="P781" s="74"/>
      <c r="Q781" s="71">
        <f>VLOOKUP($F781,[2]装箱单!$A:$E,5,0)</f>
        <v>43.815</v>
      </c>
      <c r="R781" s="71">
        <f>VLOOKUP($F781,[2]装箱单!$A:$F,6,0)</f>
        <v>27.94</v>
      </c>
      <c r="S781" s="71">
        <f>VLOOKUP($F781,[2]装箱单!$A:$G,7,0)</f>
        <v>24.765</v>
      </c>
      <c r="T781" s="105">
        <f>VLOOKUP($F781,[2]装箱单!$A:$J,10,0)</f>
        <v>0.0303170925915</v>
      </c>
      <c r="U781" s="71">
        <f t="shared" si="171"/>
        <v>0.666976037013</v>
      </c>
      <c r="V781" s="12"/>
    </row>
    <row r="782" s="1" customFormat="1" ht="29.1" customHeight="1" spans="1:22">
      <c r="A782" s="62">
        <v>46256</v>
      </c>
      <c r="B782" s="63" t="s">
        <v>2005</v>
      </c>
      <c r="C782" s="64" t="s">
        <v>2011</v>
      </c>
      <c r="D782" s="66"/>
      <c r="E782" s="67"/>
      <c r="F782" s="66">
        <v>268037</v>
      </c>
      <c r="G782" s="67" t="str">
        <f>VLOOKUP(F782,[2]装箱单!$A:$C,3,0)</f>
        <v>芋泥羊咪咪</v>
      </c>
      <c r="H782" s="67">
        <v>50</v>
      </c>
      <c r="I782" s="103">
        <f t="shared" si="174"/>
        <v>60</v>
      </c>
      <c r="J782" s="68" t="s">
        <v>32</v>
      </c>
      <c r="K782" s="68" t="s">
        <v>33</v>
      </c>
      <c r="L782" s="103">
        <v>15</v>
      </c>
      <c r="M782" s="104">
        <f t="shared" si="170"/>
        <v>0.4547563888725</v>
      </c>
      <c r="N782" s="69" t="s">
        <v>34</v>
      </c>
      <c r="O782" s="67"/>
      <c r="P782" s="74"/>
      <c r="Q782" s="71">
        <f>VLOOKUP($F782,[2]装箱单!$A:$E,5,0)</f>
        <v>43.815</v>
      </c>
      <c r="R782" s="71">
        <f>VLOOKUP($F782,[2]装箱单!$A:$F,6,0)</f>
        <v>27.94</v>
      </c>
      <c r="S782" s="71">
        <f>VLOOKUP($F782,[2]装箱单!$A:$G,7,0)</f>
        <v>24.765</v>
      </c>
      <c r="T782" s="105">
        <f>VLOOKUP($F782,[2]装箱单!$A:$J,10,0)</f>
        <v>0.0303170925915</v>
      </c>
      <c r="U782" s="71">
        <f t="shared" si="171"/>
        <v>0.4547563888725</v>
      </c>
      <c r="V782" s="12"/>
    </row>
    <row r="783" s="1" customFormat="1" ht="29.1" customHeight="1" spans="1:22">
      <c r="A783" s="62">
        <v>46256</v>
      </c>
      <c r="B783" s="63" t="s">
        <v>2005</v>
      </c>
      <c r="C783" s="64" t="s">
        <v>2078</v>
      </c>
      <c r="D783" s="66"/>
      <c r="E783" s="67"/>
      <c r="F783" s="66">
        <v>268041</v>
      </c>
      <c r="G783" s="67" t="str">
        <f>VLOOKUP(F783,[2]装箱单!$A:$C,3,0)</f>
        <v>芭提</v>
      </c>
      <c r="H783" s="67">
        <v>50</v>
      </c>
      <c r="I783" s="103">
        <f t="shared" ref="I783:I787" si="175">+L783*10</f>
        <v>150</v>
      </c>
      <c r="J783" s="68" t="s">
        <v>32</v>
      </c>
      <c r="K783" s="68" t="s">
        <v>33</v>
      </c>
      <c r="L783" s="103">
        <v>15</v>
      </c>
      <c r="M783" s="104">
        <f t="shared" si="170"/>
        <v>0.45019361574</v>
      </c>
      <c r="N783" s="69" t="s">
        <v>34</v>
      </c>
      <c r="O783" s="67"/>
      <c r="P783" s="74"/>
      <c r="Q783" s="71">
        <f>VLOOKUP($F783,[2]装箱单!$A:$E,5,0)</f>
        <v>55.88</v>
      </c>
      <c r="R783" s="71">
        <f>VLOOKUP($F783,[2]装箱单!$A:$F,6,0)</f>
        <v>22.86</v>
      </c>
      <c r="S783" s="71">
        <f>VLOOKUP($F783,[2]装箱单!$A:$G,7,0)</f>
        <v>23.495</v>
      </c>
      <c r="T783" s="105">
        <f>VLOOKUP($F783,[2]装箱单!$A:$J,10,0)</f>
        <v>0.030012907716</v>
      </c>
      <c r="U783" s="71">
        <f t="shared" si="171"/>
        <v>0.45019361574</v>
      </c>
      <c r="V783" s="12"/>
    </row>
    <row r="784" s="1" customFormat="1" ht="29.1" customHeight="1" spans="1:22">
      <c r="A784" s="62">
        <v>46256</v>
      </c>
      <c r="B784" s="63" t="s">
        <v>2005</v>
      </c>
      <c r="C784" s="64" t="s">
        <v>2078</v>
      </c>
      <c r="D784" s="66"/>
      <c r="E784" s="67"/>
      <c r="F784" s="66">
        <v>268042</v>
      </c>
      <c r="G784" s="67" t="str">
        <f>VLOOKUP(F784,[2]装箱单!$A:$C,3,0)</f>
        <v>芭蕉</v>
      </c>
      <c r="H784" s="67">
        <v>50</v>
      </c>
      <c r="I784" s="103">
        <f t="shared" si="175"/>
        <v>290</v>
      </c>
      <c r="J784" s="68" t="s">
        <v>32</v>
      </c>
      <c r="K784" s="68" t="s">
        <v>33</v>
      </c>
      <c r="L784" s="103">
        <v>29</v>
      </c>
      <c r="M784" s="104">
        <f t="shared" si="170"/>
        <v>0.870374323764</v>
      </c>
      <c r="N784" s="69" t="s">
        <v>34</v>
      </c>
      <c r="O784" s="67"/>
      <c r="P784" s="74"/>
      <c r="Q784" s="71">
        <f>VLOOKUP($F784,[2]装箱单!$A:$E,5,0)</f>
        <v>55.88</v>
      </c>
      <c r="R784" s="71">
        <f>VLOOKUP($F784,[2]装箱单!$A:$F,6,0)</f>
        <v>22.86</v>
      </c>
      <c r="S784" s="71">
        <f>VLOOKUP($F784,[2]装箱单!$A:$G,7,0)</f>
        <v>23.495</v>
      </c>
      <c r="T784" s="105">
        <f>VLOOKUP($F784,[2]装箱单!$A:$J,10,0)</f>
        <v>0.030012907716</v>
      </c>
      <c r="U784" s="71">
        <f t="shared" si="171"/>
        <v>0.870374323764</v>
      </c>
      <c r="V784" s="12"/>
    </row>
    <row r="785" s="1" customFormat="1" ht="29.1" customHeight="1" spans="1:22">
      <c r="A785" s="62">
        <v>46256</v>
      </c>
      <c r="B785" s="63" t="s">
        <v>2005</v>
      </c>
      <c r="C785" s="64" t="s">
        <v>2078</v>
      </c>
      <c r="D785" s="66"/>
      <c r="E785" s="67"/>
      <c r="F785" s="66">
        <v>268043</v>
      </c>
      <c r="G785" s="67" t="str">
        <f>VLOOKUP(F785,[2]装箱单!$A:$C,3,0)</f>
        <v>芭蒂</v>
      </c>
      <c r="H785" s="67">
        <v>50</v>
      </c>
      <c r="I785" s="103">
        <f t="shared" si="175"/>
        <v>310</v>
      </c>
      <c r="J785" s="68" t="s">
        <v>32</v>
      </c>
      <c r="K785" s="68" t="s">
        <v>33</v>
      </c>
      <c r="L785" s="103">
        <v>31</v>
      </c>
      <c r="M785" s="104">
        <f t="shared" si="170"/>
        <v>0.930400139196</v>
      </c>
      <c r="N785" s="69" t="s">
        <v>34</v>
      </c>
      <c r="O785" s="67"/>
      <c r="P785" s="74"/>
      <c r="Q785" s="71">
        <f>VLOOKUP($F785,[2]装箱单!$A:$E,5,0)</f>
        <v>55.88</v>
      </c>
      <c r="R785" s="71">
        <f>VLOOKUP($F785,[2]装箱单!$A:$F,6,0)</f>
        <v>22.86</v>
      </c>
      <c r="S785" s="71">
        <f>VLOOKUP($F785,[2]装箱单!$A:$G,7,0)</f>
        <v>23.495</v>
      </c>
      <c r="T785" s="105">
        <f>VLOOKUP($F785,[2]装箱单!$A:$J,10,0)</f>
        <v>0.030012907716</v>
      </c>
      <c r="U785" s="71">
        <f t="shared" si="171"/>
        <v>0.930400139196</v>
      </c>
      <c r="V785" s="12"/>
    </row>
    <row r="786" s="1" customFormat="1" ht="29.1" customHeight="1" spans="1:22">
      <c r="A786" s="62">
        <v>46256</v>
      </c>
      <c r="B786" s="63" t="s">
        <v>2005</v>
      </c>
      <c r="C786" s="64" t="s">
        <v>2078</v>
      </c>
      <c r="D786" s="66"/>
      <c r="E786" s="67"/>
      <c r="F786" s="66">
        <v>268044</v>
      </c>
      <c r="G786" s="67" t="str">
        <f>VLOOKUP(F786,[2]装箱单!$A:$C,3,0)</f>
        <v>芭乐</v>
      </c>
      <c r="H786" s="67">
        <v>50</v>
      </c>
      <c r="I786" s="103">
        <f t="shared" si="175"/>
        <v>330</v>
      </c>
      <c r="J786" s="68" t="s">
        <v>32</v>
      </c>
      <c r="K786" s="68" t="s">
        <v>33</v>
      </c>
      <c r="L786" s="103">
        <v>33</v>
      </c>
      <c r="M786" s="104">
        <f t="shared" si="170"/>
        <v>0.990425954628</v>
      </c>
      <c r="N786" s="69" t="s">
        <v>34</v>
      </c>
      <c r="O786" s="67"/>
      <c r="P786" s="74"/>
      <c r="Q786" s="71">
        <f>VLOOKUP($F786,[2]装箱单!$A:$E,5,0)</f>
        <v>55.88</v>
      </c>
      <c r="R786" s="71">
        <f>VLOOKUP($F786,[2]装箱单!$A:$F,6,0)</f>
        <v>22.86</v>
      </c>
      <c r="S786" s="71">
        <f>VLOOKUP($F786,[2]装箱单!$A:$G,7,0)</f>
        <v>23.495</v>
      </c>
      <c r="T786" s="105">
        <f>VLOOKUP($F786,[2]装箱单!$A:$J,10,0)</f>
        <v>0.030012907716</v>
      </c>
      <c r="U786" s="71">
        <f t="shared" si="171"/>
        <v>0.990425954628</v>
      </c>
      <c r="V786" s="12"/>
    </row>
    <row r="787" s="1" customFormat="1" ht="29.1" customHeight="1" spans="1:22">
      <c r="A787" s="62">
        <v>46256</v>
      </c>
      <c r="B787" s="63" t="s">
        <v>2005</v>
      </c>
      <c r="C787" s="64" t="s">
        <v>2078</v>
      </c>
      <c r="D787" s="66"/>
      <c r="E787" s="67"/>
      <c r="F787" s="66">
        <v>268045</v>
      </c>
      <c r="G787" s="67" t="str">
        <f>VLOOKUP(F787,[2]装箱单!$A:$C,3,0)</f>
        <v>芭布</v>
      </c>
      <c r="H787" s="67">
        <v>50</v>
      </c>
      <c r="I787" s="103">
        <f t="shared" si="175"/>
        <v>300</v>
      </c>
      <c r="J787" s="68" t="s">
        <v>32</v>
      </c>
      <c r="K787" s="68" t="s">
        <v>33</v>
      </c>
      <c r="L787" s="103">
        <v>30</v>
      </c>
      <c r="M787" s="104">
        <f t="shared" si="170"/>
        <v>0.90038723148</v>
      </c>
      <c r="N787" s="69" t="s">
        <v>34</v>
      </c>
      <c r="O787" s="67"/>
      <c r="P787" s="74"/>
      <c r="Q787" s="71">
        <f>VLOOKUP($F787,[2]装箱单!$A:$E,5,0)</f>
        <v>55.88</v>
      </c>
      <c r="R787" s="71">
        <f>VLOOKUP($F787,[2]装箱单!$A:$F,6,0)</f>
        <v>22.86</v>
      </c>
      <c r="S787" s="71">
        <f>VLOOKUP($F787,[2]装箱单!$A:$G,7,0)</f>
        <v>23.495</v>
      </c>
      <c r="T787" s="105">
        <f>VLOOKUP($F787,[2]装箱单!$A:$J,10,0)</f>
        <v>0.030012907716</v>
      </c>
      <c r="U787" s="71">
        <f t="shared" si="171"/>
        <v>0.90038723148</v>
      </c>
      <c r="V787" s="12"/>
    </row>
    <row r="788" s="1" customFormat="1" ht="29.1" customHeight="1" spans="1:22">
      <c r="A788" s="62">
        <v>46256</v>
      </c>
      <c r="B788" s="63" t="s">
        <v>2005</v>
      </c>
      <c r="C788" s="64" t="s">
        <v>2079</v>
      </c>
      <c r="D788" s="66"/>
      <c r="E788" s="67"/>
      <c r="F788" s="66">
        <v>268082</v>
      </c>
      <c r="G788" s="67" t="str">
        <f>VLOOKUP(F788,[2]装箱单!$A:$C,3,0)</f>
        <v>7.5"腊肠狗</v>
      </c>
      <c r="H788" s="67">
        <v>50</v>
      </c>
      <c r="I788" s="103">
        <f>+L788*6</f>
        <v>186</v>
      </c>
      <c r="J788" s="68" t="s">
        <v>32</v>
      </c>
      <c r="K788" s="68" t="s">
        <v>33</v>
      </c>
      <c r="L788" s="103">
        <v>31</v>
      </c>
      <c r="M788" s="104">
        <f t="shared" si="170"/>
        <v>0.74675850648</v>
      </c>
      <c r="N788" s="69" t="s">
        <v>34</v>
      </c>
      <c r="O788" s="67"/>
      <c r="P788" s="74"/>
      <c r="Q788" s="71">
        <f>VLOOKUP($F788,[2]装箱单!$A:$E,5,0)</f>
        <v>53.34</v>
      </c>
      <c r="R788" s="71">
        <f>VLOOKUP($F788,[2]装箱单!$A:$F,6,0)</f>
        <v>25.4</v>
      </c>
      <c r="S788" s="71">
        <f>VLOOKUP($F788,[2]装箱单!$A:$G,7,0)</f>
        <v>17.78</v>
      </c>
      <c r="T788" s="105">
        <f>VLOOKUP($F788,[2]装箱单!$A:$J,10,0)</f>
        <v>0.02408898408</v>
      </c>
      <c r="U788" s="71">
        <f t="shared" si="171"/>
        <v>0.74675850648</v>
      </c>
      <c r="V788" s="12"/>
    </row>
    <row r="789" s="1" customFormat="1" ht="29.1" customHeight="1" spans="1:22">
      <c r="A789" s="62">
        <v>46256</v>
      </c>
      <c r="B789" s="63" t="s">
        <v>2005</v>
      </c>
      <c r="C789" s="64" t="s">
        <v>2047</v>
      </c>
      <c r="D789" s="66"/>
      <c r="E789" s="67"/>
      <c r="F789" s="66">
        <v>267751</v>
      </c>
      <c r="G789" s="67" t="str">
        <f>VLOOKUP(F789,[2]装箱单!$A:$C,3,0)</f>
        <v>粉黄小鸭</v>
      </c>
      <c r="H789" s="67">
        <v>10</v>
      </c>
      <c r="I789" s="103">
        <f t="shared" ref="I789:I796" si="176">+L789*20</f>
        <v>40</v>
      </c>
      <c r="J789" s="68" t="s">
        <v>32</v>
      </c>
      <c r="K789" s="68" t="s">
        <v>33</v>
      </c>
      <c r="L789" s="103">
        <v>2</v>
      </c>
      <c r="M789" s="104">
        <f t="shared" si="170"/>
        <v>0.03785411784</v>
      </c>
      <c r="N789" s="69" t="s">
        <v>34</v>
      </c>
      <c r="O789" s="67"/>
      <c r="P789" s="74"/>
      <c r="Q789" s="71">
        <f>VLOOKUP($F789,[2]装箱单!$A:$E,5,0)</f>
        <v>41.91</v>
      </c>
      <c r="R789" s="71">
        <f>VLOOKUP($F789,[2]装箱单!$A:$F,6,0)</f>
        <v>17.78</v>
      </c>
      <c r="S789" s="71">
        <f>VLOOKUP($F789,[2]装箱单!$A:$G,7,0)</f>
        <v>25.4</v>
      </c>
      <c r="T789" s="105">
        <f>VLOOKUP($F789,[2]装箱单!$A:$J,10,0)</f>
        <v>0.01892705892</v>
      </c>
      <c r="U789" s="71">
        <f t="shared" si="171"/>
        <v>0.03785411784</v>
      </c>
      <c r="V789" s="12"/>
    </row>
    <row r="790" s="1" customFormat="1" ht="29.1" customHeight="1" spans="1:22">
      <c r="A790" s="62">
        <v>46256</v>
      </c>
      <c r="B790" s="63" t="s">
        <v>2005</v>
      </c>
      <c r="C790" s="64" t="s">
        <v>2047</v>
      </c>
      <c r="D790" s="66"/>
      <c r="E790" s="67"/>
      <c r="F790" s="66">
        <v>267752</v>
      </c>
      <c r="G790" s="67" t="str">
        <f>VLOOKUP(F790,[2]装箱单!$A:$C,3,0)</f>
        <v>爱心鸭</v>
      </c>
      <c r="H790" s="67">
        <v>10</v>
      </c>
      <c r="I790" s="103">
        <f t="shared" si="176"/>
        <v>40</v>
      </c>
      <c r="J790" s="68" t="s">
        <v>32</v>
      </c>
      <c r="K790" s="68" t="s">
        <v>33</v>
      </c>
      <c r="L790" s="103">
        <v>2</v>
      </c>
      <c r="M790" s="104">
        <f t="shared" si="170"/>
        <v>0.03785411784</v>
      </c>
      <c r="N790" s="69" t="s">
        <v>34</v>
      </c>
      <c r="O790" s="67"/>
      <c r="P790" s="74"/>
      <c r="Q790" s="71">
        <f>VLOOKUP($F790,[2]装箱单!$A:$E,5,0)</f>
        <v>41.91</v>
      </c>
      <c r="R790" s="71">
        <f>VLOOKUP($F790,[2]装箱单!$A:$F,6,0)</f>
        <v>17.78</v>
      </c>
      <c r="S790" s="71">
        <f>VLOOKUP($F790,[2]装箱单!$A:$G,7,0)</f>
        <v>25.4</v>
      </c>
      <c r="T790" s="105">
        <f>VLOOKUP($F790,[2]装箱单!$A:$J,10,0)</f>
        <v>0.01892705892</v>
      </c>
      <c r="U790" s="71">
        <f t="shared" si="171"/>
        <v>0.03785411784</v>
      </c>
      <c r="V790" s="12"/>
    </row>
    <row r="791" s="1" customFormat="1" ht="29.1" customHeight="1" spans="1:22">
      <c r="A791" s="62">
        <v>46256</v>
      </c>
      <c r="B791" s="63" t="s">
        <v>2005</v>
      </c>
      <c r="C791" s="64" t="s">
        <v>2047</v>
      </c>
      <c r="D791" s="66"/>
      <c r="E791" s="67"/>
      <c r="F791" s="66">
        <v>267753</v>
      </c>
      <c r="G791" s="67" t="str">
        <f>VLOOKUP(F791,[2]装箱单!$A:$C,3,0)</f>
        <v>绿小鸭</v>
      </c>
      <c r="H791" s="67">
        <v>10</v>
      </c>
      <c r="I791" s="103">
        <f t="shared" si="176"/>
        <v>100</v>
      </c>
      <c r="J791" s="68" t="s">
        <v>32</v>
      </c>
      <c r="K791" s="68" t="s">
        <v>33</v>
      </c>
      <c r="L791" s="103">
        <v>5</v>
      </c>
      <c r="M791" s="104">
        <f t="shared" si="170"/>
        <v>0.0946352946</v>
      </c>
      <c r="N791" s="69" t="s">
        <v>34</v>
      </c>
      <c r="O791" s="67"/>
      <c r="P791" s="74"/>
      <c r="Q791" s="71">
        <f>VLOOKUP($F791,[2]装箱单!$A:$E,5,0)</f>
        <v>41.91</v>
      </c>
      <c r="R791" s="71">
        <f>VLOOKUP($F791,[2]装箱单!$A:$F,6,0)</f>
        <v>17.78</v>
      </c>
      <c r="S791" s="71">
        <f>VLOOKUP($F791,[2]装箱单!$A:$G,7,0)</f>
        <v>25.4</v>
      </c>
      <c r="T791" s="105">
        <f>VLOOKUP($F791,[2]装箱单!$A:$J,10,0)</f>
        <v>0.01892705892</v>
      </c>
      <c r="U791" s="71">
        <f t="shared" si="171"/>
        <v>0.0946352946</v>
      </c>
      <c r="V791" s="12"/>
    </row>
    <row r="792" s="1" customFormat="1" ht="29.1" customHeight="1" spans="1:22">
      <c r="A792" s="62">
        <v>46256</v>
      </c>
      <c r="B792" s="63" t="s">
        <v>2005</v>
      </c>
      <c r="C792" s="64" t="s">
        <v>2047</v>
      </c>
      <c r="D792" s="66"/>
      <c r="E792" s="67"/>
      <c r="F792" s="66">
        <v>267754</v>
      </c>
      <c r="G792" s="67" t="str">
        <f>VLOOKUP(F792,[2]装箱单!$A:$C,3,0)</f>
        <v>紫黄小鸭</v>
      </c>
      <c r="H792" s="67">
        <v>10</v>
      </c>
      <c r="I792" s="103">
        <f t="shared" si="176"/>
        <v>40</v>
      </c>
      <c r="J792" s="68" t="s">
        <v>32</v>
      </c>
      <c r="K792" s="68" t="s">
        <v>33</v>
      </c>
      <c r="L792" s="103">
        <v>2</v>
      </c>
      <c r="M792" s="104">
        <f t="shared" si="170"/>
        <v>0.03785411784</v>
      </c>
      <c r="N792" s="69" t="s">
        <v>34</v>
      </c>
      <c r="O792" s="67"/>
      <c r="P792" s="74"/>
      <c r="Q792" s="71">
        <f>VLOOKUP($F792,[2]装箱单!$A:$E,5,0)</f>
        <v>41.91</v>
      </c>
      <c r="R792" s="71">
        <f>VLOOKUP($F792,[2]装箱单!$A:$F,6,0)</f>
        <v>17.78</v>
      </c>
      <c r="S792" s="71">
        <f>VLOOKUP($F792,[2]装箱单!$A:$G,7,0)</f>
        <v>25.4</v>
      </c>
      <c r="T792" s="105">
        <f>VLOOKUP($F792,[2]装箱单!$A:$J,10,0)</f>
        <v>0.01892705892</v>
      </c>
      <c r="U792" s="71">
        <f t="shared" si="171"/>
        <v>0.03785411784</v>
      </c>
      <c r="V792" s="12"/>
    </row>
    <row r="793" s="1" customFormat="1" ht="29.1" customHeight="1" spans="1:22">
      <c r="A793" s="62">
        <v>46256</v>
      </c>
      <c r="B793" s="63" t="s">
        <v>2005</v>
      </c>
      <c r="C793" s="64" t="s">
        <v>2047</v>
      </c>
      <c r="D793" s="66"/>
      <c r="E793" s="67"/>
      <c r="F793" s="66">
        <v>267755</v>
      </c>
      <c r="G793" s="67" t="str">
        <f>VLOOKUP(F793,[2]装箱单!$A:$C,3,0)</f>
        <v>胖绿小鸭</v>
      </c>
      <c r="H793" s="67">
        <v>10</v>
      </c>
      <c r="I793" s="103">
        <f t="shared" si="176"/>
        <v>80</v>
      </c>
      <c r="J793" s="68" t="s">
        <v>32</v>
      </c>
      <c r="K793" s="68" t="s">
        <v>33</v>
      </c>
      <c r="L793" s="103">
        <v>4</v>
      </c>
      <c r="M793" s="104">
        <f t="shared" si="170"/>
        <v>0.07570823568</v>
      </c>
      <c r="N793" s="69" t="s">
        <v>34</v>
      </c>
      <c r="O793" s="67"/>
      <c r="P793" s="74"/>
      <c r="Q793" s="71">
        <f>VLOOKUP($F793,[2]装箱单!$A:$E,5,0)</f>
        <v>41.91</v>
      </c>
      <c r="R793" s="71">
        <f>VLOOKUP($F793,[2]装箱单!$A:$F,6,0)</f>
        <v>17.78</v>
      </c>
      <c r="S793" s="71">
        <f>VLOOKUP($F793,[2]装箱单!$A:$G,7,0)</f>
        <v>25.4</v>
      </c>
      <c r="T793" s="105">
        <f>VLOOKUP($F793,[2]装箱单!$A:$J,10,0)</f>
        <v>0.01892705892</v>
      </c>
      <c r="U793" s="71">
        <f t="shared" si="171"/>
        <v>0.07570823568</v>
      </c>
      <c r="V793" s="12"/>
    </row>
    <row r="794" s="1" customFormat="1" ht="29.1" customHeight="1" spans="1:22">
      <c r="A794" s="62">
        <v>46256</v>
      </c>
      <c r="B794" s="63" t="s">
        <v>2005</v>
      </c>
      <c r="C794" s="64" t="s">
        <v>2047</v>
      </c>
      <c r="D794" s="66"/>
      <c r="E794" s="67"/>
      <c r="F794" s="66">
        <v>267758</v>
      </c>
      <c r="G794" s="67" t="str">
        <f>VLOOKUP(F794,[2]装箱单!$A:$C,3,0)</f>
        <v>橙小鸭</v>
      </c>
      <c r="H794" s="67">
        <v>10</v>
      </c>
      <c r="I794" s="103">
        <f t="shared" si="176"/>
        <v>80</v>
      </c>
      <c r="J794" s="68" t="s">
        <v>32</v>
      </c>
      <c r="K794" s="68" t="s">
        <v>33</v>
      </c>
      <c r="L794" s="103">
        <v>4</v>
      </c>
      <c r="M794" s="104">
        <f t="shared" si="170"/>
        <v>0.07570823568</v>
      </c>
      <c r="N794" s="69" t="s">
        <v>34</v>
      </c>
      <c r="O794" s="67"/>
      <c r="P794" s="74"/>
      <c r="Q794" s="71">
        <f>VLOOKUP($F794,[2]装箱单!$A:$E,5,0)</f>
        <v>41.91</v>
      </c>
      <c r="R794" s="71">
        <f>VLOOKUP($F794,[2]装箱单!$A:$F,6,0)</f>
        <v>17.78</v>
      </c>
      <c r="S794" s="71">
        <f>VLOOKUP($F794,[2]装箱单!$A:$G,7,0)</f>
        <v>25.4</v>
      </c>
      <c r="T794" s="105">
        <f>VLOOKUP($F794,[2]装箱单!$A:$J,10,0)</f>
        <v>0.01892705892</v>
      </c>
      <c r="U794" s="71">
        <f t="shared" si="171"/>
        <v>0.07570823568</v>
      </c>
      <c r="V794" s="12"/>
    </row>
    <row r="795" s="1" customFormat="1" ht="29.1" customHeight="1" spans="1:22">
      <c r="A795" s="62">
        <v>46256</v>
      </c>
      <c r="B795" s="63" t="s">
        <v>2005</v>
      </c>
      <c r="C795" s="64" t="s">
        <v>2047</v>
      </c>
      <c r="D795" s="66"/>
      <c r="E795" s="67"/>
      <c r="F795" s="66">
        <v>267759</v>
      </c>
      <c r="G795" s="67" t="str">
        <f>VLOOKUP(F795,[2]装箱单!$A:$C,3,0)</f>
        <v>黄小鸭</v>
      </c>
      <c r="H795" s="67">
        <v>10</v>
      </c>
      <c r="I795" s="103">
        <f t="shared" si="176"/>
        <v>80</v>
      </c>
      <c r="J795" s="68" t="s">
        <v>32</v>
      </c>
      <c r="K795" s="68" t="s">
        <v>33</v>
      </c>
      <c r="L795" s="103">
        <v>4</v>
      </c>
      <c r="M795" s="104">
        <f t="shared" si="170"/>
        <v>0.07570823568</v>
      </c>
      <c r="N795" s="69" t="s">
        <v>34</v>
      </c>
      <c r="O795" s="67"/>
      <c r="P795" s="74"/>
      <c r="Q795" s="71">
        <f>VLOOKUP($F795,[2]装箱单!$A:$E,5,0)</f>
        <v>41.91</v>
      </c>
      <c r="R795" s="71">
        <f>VLOOKUP($F795,[2]装箱单!$A:$F,6,0)</f>
        <v>17.78</v>
      </c>
      <c r="S795" s="71">
        <f>VLOOKUP($F795,[2]装箱单!$A:$G,7,0)</f>
        <v>25.4</v>
      </c>
      <c r="T795" s="105">
        <f>VLOOKUP($F795,[2]装箱单!$A:$J,10,0)</f>
        <v>0.01892705892</v>
      </c>
      <c r="U795" s="71">
        <f t="shared" si="171"/>
        <v>0.07570823568</v>
      </c>
      <c r="V795" s="12"/>
    </row>
    <row r="796" s="1" customFormat="1" ht="29.1" customHeight="1" spans="1:22">
      <c r="A796" s="62">
        <v>46256</v>
      </c>
      <c r="B796" s="63" t="s">
        <v>2005</v>
      </c>
      <c r="C796" s="64" t="s">
        <v>2047</v>
      </c>
      <c r="D796" s="66"/>
      <c r="E796" s="67"/>
      <c r="F796" s="66">
        <v>267760</v>
      </c>
      <c r="G796" s="67" t="str">
        <f>VLOOKUP(F796,[2]装箱单!$A:$C,3,0)</f>
        <v>粉小鸭</v>
      </c>
      <c r="H796" s="67">
        <v>10</v>
      </c>
      <c r="I796" s="103">
        <f t="shared" si="176"/>
        <v>40</v>
      </c>
      <c r="J796" s="68" t="s">
        <v>32</v>
      </c>
      <c r="K796" s="68" t="s">
        <v>33</v>
      </c>
      <c r="L796" s="103">
        <v>2</v>
      </c>
      <c r="M796" s="104">
        <f t="shared" si="170"/>
        <v>0.03785411784</v>
      </c>
      <c r="N796" s="69" t="s">
        <v>34</v>
      </c>
      <c r="O796" s="67"/>
      <c r="P796" s="74"/>
      <c r="Q796" s="71">
        <f>VLOOKUP($F796,[2]装箱单!$A:$E,5,0)</f>
        <v>41.91</v>
      </c>
      <c r="R796" s="71">
        <f>VLOOKUP($F796,[2]装箱单!$A:$F,6,0)</f>
        <v>17.78</v>
      </c>
      <c r="S796" s="71">
        <f>VLOOKUP($F796,[2]装箱单!$A:$G,7,0)</f>
        <v>25.4</v>
      </c>
      <c r="T796" s="105">
        <f>VLOOKUP($F796,[2]装箱单!$A:$J,10,0)</f>
        <v>0.01892705892</v>
      </c>
      <c r="U796" s="71">
        <f t="shared" si="171"/>
        <v>0.03785411784</v>
      </c>
      <c r="V796" s="12"/>
    </row>
    <row r="797" s="1" customFormat="1" ht="29.1" customHeight="1" spans="1:22">
      <c r="A797" s="62"/>
      <c r="B797" s="63"/>
      <c r="C797" s="64"/>
      <c r="D797" s="66"/>
      <c r="E797" s="67"/>
      <c r="F797" s="66"/>
      <c r="G797" s="67"/>
      <c r="H797" s="67"/>
      <c r="I797" s="103"/>
      <c r="J797" s="68"/>
      <c r="K797" s="68"/>
      <c r="L797" s="103"/>
      <c r="M797" s="104">
        <f>SUM(M754:M796)</f>
        <v>153.546989189915</v>
      </c>
      <c r="N797" s="69"/>
      <c r="O797" s="67"/>
      <c r="P797" s="75"/>
      <c r="Q797" s="71"/>
      <c r="R797" s="71"/>
      <c r="S797" s="71"/>
      <c r="T797" s="105"/>
      <c r="U797" s="71"/>
      <c r="V797" s="12"/>
    </row>
    <row r="798" s="1" customFormat="1" ht="29.1" customHeight="1" spans="1:22">
      <c r="A798" s="62">
        <v>46256</v>
      </c>
      <c r="B798" s="63" t="s">
        <v>2080</v>
      </c>
      <c r="C798" s="64" t="s">
        <v>2081</v>
      </c>
      <c r="D798" s="66" t="s">
        <v>2082</v>
      </c>
      <c r="E798" s="67" t="s">
        <v>2083</v>
      </c>
      <c r="F798" s="66" t="s">
        <v>45</v>
      </c>
      <c r="G798" s="67" t="str">
        <f>VLOOKUP(F798,[2]装箱单!$A:$C,3,0)</f>
        <v>鸭子</v>
      </c>
      <c r="H798" s="67">
        <f>+I798/18</f>
        <v>167</v>
      </c>
      <c r="I798" s="103">
        <f>+L798*18</f>
        <v>3006</v>
      </c>
      <c r="J798" s="68" t="s">
        <v>32</v>
      </c>
      <c r="K798" s="68" t="s">
        <v>33</v>
      </c>
      <c r="L798" s="103">
        <v>167</v>
      </c>
      <c r="M798" s="104">
        <f t="shared" ref="M798:M802" si="177">+U798</f>
        <v>0.9674331054525</v>
      </c>
      <c r="N798" s="69" t="s">
        <v>34</v>
      </c>
      <c r="O798" s="67"/>
      <c r="P798" s="70" t="s">
        <v>2084</v>
      </c>
      <c r="Q798" s="71">
        <f>VLOOKUP($F798,[2]装箱单!$A:$E,5,0)</f>
        <v>32.385</v>
      </c>
      <c r="R798" s="71">
        <f>VLOOKUP($F798,[2]装箱单!$A:$F,6,0)</f>
        <v>18.78</v>
      </c>
      <c r="S798" s="71">
        <f>VLOOKUP($F798,[2]装箱单!$A:$G,7,0)</f>
        <v>9.525</v>
      </c>
      <c r="T798" s="105">
        <f>VLOOKUP($F798,[2]装箱单!$A:$J,10,0)</f>
        <v>0.0057930126075</v>
      </c>
      <c r="U798" s="71">
        <f t="shared" ref="U798:U802" si="178">+T798*L798</f>
        <v>0.9674331054525</v>
      </c>
      <c r="V798" s="12"/>
    </row>
    <row r="799" s="1" customFormat="1" ht="29.1" customHeight="1" spans="1:22">
      <c r="A799" s="62">
        <v>46256</v>
      </c>
      <c r="B799" s="63" t="s">
        <v>2080</v>
      </c>
      <c r="C799" s="64" t="s">
        <v>2081</v>
      </c>
      <c r="D799" s="66" t="s">
        <v>2082</v>
      </c>
      <c r="E799" s="67" t="s">
        <v>2083</v>
      </c>
      <c r="F799" s="66" t="s">
        <v>228</v>
      </c>
      <c r="G799" s="67" t="str">
        <f>VLOOKUP(F799,[2]装箱单!$A:$C,3,0)</f>
        <v>搪胶小鸭</v>
      </c>
      <c r="H799" s="67">
        <f>+I799/18</f>
        <v>306</v>
      </c>
      <c r="I799" s="103">
        <f>+L799*18</f>
        <v>5508</v>
      </c>
      <c r="J799" s="68" t="s">
        <v>32</v>
      </c>
      <c r="K799" s="68" t="s">
        <v>33</v>
      </c>
      <c r="L799" s="103">
        <v>306</v>
      </c>
      <c r="M799" s="104">
        <f t="shared" si="177"/>
        <v>1.94733045</v>
      </c>
      <c r="N799" s="69" t="s">
        <v>34</v>
      </c>
      <c r="O799" s="67"/>
      <c r="P799" s="74"/>
      <c r="Q799" s="71">
        <f>VLOOKUP($F799,[2]装箱单!$A:$E,5,0)</f>
        <v>32.5</v>
      </c>
      <c r="R799" s="71">
        <f>VLOOKUP($F799,[2]装箱单!$A:$F,6,0)</f>
        <v>18.3</v>
      </c>
      <c r="S799" s="71">
        <f>VLOOKUP($F799,[2]装箱单!$A:$G,7,0)</f>
        <v>10.7</v>
      </c>
      <c r="T799" s="105">
        <f>VLOOKUP($F799,[2]装箱单!$A:$J,10,0)</f>
        <v>0.006363825</v>
      </c>
      <c r="U799" s="71">
        <f t="shared" si="178"/>
        <v>1.94733045</v>
      </c>
      <c r="V799" s="12"/>
    </row>
    <row r="800" s="1" customFormat="1" ht="29.1" customHeight="1" spans="1:22">
      <c r="A800" s="62"/>
      <c r="B800" s="63"/>
      <c r="C800" s="64"/>
      <c r="D800" s="66"/>
      <c r="E800" s="67"/>
      <c r="F800" s="66"/>
      <c r="G800" s="67"/>
      <c r="H800" s="67"/>
      <c r="I800" s="103"/>
      <c r="J800" s="68"/>
      <c r="K800" s="68"/>
      <c r="L800" s="103"/>
      <c r="M800" s="104">
        <f>SUM(M798:M799)</f>
        <v>2.9147635554525</v>
      </c>
      <c r="N800" s="69"/>
      <c r="O800" s="67"/>
      <c r="P800" s="75"/>
      <c r="Q800" s="71"/>
      <c r="R800" s="71"/>
      <c r="S800" s="71"/>
      <c r="T800" s="105"/>
      <c r="U800" s="71"/>
      <c r="V800" s="12"/>
    </row>
    <row r="801" s="1" customFormat="1" ht="29.1" customHeight="1" spans="1:22">
      <c r="A801" s="62">
        <v>46258</v>
      </c>
      <c r="B801" s="63" t="s">
        <v>177</v>
      </c>
      <c r="C801" s="64" t="s">
        <v>1921</v>
      </c>
      <c r="D801" s="66" t="s">
        <v>1922</v>
      </c>
      <c r="E801" s="66">
        <v>2551020325</v>
      </c>
      <c r="F801" s="66">
        <v>33410</v>
      </c>
      <c r="G801" s="67" t="str">
        <f>VLOOKUP(F801,[2]装箱单!$A:$C,3,0)</f>
        <v>搪胶小鸭</v>
      </c>
      <c r="H801" s="67">
        <v>1600</v>
      </c>
      <c r="I801" s="103">
        <f t="shared" ref="I801:I806" si="179">+L801*400</f>
        <v>138000</v>
      </c>
      <c r="J801" s="68" t="s">
        <v>32</v>
      </c>
      <c r="K801" s="68" t="s">
        <v>33</v>
      </c>
      <c r="L801" s="103">
        <v>345</v>
      </c>
      <c r="M801" s="104">
        <f t="shared" si="177"/>
        <v>107.757097416</v>
      </c>
      <c r="N801" s="69" t="s">
        <v>34</v>
      </c>
      <c r="O801" s="67"/>
      <c r="P801" s="70" t="s">
        <v>2085</v>
      </c>
      <c r="Q801" s="71">
        <f>VLOOKUP($F801,[2]装箱单!$A:$E,5,0)</f>
        <v>52.83</v>
      </c>
      <c r="R801" s="71">
        <f>VLOOKUP($F801,[2]装箱单!$A:$F,6,0)</f>
        <v>52.32</v>
      </c>
      <c r="S801" s="71">
        <f>VLOOKUP($F801,[2]装箱单!$A:$G,7,0)</f>
        <v>113</v>
      </c>
      <c r="T801" s="105">
        <f>VLOOKUP($F801,[2]装箱单!$A:$J,10,0)</f>
        <v>0.3123394128</v>
      </c>
      <c r="U801" s="71">
        <f t="shared" si="178"/>
        <v>107.757097416</v>
      </c>
      <c r="V801" s="12"/>
    </row>
    <row r="802" s="1" customFormat="1" ht="29.1" customHeight="1" spans="1:22">
      <c r="A802" s="62">
        <v>46258</v>
      </c>
      <c r="B802" s="63" t="s">
        <v>40</v>
      </c>
      <c r="C802" s="64" t="s">
        <v>2086</v>
      </c>
      <c r="D802" s="66" t="s">
        <v>2087</v>
      </c>
      <c r="E802" s="140" t="s">
        <v>2088</v>
      </c>
      <c r="F802" s="66">
        <v>28483</v>
      </c>
      <c r="G802" s="67" t="str">
        <f>VLOOKUP(F802,[2]装箱单!$A:$C,3,0)</f>
        <v>振动球</v>
      </c>
      <c r="H802" s="67">
        <f>+I802</f>
        <v>2340</v>
      </c>
      <c r="I802" s="103">
        <f>+L802</f>
        <v>2340</v>
      </c>
      <c r="J802" s="68" t="s">
        <v>32</v>
      </c>
      <c r="K802" s="68" t="s">
        <v>33</v>
      </c>
      <c r="L802" s="103">
        <v>2340</v>
      </c>
      <c r="M802" s="104">
        <f t="shared" si="177"/>
        <v>13.5080946</v>
      </c>
      <c r="N802" s="69" t="s">
        <v>34</v>
      </c>
      <c r="O802" s="67" t="s">
        <v>2089</v>
      </c>
      <c r="P802" s="74"/>
      <c r="Q802" s="71">
        <f>VLOOKUP($F802,[2]装箱单!$A:$E,5,0)</f>
        <v>16.83</v>
      </c>
      <c r="R802" s="71">
        <f>VLOOKUP($F802,[2]装箱单!$A:$F,6,0)</f>
        <v>17.15</v>
      </c>
      <c r="S802" s="71">
        <f>VLOOKUP($F802,[2]装箱单!$A:$G,7,0)</f>
        <v>20</v>
      </c>
      <c r="T802" s="105">
        <f>VLOOKUP($F802,[2]装箱单!$A:$J,10,0)</f>
        <v>0.00577269</v>
      </c>
      <c r="U802" s="71">
        <f t="shared" si="178"/>
        <v>13.5080946</v>
      </c>
      <c r="V802" s="12"/>
    </row>
    <row r="803" s="1" customFormat="1" ht="29.1" customHeight="1" spans="1:22">
      <c r="A803" s="62"/>
      <c r="B803" s="63"/>
      <c r="C803" s="64"/>
      <c r="D803" s="66"/>
      <c r="E803" s="66"/>
      <c r="F803" s="66"/>
      <c r="G803" s="67"/>
      <c r="H803" s="67"/>
      <c r="I803" s="103"/>
      <c r="J803" s="68"/>
      <c r="K803" s="68"/>
      <c r="L803" s="103"/>
      <c r="M803" s="104">
        <f>SUM(M801:M802)</f>
        <v>121.265192016</v>
      </c>
      <c r="N803" s="69"/>
      <c r="O803" s="67"/>
      <c r="P803" s="75"/>
      <c r="Q803" s="71"/>
      <c r="R803" s="71"/>
      <c r="S803" s="71"/>
      <c r="T803" s="105"/>
      <c r="U803" s="71"/>
      <c r="V803" s="12"/>
    </row>
    <row r="804" s="1" customFormat="1" ht="29" customHeight="1" spans="1:22">
      <c r="A804" s="62">
        <v>46258</v>
      </c>
      <c r="B804" s="63" t="s">
        <v>177</v>
      </c>
      <c r="C804" s="64" t="s">
        <v>1921</v>
      </c>
      <c r="D804" s="66" t="s">
        <v>1922</v>
      </c>
      <c r="E804" s="66">
        <v>2551020325</v>
      </c>
      <c r="F804" s="66">
        <v>33410</v>
      </c>
      <c r="G804" s="67" t="str">
        <f>VLOOKUP(F804,[2]装箱单!$A:$C,3,0)</f>
        <v>搪胶小鸭</v>
      </c>
      <c r="H804" s="67">
        <v>1600</v>
      </c>
      <c r="I804" s="103">
        <f t="shared" si="179"/>
        <v>164400</v>
      </c>
      <c r="J804" s="68" t="s">
        <v>32</v>
      </c>
      <c r="K804" s="68" t="s">
        <v>33</v>
      </c>
      <c r="L804" s="103">
        <v>411</v>
      </c>
      <c r="M804" s="104">
        <f t="shared" ref="M804:M807" si="180">+U804</f>
        <v>128.3714986608</v>
      </c>
      <c r="N804" s="69" t="s">
        <v>34</v>
      </c>
      <c r="O804" s="67"/>
      <c r="P804" s="70" t="s">
        <v>2090</v>
      </c>
      <c r="Q804" s="71">
        <f>VLOOKUP($F804,[2]装箱单!$A:$E,5,0)</f>
        <v>52.83</v>
      </c>
      <c r="R804" s="71">
        <f>VLOOKUP($F804,[2]装箱单!$A:$F,6,0)</f>
        <v>52.32</v>
      </c>
      <c r="S804" s="71">
        <f>VLOOKUP($F804,[2]装箱单!$A:$G,7,0)</f>
        <v>113</v>
      </c>
      <c r="T804" s="105">
        <f>VLOOKUP($F804,[2]装箱单!$A:$J,10,0)</f>
        <v>0.3123394128</v>
      </c>
      <c r="U804" s="71">
        <f t="shared" ref="U804:U807" si="181">+T804*L804</f>
        <v>128.3714986608</v>
      </c>
      <c r="V804" s="12"/>
    </row>
    <row r="805" s="1" customFormat="1" ht="29.1" customHeight="1" spans="1:22">
      <c r="A805" s="62"/>
      <c r="B805" s="63"/>
      <c r="C805" s="64"/>
      <c r="D805" s="66"/>
      <c r="E805" s="66"/>
      <c r="F805" s="66"/>
      <c r="G805" s="67"/>
      <c r="H805" s="67"/>
      <c r="I805" s="103"/>
      <c r="J805" s="68"/>
      <c r="K805" s="68"/>
      <c r="L805" s="103"/>
      <c r="M805" s="104">
        <f>+M804</f>
        <v>128.3714986608</v>
      </c>
      <c r="N805" s="69"/>
      <c r="O805" s="67"/>
      <c r="P805" s="75"/>
      <c r="Q805" s="71"/>
      <c r="R805" s="71"/>
      <c r="S805" s="71"/>
      <c r="T805" s="105"/>
      <c r="U805" s="71"/>
      <c r="V805" s="12"/>
    </row>
    <row r="806" s="1" customFormat="1" ht="29.1" customHeight="1" spans="1:22">
      <c r="A806" s="62">
        <v>46259</v>
      </c>
      <c r="B806" s="63" t="s">
        <v>177</v>
      </c>
      <c r="C806" s="64" t="s">
        <v>1921</v>
      </c>
      <c r="D806" s="66" t="s">
        <v>1922</v>
      </c>
      <c r="E806" s="66">
        <v>2551020325</v>
      </c>
      <c r="F806" s="66">
        <v>33410</v>
      </c>
      <c r="G806" s="67" t="str">
        <f>VLOOKUP(F806,[2]装箱单!$A:$C,3,0)</f>
        <v>搪胶小鸭</v>
      </c>
      <c r="H806" s="67">
        <v>1600</v>
      </c>
      <c r="I806" s="103">
        <f t="shared" si="179"/>
        <v>124000</v>
      </c>
      <c r="J806" s="68" t="s">
        <v>32</v>
      </c>
      <c r="K806" s="68" t="s">
        <v>33</v>
      </c>
      <c r="L806" s="103">
        <v>310</v>
      </c>
      <c r="M806" s="104">
        <f t="shared" si="180"/>
        <v>96.825217968</v>
      </c>
      <c r="N806" s="69" t="s">
        <v>34</v>
      </c>
      <c r="O806" s="67"/>
      <c r="P806" s="70" t="s">
        <v>2091</v>
      </c>
      <c r="Q806" s="71">
        <f>VLOOKUP($F806,[2]装箱单!$A:$E,5,0)</f>
        <v>52.83</v>
      </c>
      <c r="R806" s="71">
        <f>VLOOKUP($F806,[2]装箱单!$A:$F,6,0)</f>
        <v>52.32</v>
      </c>
      <c r="S806" s="71">
        <f>VLOOKUP($F806,[2]装箱单!$A:$G,7,0)</f>
        <v>113</v>
      </c>
      <c r="T806" s="105">
        <f>VLOOKUP($F806,[2]装箱单!$A:$J,10,0)</f>
        <v>0.3123394128</v>
      </c>
      <c r="U806" s="71">
        <f t="shared" si="181"/>
        <v>96.825217968</v>
      </c>
      <c r="V806" s="12"/>
    </row>
    <row r="807" s="1" customFormat="1" ht="29.1" customHeight="1" spans="1:22">
      <c r="A807" s="62">
        <v>46259</v>
      </c>
      <c r="B807" s="63" t="s">
        <v>890</v>
      </c>
      <c r="C807" s="64" t="s">
        <v>2092</v>
      </c>
      <c r="D807" s="66" t="s">
        <v>2093</v>
      </c>
      <c r="E807" s="67">
        <v>4400565297</v>
      </c>
      <c r="F807" s="66">
        <v>46496</v>
      </c>
      <c r="G807" s="67" t="str">
        <f>VLOOKUP(F807,[2]装箱单!$A:$C,3,0)</f>
        <v>米妮系列</v>
      </c>
      <c r="H807" s="67">
        <v>1502</v>
      </c>
      <c r="I807" s="103">
        <f>+L807*2</f>
        <v>3004</v>
      </c>
      <c r="J807" s="68" t="s">
        <v>32</v>
      </c>
      <c r="K807" s="68" t="s">
        <v>33</v>
      </c>
      <c r="L807" s="103">
        <v>1502</v>
      </c>
      <c r="M807" s="104">
        <f t="shared" si="180"/>
        <v>33.593308484064</v>
      </c>
      <c r="N807" s="69" t="s">
        <v>34</v>
      </c>
      <c r="O807" s="67"/>
      <c r="P807" s="74"/>
      <c r="Q807" s="71">
        <f>VLOOKUP($F807,[2]装箱单!$A:$E,5,0)</f>
        <v>40.01</v>
      </c>
      <c r="R807" s="71">
        <f>VLOOKUP($F807,[2]装箱单!$A:$F,6,0)</f>
        <v>26.67</v>
      </c>
      <c r="S807" s="71">
        <f>VLOOKUP($F807,[2]装箱单!$A:$G,7,0)</f>
        <v>20.96</v>
      </c>
      <c r="T807" s="105">
        <f>VLOOKUP($F807,[2]装箱单!$A:$J,10,0)</f>
        <v>0.022365718032</v>
      </c>
      <c r="U807" s="71">
        <f t="shared" si="181"/>
        <v>33.593308484064</v>
      </c>
      <c r="V807" s="12"/>
    </row>
    <row r="808" s="1" customFormat="1" ht="29.1" customHeight="1" spans="1:22">
      <c r="A808" s="62"/>
      <c r="B808" s="63"/>
      <c r="C808" s="64"/>
      <c r="D808" s="66"/>
      <c r="E808" s="66"/>
      <c r="F808" s="66"/>
      <c r="G808" s="67"/>
      <c r="H808" s="67"/>
      <c r="I808" s="103"/>
      <c r="J808" s="68"/>
      <c r="K808" s="68"/>
      <c r="L808" s="103"/>
      <c r="M808" s="104">
        <f>SUM(M806:M807)</f>
        <v>130.418526452064</v>
      </c>
      <c r="N808" s="69"/>
      <c r="O808" s="67"/>
      <c r="P808" s="75"/>
      <c r="Q808" s="71"/>
      <c r="R808" s="71"/>
      <c r="S808" s="71"/>
      <c r="T808" s="105"/>
      <c r="U808" s="71"/>
      <c r="V808" s="12"/>
    </row>
    <row r="809" s="1" customFormat="1" ht="29.1" customHeight="1" spans="1:22">
      <c r="A809" s="62">
        <v>46259</v>
      </c>
      <c r="B809" s="63" t="s">
        <v>177</v>
      </c>
      <c r="C809" s="64" t="s">
        <v>1921</v>
      </c>
      <c r="D809" s="66" t="s">
        <v>1922</v>
      </c>
      <c r="E809" s="66">
        <v>2551020325</v>
      </c>
      <c r="F809" s="66">
        <v>33410</v>
      </c>
      <c r="G809" s="67" t="str">
        <f>VLOOKUP(F809,[2]装箱单!$A:$C,3,0)</f>
        <v>搪胶小鸭</v>
      </c>
      <c r="H809" s="67">
        <v>1600</v>
      </c>
      <c r="I809" s="103">
        <f>+L809*400</f>
        <v>76400</v>
      </c>
      <c r="J809" s="68" t="s">
        <v>32</v>
      </c>
      <c r="K809" s="68" t="s">
        <v>33</v>
      </c>
      <c r="L809" s="103">
        <v>191</v>
      </c>
      <c r="M809" s="104">
        <f t="shared" ref="M809:M818" si="182">+U809</f>
        <v>59.6568278448</v>
      </c>
      <c r="N809" s="69" t="s">
        <v>34</v>
      </c>
      <c r="O809" s="67" t="s">
        <v>2068</v>
      </c>
      <c r="P809" s="70" t="s">
        <v>1903</v>
      </c>
      <c r="Q809" s="71">
        <f>VLOOKUP($F809,[2]装箱单!$A:$E,5,0)</f>
        <v>52.83</v>
      </c>
      <c r="R809" s="71">
        <f>VLOOKUP($F809,[2]装箱单!$A:$F,6,0)</f>
        <v>52.32</v>
      </c>
      <c r="S809" s="71">
        <f>VLOOKUP($F809,[2]装箱单!$A:$G,7,0)</f>
        <v>113</v>
      </c>
      <c r="T809" s="105">
        <f>VLOOKUP($F809,[2]装箱单!$A:$J,10,0)</f>
        <v>0.3123394128</v>
      </c>
      <c r="U809" s="71">
        <f t="shared" ref="U809:U818" si="183">+T809*L809</f>
        <v>59.6568278448</v>
      </c>
      <c r="V809" s="12"/>
    </row>
    <row r="810" s="1" customFormat="1" ht="29.1" customHeight="1" spans="1:22">
      <c r="A810" s="62">
        <v>46259</v>
      </c>
      <c r="B810" s="63" t="s">
        <v>40</v>
      </c>
      <c r="C810" s="64" t="s">
        <v>2094</v>
      </c>
      <c r="D810" s="66" t="s">
        <v>2095</v>
      </c>
      <c r="E810" s="67" t="s">
        <v>2096</v>
      </c>
      <c r="F810" s="66" t="s">
        <v>179</v>
      </c>
      <c r="G810" s="67" t="str">
        <f>VLOOKUP(F810,[2]装箱单!$A:$C,3,0)</f>
        <v>搪胶小鸭</v>
      </c>
      <c r="H810" s="67">
        <f>+I810/24</f>
        <v>540</v>
      </c>
      <c r="I810" s="103">
        <f t="shared" ref="I810:I818" si="184">+L810*24</f>
        <v>12960</v>
      </c>
      <c r="J810" s="68" t="s">
        <v>32</v>
      </c>
      <c r="K810" s="68" t="s">
        <v>33</v>
      </c>
      <c r="L810" s="103">
        <v>540</v>
      </c>
      <c r="M810" s="104">
        <f t="shared" si="182"/>
        <v>7.18146</v>
      </c>
      <c r="N810" s="69" t="s">
        <v>34</v>
      </c>
      <c r="O810" s="67" t="s">
        <v>2068</v>
      </c>
      <c r="P810" s="74"/>
      <c r="Q810" s="71">
        <f>VLOOKUP($F810,[2]装箱单!$A:$E,5,0)</f>
        <v>31</v>
      </c>
      <c r="R810" s="71">
        <f>VLOOKUP($F810,[2]装箱单!$A:$F,6,0)</f>
        <v>22</v>
      </c>
      <c r="S810" s="71">
        <f>VLOOKUP($F810,[2]装箱单!$A:$G,7,0)</f>
        <v>19.5</v>
      </c>
      <c r="T810" s="105">
        <f>VLOOKUP($F810,[2]装箱单!$A:$J,10,0)</f>
        <v>0.013299</v>
      </c>
      <c r="U810" s="71">
        <f t="shared" si="183"/>
        <v>7.18146</v>
      </c>
      <c r="V810" s="12"/>
    </row>
    <row r="811" s="1" customFormat="1" ht="29.1" customHeight="1" spans="1:22">
      <c r="A811" s="62">
        <v>46259</v>
      </c>
      <c r="B811" s="63" t="s">
        <v>40</v>
      </c>
      <c r="C811" s="64" t="s">
        <v>2097</v>
      </c>
      <c r="D811" s="66" t="s">
        <v>2098</v>
      </c>
      <c r="E811" s="67" t="s">
        <v>2099</v>
      </c>
      <c r="F811" s="66" t="s">
        <v>179</v>
      </c>
      <c r="G811" s="67" t="str">
        <f>VLOOKUP(F811,[2]装箱单!$A:$C,3,0)</f>
        <v>搪胶小鸭</v>
      </c>
      <c r="H811" s="67">
        <v>540</v>
      </c>
      <c r="I811" s="103">
        <f t="shared" si="184"/>
        <v>12960</v>
      </c>
      <c r="J811" s="68" t="s">
        <v>32</v>
      </c>
      <c r="K811" s="68" t="s">
        <v>33</v>
      </c>
      <c r="L811" s="103">
        <v>540</v>
      </c>
      <c r="M811" s="104">
        <f t="shared" si="182"/>
        <v>7.18146</v>
      </c>
      <c r="N811" s="69" t="s">
        <v>57</v>
      </c>
      <c r="O811" s="67" t="s">
        <v>2068</v>
      </c>
      <c r="P811" s="74"/>
      <c r="Q811" s="71">
        <f>VLOOKUP($F811,[2]装箱单!$A:$E,5,0)</f>
        <v>31</v>
      </c>
      <c r="R811" s="71">
        <f>VLOOKUP($F811,[2]装箱单!$A:$F,6,0)</f>
        <v>22</v>
      </c>
      <c r="S811" s="71">
        <f>VLOOKUP($F811,[2]装箱单!$A:$G,7,0)</f>
        <v>19.5</v>
      </c>
      <c r="T811" s="105">
        <f>VLOOKUP($F811,[2]装箱单!$A:$J,10,0)</f>
        <v>0.013299</v>
      </c>
      <c r="U811" s="71">
        <f t="shared" si="183"/>
        <v>7.18146</v>
      </c>
      <c r="V811" s="12"/>
    </row>
    <row r="812" s="1" customFormat="1" ht="29.1" customHeight="1" spans="1:22">
      <c r="A812" s="62">
        <v>46259</v>
      </c>
      <c r="B812" s="63" t="s">
        <v>40</v>
      </c>
      <c r="C812" s="64" t="s">
        <v>2100</v>
      </c>
      <c r="D812" s="66" t="s">
        <v>2101</v>
      </c>
      <c r="E812" s="67" t="s">
        <v>2102</v>
      </c>
      <c r="F812" s="66" t="s">
        <v>179</v>
      </c>
      <c r="G812" s="67" t="str">
        <f>VLOOKUP(F812,[2]装箱单!$A:$C,3,0)</f>
        <v>搪胶小鸭</v>
      </c>
      <c r="H812" s="67">
        <v>360</v>
      </c>
      <c r="I812" s="103">
        <f t="shared" si="184"/>
        <v>8640</v>
      </c>
      <c r="J812" s="68" t="s">
        <v>32</v>
      </c>
      <c r="K812" s="68" t="s">
        <v>33</v>
      </c>
      <c r="L812" s="103">
        <v>360</v>
      </c>
      <c r="M812" s="104">
        <f t="shared" si="182"/>
        <v>4.78764</v>
      </c>
      <c r="N812" s="69" t="s">
        <v>57</v>
      </c>
      <c r="O812" s="67" t="s">
        <v>2068</v>
      </c>
      <c r="P812" s="74"/>
      <c r="Q812" s="71">
        <f>VLOOKUP($F812,[2]装箱单!$A:$E,5,0)</f>
        <v>31</v>
      </c>
      <c r="R812" s="71">
        <f>VLOOKUP($F812,[2]装箱单!$A:$F,6,0)</f>
        <v>22</v>
      </c>
      <c r="S812" s="71">
        <f>VLOOKUP($F812,[2]装箱单!$A:$G,7,0)</f>
        <v>19.5</v>
      </c>
      <c r="T812" s="105">
        <f>VLOOKUP($F812,[2]装箱单!$A:$J,10,0)</f>
        <v>0.013299</v>
      </c>
      <c r="U812" s="71">
        <f t="shared" si="183"/>
        <v>4.78764</v>
      </c>
      <c r="V812" s="12"/>
    </row>
    <row r="813" s="1" customFormat="1" ht="29.1" customHeight="1" spans="1:22">
      <c r="A813" s="62">
        <v>46259</v>
      </c>
      <c r="B813" s="63" t="s">
        <v>40</v>
      </c>
      <c r="C813" s="64" t="s">
        <v>2103</v>
      </c>
      <c r="D813" s="66" t="s">
        <v>2104</v>
      </c>
      <c r="E813" s="67" t="s">
        <v>2105</v>
      </c>
      <c r="F813" s="66" t="s">
        <v>179</v>
      </c>
      <c r="G813" s="67" t="str">
        <f>VLOOKUP(F813,[2]装箱单!$A:$C,3,0)</f>
        <v>搪胶小鸭</v>
      </c>
      <c r="H813" s="67">
        <v>360</v>
      </c>
      <c r="I813" s="103">
        <f t="shared" si="184"/>
        <v>8640</v>
      </c>
      <c r="J813" s="68" t="s">
        <v>32</v>
      </c>
      <c r="K813" s="68" t="s">
        <v>33</v>
      </c>
      <c r="L813" s="103">
        <v>360</v>
      </c>
      <c r="M813" s="104">
        <f t="shared" si="182"/>
        <v>4.78764</v>
      </c>
      <c r="N813" s="69" t="s">
        <v>57</v>
      </c>
      <c r="O813" s="67" t="s">
        <v>2068</v>
      </c>
      <c r="P813" s="74"/>
      <c r="Q813" s="71">
        <f>VLOOKUP($F813,[2]装箱单!$A:$E,5,0)</f>
        <v>31</v>
      </c>
      <c r="R813" s="71">
        <f>VLOOKUP($F813,[2]装箱单!$A:$F,6,0)</f>
        <v>22</v>
      </c>
      <c r="S813" s="71">
        <f>VLOOKUP($F813,[2]装箱单!$A:$G,7,0)</f>
        <v>19.5</v>
      </c>
      <c r="T813" s="105">
        <f>VLOOKUP($F813,[2]装箱单!$A:$J,10,0)</f>
        <v>0.013299</v>
      </c>
      <c r="U813" s="71">
        <f t="shared" si="183"/>
        <v>4.78764</v>
      </c>
      <c r="V813" s="12"/>
    </row>
    <row r="814" s="1" customFormat="1" ht="29.1" customHeight="1" spans="1:22">
      <c r="A814" s="62">
        <v>46259</v>
      </c>
      <c r="B814" s="63" t="s">
        <v>40</v>
      </c>
      <c r="C814" s="64" t="s">
        <v>2106</v>
      </c>
      <c r="D814" s="66" t="s">
        <v>2107</v>
      </c>
      <c r="E814" s="67" t="s">
        <v>2108</v>
      </c>
      <c r="F814" s="66" t="s">
        <v>179</v>
      </c>
      <c r="G814" s="67" t="str">
        <f>VLOOKUP(F814,[2]装箱单!$A:$C,3,0)</f>
        <v>搪胶小鸭</v>
      </c>
      <c r="H814" s="67">
        <v>720</v>
      </c>
      <c r="I814" s="103">
        <f t="shared" si="184"/>
        <v>17280</v>
      </c>
      <c r="J814" s="68" t="s">
        <v>32</v>
      </c>
      <c r="K814" s="68" t="s">
        <v>33</v>
      </c>
      <c r="L814" s="103">
        <v>720</v>
      </c>
      <c r="M814" s="104">
        <f t="shared" si="182"/>
        <v>9.57528</v>
      </c>
      <c r="N814" s="69" t="s">
        <v>57</v>
      </c>
      <c r="O814" s="67" t="s">
        <v>2068</v>
      </c>
      <c r="P814" s="74"/>
      <c r="Q814" s="71">
        <f>VLOOKUP($F814,[2]装箱单!$A:$E,5,0)</f>
        <v>31</v>
      </c>
      <c r="R814" s="71">
        <f>VLOOKUP($F814,[2]装箱单!$A:$F,6,0)</f>
        <v>22</v>
      </c>
      <c r="S814" s="71">
        <f>VLOOKUP($F814,[2]装箱单!$A:$G,7,0)</f>
        <v>19.5</v>
      </c>
      <c r="T814" s="105">
        <f>VLOOKUP($F814,[2]装箱单!$A:$J,10,0)</f>
        <v>0.013299</v>
      </c>
      <c r="U814" s="71">
        <f t="shared" si="183"/>
        <v>9.57528</v>
      </c>
      <c r="V814" s="12"/>
    </row>
    <row r="815" s="1" customFormat="1" ht="29.1" customHeight="1" spans="1:22">
      <c r="A815" s="62">
        <v>46259</v>
      </c>
      <c r="B815" s="63" t="s">
        <v>40</v>
      </c>
      <c r="C815" s="64" t="s">
        <v>2109</v>
      </c>
      <c r="D815" s="66" t="s">
        <v>2110</v>
      </c>
      <c r="E815" s="67" t="s">
        <v>2111</v>
      </c>
      <c r="F815" s="66" t="s">
        <v>179</v>
      </c>
      <c r="G815" s="67" t="str">
        <f>VLOOKUP(F815,[2]装箱单!$A:$C,3,0)</f>
        <v>搪胶小鸭</v>
      </c>
      <c r="H815" s="67">
        <v>360</v>
      </c>
      <c r="I815" s="103">
        <f t="shared" si="184"/>
        <v>8640</v>
      </c>
      <c r="J815" s="68" t="s">
        <v>32</v>
      </c>
      <c r="K815" s="68" t="s">
        <v>33</v>
      </c>
      <c r="L815" s="103">
        <v>360</v>
      </c>
      <c r="M815" s="104">
        <f t="shared" si="182"/>
        <v>4.78764</v>
      </c>
      <c r="N815" s="69" t="s">
        <v>57</v>
      </c>
      <c r="O815" s="67" t="s">
        <v>2068</v>
      </c>
      <c r="P815" s="74"/>
      <c r="Q815" s="71">
        <f>VLOOKUP($F815,[2]装箱单!$A:$E,5,0)</f>
        <v>31</v>
      </c>
      <c r="R815" s="71">
        <f>VLOOKUP($F815,[2]装箱单!$A:$F,6,0)</f>
        <v>22</v>
      </c>
      <c r="S815" s="71">
        <f>VLOOKUP($F815,[2]装箱单!$A:$G,7,0)</f>
        <v>19.5</v>
      </c>
      <c r="T815" s="105">
        <f>VLOOKUP($F815,[2]装箱单!$A:$J,10,0)</f>
        <v>0.013299</v>
      </c>
      <c r="U815" s="71">
        <f t="shared" si="183"/>
        <v>4.78764</v>
      </c>
      <c r="V815" s="12"/>
    </row>
    <row r="816" s="1" customFormat="1" ht="29.1" customHeight="1" spans="1:22">
      <c r="A816" s="62">
        <v>46259</v>
      </c>
      <c r="B816" s="63" t="s">
        <v>40</v>
      </c>
      <c r="C816" s="64" t="s">
        <v>2112</v>
      </c>
      <c r="D816" s="66" t="s">
        <v>2113</v>
      </c>
      <c r="E816" s="67" t="s">
        <v>2114</v>
      </c>
      <c r="F816" s="66" t="s">
        <v>179</v>
      </c>
      <c r="G816" s="67" t="str">
        <f>VLOOKUP(F816,[2]装箱单!$A:$C,3,0)</f>
        <v>搪胶小鸭</v>
      </c>
      <c r="H816" s="67">
        <v>540</v>
      </c>
      <c r="I816" s="103">
        <f t="shared" si="184"/>
        <v>12960</v>
      </c>
      <c r="J816" s="68" t="s">
        <v>32</v>
      </c>
      <c r="K816" s="68" t="s">
        <v>33</v>
      </c>
      <c r="L816" s="103">
        <v>540</v>
      </c>
      <c r="M816" s="104">
        <f t="shared" si="182"/>
        <v>7.18146</v>
      </c>
      <c r="N816" s="69" t="s">
        <v>57</v>
      </c>
      <c r="O816" s="67" t="s">
        <v>2068</v>
      </c>
      <c r="P816" s="74"/>
      <c r="Q816" s="71">
        <f>VLOOKUP($F816,[2]装箱单!$A:$E,5,0)</f>
        <v>31</v>
      </c>
      <c r="R816" s="71">
        <f>VLOOKUP($F816,[2]装箱单!$A:$F,6,0)</f>
        <v>22</v>
      </c>
      <c r="S816" s="71">
        <f>VLOOKUP($F816,[2]装箱单!$A:$G,7,0)</f>
        <v>19.5</v>
      </c>
      <c r="T816" s="105">
        <f>VLOOKUP($F816,[2]装箱单!$A:$J,10,0)</f>
        <v>0.013299</v>
      </c>
      <c r="U816" s="71">
        <f t="shared" si="183"/>
        <v>7.18146</v>
      </c>
      <c r="V816" s="12"/>
    </row>
    <row r="817" s="1" customFormat="1" ht="29.1" customHeight="1" spans="1:22">
      <c r="A817" s="62">
        <v>46259</v>
      </c>
      <c r="B817" s="63" t="s">
        <v>40</v>
      </c>
      <c r="C817" s="64" t="s">
        <v>2115</v>
      </c>
      <c r="D817" s="66" t="s">
        <v>2116</v>
      </c>
      <c r="E817" s="67" t="s">
        <v>2117</v>
      </c>
      <c r="F817" s="66" t="s">
        <v>179</v>
      </c>
      <c r="G817" s="67" t="str">
        <f>VLOOKUP(F817,[2]装箱单!$A:$C,3,0)</f>
        <v>搪胶小鸭</v>
      </c>
      <c r="H817" s="67">
        <v>540</v>
      </c>
      <c r="I817" s="103">
        <f t="shared" si="184"/>
        <v>12960</v>
      </c>
      <c r="J817" s="68" t="s">
        <v>32</v>
      </c>
      <c r="K817" s="68" t="s">
        <v>33</v>
      </c>
      <c r="L817" s="103">
        <v>540</v>
      </c>
      <c r="M817" s="104">
        <f t="shared" si="182"/>
        <v>7.18146</v>
      </c>
      <c r="N817" s="69" t="s">
        <v>57</v>
      </c>
      <c r="O817" s="67" t="s">
        <v>2068</v>
      </c>
      <c r="P817" s="74"/>
      <c r="Q817" s="71">
        <f>VLOOKUP($F817,[2]装箱单!$A:$E,5,0)</f>
        <v>31</v>
      </c>
      <c r="R817" s="71">
        <f>VLOOKUP($F817,[2]装箱单!$A:$F,6,0)</f>
        <v>22</v>
      </c>
      <c r="S817" s="71">
        <f>VLOOKUP($F817,[2]装箱单!$A:$G,7,0)</f>
        <v>19.5</v>
      </c>
      <c r="T817" s="105">
        <f>VLOOKUP($F817,[2]装箱单!$A:$J,10,0)</f>
        <v>0.013299</v>
      </c>
      <c r="U817" s="71">
        <f t="shared" si="183"/>
        <v>7.18146</v>
      </c>
      <c r="V817" s="12"/>
    </row>
    <row r="818" s="1" customFormat="1" ht="29.1" customHeight="1" spans="1:22">
      <c r="A818" s="62">
        <v>46259</v>
      </c>
      <c r="B818" s="63" t="s">
        <v>40</v>
      </c>
      <c r="C818" s="64" t="s">
        <v>2118</v>
      </c>
      <c r="D818" s="66" t="s">
        <v>2119</v>
      </c>
      <c r="E818" s="67" t="s">
        <v>2120</v>
      </c>
      <c r="F818" s="66" t="s">
        <v>179</v>
      </c>
      <c r="G818" s="67" t="str">
        <f>VLOOKUP(F818,[2]装箱单!$A:$C,3,0)</f>
        <v>搪胶小鸭</v>
      </c>
      <c r="H818" s="67">
        <v>720</v>
      </c>
      <c r="I818" s="103">
        <f t="shared" si="184"/>
        <v>17280</v>
      </c>
      <c r="J818" s="68" t="s">
        <v>32</v>
      </c>
      <c r="K818" s="68" t="s">
        <v>33</v>
      </c>
      <c r="L818" s="103">
        <v>720</v>
      </c>
      <c r="M818" s="104">
        <f t="shared" si="182"/>
        <v>9.57528</v>
      </c>
      <c r="N818" s="69" t="s">
        <v>57</v>
      </c>
      <c r="O818" s="67" t="s">
        <v>2068</v>
      </c>
      <c r="P818" s="74"/>
      <c r="Q818" s="71">
        <f>VLOOKUP($F818,[2]装箱单!$A:$E,5,0)</f>
        <v>31</v>
      </c>
      <c r="R818" s="71">
        <f>VLOOKUP($F818,[2]装箱单!$A:$F,6,0)</f>
        <v>22</v>
      </c>
      <c r="S818" s="71">
        <f>VLOOKUP($F818,[2]装箱单!$A:$G,7,0)</f>
        <v>19.5</v>
      </c>
      <c r="T818" s="105">
        <f>VLOOKUP($F818,[2]装箱单!$A:$J,10,0)</f>
        <v>0.013299</v>
      </c>
      <c r="U818" s="71">
        <f t="shared" si="183"/>
        <v>9.57528</v>
      </c>
      <c r="V818" s="12"/>
    </row>
    <row r="819" s="1" customFormat="1" ht="29.1" customHeight="1" spans="1:22">
      <c r="A819" s="62"/>
      <c r="B819" s="63"/>
      <c r="C819" s="64"/>
      <c r="D819" s="66"/>
      <c r="E819" s="67"/>
      <c r="F819" s="66"/>
      <c r="G819" s="67"/>
      <c r="H819" s="67"/>
      <c r="I819" s="103"/>
      <c r="J819" s="68"/>
      <c r="K819" s="68"/>
      <c r="L819" s="103"/>
      <c r="M819" s="104">
        <f>SUM(M809:M818)</f>
        <v>121.8961478448</v>
      </c>
      <c r="N819" s="69"/>
      <c r="O819" s="67"/>
      <c r="P819" s="75"/>
      <c r="Q819" s="71"/>
      <c r="R819" s="71"/>
      <c r="S819" s="71"/>
      <c r="T819" s="105"/>
      <c r="U819" s="71"/>
      <c r="V819" s="12"/>
    </row>
    <row r="820" s="1" customFormat="1" ht="29.1" customHeight="1" spans="1:22">
      <c r="A820" s="62">
        <v>46260</v>
      </c>
      <c r="B820" s="63" t="s">
        <v>177</v>
      </c>
      <c r="C820" s="64" t="s">
        <v>1921</v>
      </c>
      <c r="D820" s="66" t="s">
        <v>1922</v>
      </c>
      <c r="E820" s="66">
        <v>2551020325</v>
      </c>
      <c r="F820" s="66">
        <v>33410</v>
      </c>
      <c r="G820" s="67" t="str">
        <f>VLOOKUP(F820,[6]装箱单!$A:$C,3,0)</f>
        <v>搪胶小鸭</v>
      </c>
      <c r="H820" s="67">
        <v>1600</v>
      </c>
      <c r="I820" s="103">
        <f>+L820*400</f>
        <v>41600</v>
      </c>
      <c r="J820" s="68" t="s">
        <v>32</v>
      </c>
      <c r="K820" s="68" t="s">
        <v>33</v>
      </c>
      <c r="L820" s="103">
        <v>104</v>
      </c>
      <c r="M820" s="104">
        <f t="shared" ref="M820:M830" si="185">+U820</f>
        <v>32.4832989312</v>
      </c>
      <c r="N820" s="69" t="s">
        <v>34</v>
      </c>
      <c r="O820" s="67" t="s">
        <v>2068</v>
      </c>
      <c r="P820" s="70" t="s">
        <v>2121</v>
      </c>
      <c r="Q820" s="71">
        <f>VLOOKUP($F820,[6]装箱单!$A:$E,5,0)</f>
        <v>52.83</v>
      </c>
      <c r="R820" s="71">
        <f>VLOOKUP($F820,[6]装箱单!$A:$F,6,0)</f>
        <v>52.32</v>
      </c>
      <c r="S820" s="71">
        <f>VLOOKUP($F820,[6]装箱单!$A:$G,7,0)</f>
        <v>113</v>
      </c>
      <c r="T820" s="105">
        <f>VLOOKUP($F820,[6]装箱单!$A:$J,10,0)</f>
        <v>0.3123394128</v>
      </c>
      <c r="U820" s="71">
        <f t="shared" ref="U820:U830" si="186">+T820*L820</f>
        <v>32.4832989312</v>
      </c>
      <c r="V820" s="12"/>
    </row>
    <row r="821" s="1" customFormat="1" ht="29.1" customHeight="1" spans="1:22">
      <c r="A821" s="62">
        <v>46260</v>
      </c>
      <c r="B821" s="63" t="s">
        <v>2122</v>
      </c>
      <c r="C821" s="64">
        <v>47556</v>
      </c>
      <c r="D821" s="66" t="s">
        <v>2123</v>
      </c>
      <c r="E821" s="67"/>
      <c r="F821" s="66">
        <v>470534</v>
      </c>
      <c r="G821" s="67" t="str">
        <f>VLOOKUP(F821,[6]装箱单!$A:$C,3,0)</f>
        <v>搪胶公仔白种人</v>
      </c>
      <c r="H821" s="67">
        <v>70</v>
      </c>
      <c r="I821" s="103">
        <f t="shared" ref="I821:I829" si="187">+L821*3</f>
        <v>210</v>
      </c>
      <c r="J821" s="68" t="s">
        <v>32</v>
      </c>
      <c r="K821" s="68" t="s">
        <v>33</v>
      </c>
      <c r="L821" s="103">
        <v>70</v>
      </c>
      <c r="M821" s="104">
        <f t="shared" si="185"/>
        <v>2.0620108953248</v>
      </c>
      <c r="N821" s="69" t="s">
        <v>34</v>
      </c>
      <c r="O821" s="67"/>
      <c r="P821" s="74"/>
      <c r="Q821" s="71">
        <f>VLOOKUP($F821,[6]装箱单!$A:$E,5,0)</f>
        <v>40.64</v>
      </c>
      <c r="R821" s="71">
        <f>VLOOKUP($F821,[6]装箱单!$A:$F,6,0)</f>
        <v>21.701</v>
      </c>
      <c r="S821" s="71">
        <f>VLOOKUP($F821,[6]装箱单!$A:$G,7,0)</f>
        <v>33.401</v>
      </c>
      <c r="T821" s="105">
        <f>VLOOKUP($F821,[6]装箱单!$A:$J,10,0)</f>
        <v>0.02945729850464</v>
      </c>
      <c r="U821" s="71">
        <f t="shared" si="186"/>
        <v>2.0620108953248</v>
      </c>
      <c r="V821" s="12"/>
    </row>
    <row r="822" s="1" customFormat="1" ht="29.1" customHeight="1" spans="1:22">
      <c r="A822" s="62">
        <v>46260</v>
      </c>
      <c r="B822" s="63" t="s">
        <v>173</v>
      </c>
      <c r="C822" s="64">
        <v>47555</v>
      </c>
      <c r="D822" s="66" t="s">
        <v>2123</v>
      </c>
      <c r="E822" s="67"/>
      <c r="F822" s="66">
        <v>470534</v>
      </c>
      <c r="G822" s="67" t="str">
        <f>VLOOKUP(F822,[6]装箱单!$A:$C,3,0)</f>
        <v>搪胶公仔白种人</v>
      </c>
      <c r="H822" s="67">
        <v>630</v>
      </c>
      <c r="I822" s="103">
        <f t="shared" si="187"/>
        <v>1890</v>
      </c>
      <c r="J822" s="68" t="s">
        <v>32</v>
      </c>
      <c r="K822" s="68" t="s">
        <v>33</v>
      </c>
      <c r="L822" s="103">
        <v>630</v>
      </c>
      <c r="M822" s="104">
        <f t="shared" si="185"/>
        <v>18.5580980579232</v>
      </c>
      <c r="N822" s="69" t="s">
        <v>34</v>
      </c>
      <c r="O822" s="67"/>
      <c r="P822" s="74"/>
      <c r="Q822" s="71">
        <f>VLOOKUP($F822,[6]装箱单!$A:$E,5,0)</f>
        <v>40.64</v>
      </c>
      <c r="R822" s="71">
        <f>VLOOKUP($F822,[6]装箱单!$A:$F,6,0)</f>
        <v>21.701</v>
      </c>
      <c r="S822" s="71">
        <f>VLOOKUP($F822,[6]装箱单!$A:$G,7,0)</f>
        <v>33.401</v>
      </c>
      <c r="T822" s="105">
        <f>VLOOKUP($F822,[6]装箱单!$A:$J,10,0)</f>
        <v>0.02945729850464</v>
      </c>
      <c r="U822" s="71">
        <f t="shared" si="186"/>
        <v>18.5580980579232</v>
      </c>
      <c r="V822" s="12"/>
    </row>
    <row r="823" s="1" customFormat="1" ht="29.1" customHeight="1" spans="1:22">
      <c r="A823" s="62">
        <v>46260</v>
      </c>
      <c r="B823" s="63" t="s">
        <v>173</v>
      </c>
      <c r="C823" s="64">
        <v>47577</v>
      </c>
      <c r="D823" s="66" t="s">
        <v>2123</v>
      </c>
      <c r="E823" s="67"/>
      <c r="F823" s="66">
        <v>470534</v>
      </c>
      <c r="G823" s="67" t="str">
        <f>VLOOKUP(F823,[6]装箱单!$A:$C,3,0)</f>
        <v>搪胶公仔白种人</v>
      </c>
      <c r="H823" s="67">
        <v>400</v>
      </c>
      <c r="I823" s="103">
        <f t="shared" si="187"/>
        <v>1200</v>
      </c>
      <c r="J823" s="68" t="s">
        <v>32</v>
      </c>
      <c r="K823" s="68" t="s">
        <v>33</v>
      </c>
      <c r="L823" s="103">
        <v>400</v>
      </c>
      <c r="M823" s="104">
        <f t="shared" si="185"/>
        <v>11.782919401856</v>
      </c>
      <c r="N823" s="69" t="s">
        <v>34</v>
      </c>
      <c r="O823" s="67"/>
      <c r="P823" s="74"/>
      <c r="Q823" s="71">
        <f>VLOOKUP($F823,[6]装箱单!$A:$E,5,0)</f>
        <v>40.64</v>
      </c>
      <c r="R823" s="71">
        <f>VLOOKUP($F823,[6]装箱单!$A:$F,6,0)</f>
        <v>21.701</v>
      </c>
      <c r="S823" s="71">
        <f>VLOOKUP($F823,[6]装箱单!$A:$G,7,0)</f>
        <v>33.401</v>
      </c>
      <c r="T823" s="105">
        <f>VLOOKUP($F823,[6]装箱单!$A:$J,10,0)</f>
        <v>0.02945729850464</v>
      </c>
      <c r="U823" s="71">
        <f t="shared" si="186"/>
        <v>11.782919401856</v>
      </c>
      <c r="V823" s="12"/>
    </row>
    <row r="824" s="1" customFormat="1" ht="29.1" customHeight="1" spans="1:22">
      <c r="A824" s="62">
        <v>46260</v>
      </c>
      <c r="B824" s="63" t="s">
        <v>2122</v>
      </c>
      <c r="C824" s="64">
        <v>47556</v>
      </c>
      <c r="D824" s="66" t="s">
        <v>2123</v>
      </c>
      <c r="E824" s="67"/>
      <c r="F824" s="66">
        <v>470536</v>
      </c>
      <c r="G824" s="67" t="str">
        <f>VLOOKUP(F824,[6]装箱单!$A:$C,3,0)</f>
        <v>搪胶公仔西班牙人</v>
      </c>
      <c r="H824" s="67">
        <v>70</v>
      </c>
      <c r="I824" s="103">
        <f t="shared" si="187"/>
        <v>210</v>
      </c>
      <c r="J824" s="68" t="s">
        <v>32</v>
      </c>
      <c r="K824" s="68" t="s">
        <v>33</v>
      </c>
      <c r="L824" s="103">
        <v>70</v>
      </c>
      <c r="M824" s="104">
        <f t="shared" si="185"/>
        <v>2.0620108953248</v>
      </c>
      <c r="N824" s="69" t="s">
        <v>34</v>
      </c>
      <c r="O824" s="67"/>
      <c r="P824" s="74"/>
      <c r="Q824" s="71">
        <f>VLOOKUP($F824,[6]装箱单!$A:$E,5,0)</f>
        <v>40.64</v>
      </c>
      <c r="R824" s="71">
        <f>VLOOKUP($F824,[6]装箱单!$A:$F,6,0)</f>
        <v>21.701</v>
      </c>
      <c r="S824" s="71">
        <f>VLOOKUP($F824,[6]装箱单!$A:$G,7,0)</f>
        <v>33.401</v>
      </c>
      <c r="T824" s="105">
        <f>VLOOKUP($F824,[6]装箱单!$A:$J,10,0)</f>
        <v>0.02945729850464</v>
      </c>
      <c r="U824" s="71">
        <f t="shared" si="186"/>
        <v>2.0620108953248</v>
      </c>
      <c r="V824" s="12"/>
    </row>
    <row r="825" s="1" customFormat="1" ht="29.1" customHeight="1" spans="1:22">
      <c r="A825" s="62">
        <v>46260</v>
      </c>
      <c r="B825" s="63" t="s">
        <v>173</v>
      </c>
      <c r="C825" s="64">
        <v>47555</v>
      </c>
      <c r="D825" s="66" t="s">
        <v>2123</v>
      </c>
      <c r="E825" s="67"/>
      <c r="F825" s="66">
        <v>470536</v>
      </c>
      <c r="G825" s="67" t="str">
        <f>VLOOKUP(F825,[6]装箱单!$A:$C,3,0)</f>
        <v>搪胶公仔西班牙人</v>
      </c>
      <c r="H825" s="67">
        <v>630</v>
      </c>
      <c r="I825" s="103">
        <f t="shared" si="187"/>
        <v>1890</v>
      </c>
      <c r="J825" s="68" t="s">
        <v>32</v>
      </c>
      <c r="K825" s="68" t="s">
        <v>33</v>
      </c>
      <c r="L825" s="103">
        <v>630</v>
      </c>
      <c r="M825" s="104">
        <f t="shared" si="185"/>
        <v>18.5580980579232</v>
      </c>
      <c r="N825" s="69" t="s">
        <v>34</v>
      </c>
      <c r="O825" s="67"/>
      <c r="P825" s="74"/>
      <c r="Q825" s="71">
        <f>VLOOKUP($F825,[6]装箱单!$A:$E,5,0)</f>
        <v>40.64</v>
      </c>
      <c r="R825" s="71">
        <f>VLOOKUP($F825,[6]装箱单!$A:$F,6,0)</f>
        <v>21.701</v>
      </c>
      <c r="S825" s="71">
        <f>VLOOKUP($F825,[6]装箱单!$A:$G,7,0)</f>
        <v>33.401</v>
      </c>
      <c r="T825" s="105">
        <f>VLOOKUP($F825,[6]装箱单!$A:$J,10,0)</f>
        <v>0.02945729850464</v>
      </c>
      <c r="U825" s="71">
        <f t="shared" si="186"/>
        <v>18.5580980579232</v>
      </c>
      <c r="V825" s="12"/>
    </row>
    <row r="826" s="1" customFormat="1" ht="29.1" customHeight="1" spans="1:22">
      <c r="A826" s="62">
        <v>46260</v>
      </c>
      <c r="B826" s="63" t="s">
        <v>173</v>
      </c>
      <c r="C826" s="64">
        <v>47577</v>
      </c>
      <c r="D826" s="66" t="s">
        <v>2123</v>
      </c>
      <c r="E826" s="67"/>
      <c r="F826" s="66">
        <v>470536</v>
      </c>
      <c r="G826" s="67" t="str">
        <f>VLOOKUP(F826,[6]装箱单!$A:$C,3,0)</f>
        <v>搪胶公仔西班牙人</v>
      </c>
      <c r="H826" s="67">
        <v>100</v>
      </c>
      <c r="I826" s="103">
        <f t="shared" si="187"/>
        <v>300</v>
      </c>
      <c r="J826" s="68" t="s">
        <v>32</v>
      </c>
      <c r="K826" s="68" t="s">
        <v>33</v>
      </c>
      <c r="L826" s="103">
        <v>100</v>
      </c>
      <c r="M826" s="104">
        <f t="shared" si="185"/>
        <v>2.945729850464</v>
      </c>
      <c r="N826" s="69" t="s">
        <v>34</v>
      </c>
      <c r="O826" s="67"/>
      <c r="P826" s="74"/>
      <c r="Q826" s="71">
        <f>VLOOKUP($F826,[6]装箱单!$A:$E,5,0)</f>
        <v>40.64</v>
      </c>
      <c r="R826" s="71">
        <f>VLOOKUP($F826,[6]装箱单!$A:$F,6,0)</f>
        <v>21.701</v>
      </c>
      <c r="S826" s="71">
        <f>VLOOKUP($F826,[6]装箱单!$A:$G,7,0)</f>
        <v>33.401</v>
      </c>
      <c r="T826" s="105">
        <f>VLOOKUP($F826,[6]装箱单!$A:$J,10,0)</f>
        <v>0.02945729850464</v>
      </c>
      <c r="U826" s="71">
        <f t="shared" si="186"/>
        <v>2.945729850464</v>
      </c>
      <c r="V826" s="12"/>
    </row>
    <row r="827" s="1" customFormat="1" ht="29.1" customHeight="1" spans="1:22">
      <c r="A827" s="62">
        <v>46260</v>
      </c>
      <c r="B827" s="63" t="s">
        <v>2122</v>
      </c>
      <c r="C827" s="64">
        <v>47556</v>
      </c>
      <c r="D827" s="66" t="s">
        <v>2123</v>
      </c>
      <c r="E827" s="67"/>
      <c r="F827" s="66">
        <v>470537</v>
      </c>
      <c r="G827" s="67" t="str">
        <f>VLOOKUP(F827,[6]装箱单!$A:$C,3,0)</f>
        <v>搪胶公仔非洲人</v>
      </c>
      <c r="H827" s="67">
        <v>70</v>
      </c>
      <c r="I827" s="103">
        <f t="shared" si="187"/>
        <v>210</v>
      </c>
      <c r="J827" s="68" t="s">
        <v>32</v>
      </c>
      <c r="K827" s="68" t="s">
        <v>33</v>
      </c>
      <c r="L827" s="103">
        <v>70</v>
      </c>
      <c r="M827" s="104">
        <f t="shared" si="185"/>
        <v>2.0620108953248</v>
      </c>
      <c r="N827" s="69" t="s">
        <v>34</v>
      </c>
      <c r="O827" s="67"/>
      <c r="P827" s="74"/>
      <c r="Q827" s="71">
        <f>VLOOKUP($F827,[6]装箱单!$A:$E,5,0)</f>
        <v>40.64</v>
      </c>
      <c r="R827" s="71">
        <f>VLOOKUP($F827,[6]装箱单!$A:$F,6,0)</f>
        <v>21.701</v>
      </c>
      <c r="S827" s="71">
        <f>VLOOKUP($F827,[6]装箱单!$A:$G,7,0)</f>
        <v>33.401</v>
      </c>
      <c r="T827" s="105">
        <f>VLOOKUP($F827,[6]装箱单!$A:$J,10,0)</f>
        <v>0.02945729850464</v>
      </c>
      <c r="U827" s="71">
        <f t="shared" si="186"/>
        <v>2.0620108953248</v>
      </c>
      <c r="V827" s="12"/>
    </row>
    <row r="828" s="1" customFormat="1" ht="29.1" customHeight="1" spans="1:22">
      <c r="A828" s="62">
        <v>46260</v>
      </c>
      <c r="B828" s="63" t="s">
        <v>173</v>
      </c>
      <c r="C828" s="64">
        <v>47555</v>
      </c>
      <c r="D828" s="66" t="s">
        <v>2123</v>
      </c>
      <c r="E828" s="67"/>
      <c r="F828" s="66">
        <v>470537</v>
      </c>
      <c r="G828" s="67" t="str">
        <f>VLOOKUP(F828,[6]装箱单!$A:$C,3,0)</f>
        <v>搪胶公仔非洲人</v>
      </c>
      <c r="H828" s="67">
        <v>630</v>
      </c>
      <c r="I828" s="103">
        <f t="shared" si="187"/>
        <v>1890</v>
      </c>
      <c r="J828" s="68" t="s">
        <v>32</v>
      </c>
      <c r="K828" s="68" t="s">
        <v>33</v>
      </c>
      <c r="L828" s="103">
        <v>630</v>
      </c>
      <c r="M828" s="104">
        <f t="shared" si="185"/>
        <v>18.5580980579232</v>
      </c>
      <c r="N828" s="69" t="s">
        <v>34</v>
      </c>
      <c r="O828" s="67"/>
      <c r="P828" s="74"/>
      <c r="Q828" s="71">
        <f>VLOOKUP($F828,[6]装箱单!$A:$E,5,0)</f>
        <v>40.64</v>
      </c>
      <c r="R828" s="71">
        <f>VLOOKUP($F828,[6]装箱单!$A:$F,6,0)</f>
        <v>21.701</v>
      </c>
      <c r="S828" s="71">
        <f>VLOOKUP($F828,[6]装箱单!$A:$G,7,0)</f>
        <v>33.401</v>
      </c>
      <c r="T828" s="105">
        <f>VLOOKUP($F828,[6]装箱单!$A:$J,10,0)</f>
        <v>0.02945729850464</v>
      </c>
      <c r="U828" s="71">
        <f t="shared" si="186"/>
        <v>18.5580980579232</v>
      </c>
      <c r="V828" s="12"/>
    </row>
    <row r="829" s="1" customFormat="1" ht="29.1" customHeight="1" spans="1:22">
      <c r="A829" s="62">
        <v>46260</v>
      </c>
      <c r="B829" s="63" t="s">
        <v>173</v>
      </c>
      <c r="C829" s="64">
        <v>47577</v>
      </c>
      <c r="D829" s="66" t="s">
        <v>2123</v>
      </c>
      <c r="E829" s="67"/>
      <c r="F829" s="66">
        <v>470537</v>
      </c>
      <c r="G829" s="67" t="str">
        <f>VLOOKUP(F829,[6]装箱单!$A:$C,3,0)</f>
        <v>搪胶公仔非洲人</v>
      </c>
      <c r="H829" s="67">
        <v>100</v>
      </c>
      <c r="I829" s="103">
        <f t="shared" si="187"/>
        <v>300</v>
      </c>
      <c r="J829" s="68" t="s">
        <v>32</v>
      </c>
      <c r="K829" s="68" t="s">
        <v>33</v>
      </c>
      <c r="L829" s="103">
        <v>100</v>
      </c>
      <c r="M829" s="104">
        <f t="shared" si="185"/>
        <v>2.945729850464</v>
      </c>
      <c r="N829" s="69" t="s">
        <v>34</v>
      </c>
      <c r="O829" s="67"/>
      <c r="P829" s="74"/>
      <c r="Q829" s="71">
        <f>VLOOKUP($F829,[6]装箱单!$A:$E,5,0)</f>
        <v>40.64</v>
      </c>
      <c r="R829" s="71">
        <f>VLOOKUP($F829,[6]装箱单!$A:$F,6,0)</f>
        <v>21.701</v>
      </c>
      <c r="S829" s="71">
        <f>VLOOKUP($F829,[6]装箱单!$A:$G,7,0)</f>
        <v>33.401</v>
      </c>
      <c r="T829" s="105">
        <f>VLOOKUP($F829,[6]装箱单!$A:$J,10,0)</f>
        <v>0.02945729850464</v>
      </c>
      <c r="U829" s="71">
        <f t="shared" si="186"/>
        <v>2.945729850464</v>
      </c>
      <c r="V829" s="12"/>
    </row>
    <row r="830" s="1" customFormat="1" ht="29.1" customHeight="1" spans="1:22">
      <c r="A830" s="62">
        <v>46260</v>
      </c>
      <c r="B830" s="63" t="s">
        <v>1722</v>
      </c>
      <c r="C830" s="64" t="s">
        <v>2124</v>
      </c>
      <c r="D830" s="66" t="s">
        <v>2125</v>
      </c>
      <c r="E830" s="67" t="s">
        <v>2126</v>
      </c>
      <c r="F830" s="66" t="s">
        <v>175</v>
      </c>
      <c r="G830" s="67" t="str">
        <f>VLOOKUP(F830,[6]装箱单!$A:$C,3,0)</f>
        <v>投影米奇</v>
      </c>
      <c r="H830" s="67">
        <v>309</v>
      </c>
      <c r="I830" s="103">
        <f>+L830*4</f>
        <v>928</v>
      </c>
      <c r="J830" s="68" t="s">
        <v>32</v>
      </c>
      <c r="K830" s="68" t="s">
        <v>33</v>
      </c>
      <c r="L830" s="103">
        <v>232</v>
      </c>
      <c r="M830" s="104">
        <f t="shared" si="185"/>
        <v>23.314887854002</v>
      </c>
      <c r="N830" s="69" t="s">
        <v>34</v>
      </c>
      <c r="O830" s="67"/>
      <c r="P830" s="74"/>
      <c r="Q830" s="71">
        <f>VLOOKUP($F830,[6]装箱单!$A:$E,5,0)</f>
        <v>64.135</v>
      </c>
      <c r="R830" s="71">
        <f>VLOOKUP($F830,[6]装箱单!$A:$F,6,0)</f>
        <v>36.83</v>
      </c>
      <c r="S830" s="71">
        <f>VLOOKUP($F830,[6]装箱单!$A:$G,7,0)</f>
        <v>42.545</v>
      </c>
      <c r="T830" s="105">
        <f>VLOOKUP($F830,[6]装箱单!$A:$J,10,0)</f>
        <v>0.10049520626725</v>
      </c>
      <c r="U830" s="71">
        <f t="shared" si="186"/>
        <v>23.314887854002</v>
      </c>
      <c r="V830" s="12"/>
    </row>
    <row r="831" s="1" customFormat="1" ht="29.1" customHeight="1" spans="1:22">
      <c r="A831" s="62">
        <v>46260</v>
      </c>
      <c r="B831" s="63" t="s">
        <v>2127</v>
      </c>
      <c r="C831" s="64"/>
      <c r="D831" s="66"/>
      <c r="E831" s="67"/>
      <c r="F831" s="66"/>
      <c r="G831" s="67" t="s">
        <v>1054</v>
      </c>
      <c r="H831" s="67">
        <v>40</v>
      </c>
      <c r="I831" s="67">
        <v>40</v>
      </c>
      <c r="J831" s="68" t="s">
        <v>2128</v>
      </c>
      <c r="K831" s="68" t="s">
        <v>33</v>
      </c>
      <c r="L831" s="103">
        <v>40</v>
      </c>
      <c r="M831" s="104"/>
      <c r="N831" s="69"/>
      <c r="O831" s="67"/>
      <c r="P831" s="74"/>
      <c r="Q831" s="71"/>
      <c r="R831" s="71"/>
      <c r="S831" s="71"/>
      <c r="T831" s="105"/>
      <c r="U831" s="71"/>
      <c r="V831" s="12"/>
    </row>
    <row r="832" s="1" customFormat="1" ht="29.1" customHeight="1" spans="1:22">
      <c r="A832" s="62">
        <v>46260</v>
      </c>
      <c r="B832" s="63"/>
      <c r="C832" s="64"/>
      <c r="D832" s="66"/>
      <c r="E832" s="67"/>
      <c r="F832" s="66">
        <v>320920</v>
      </c>
      <c r="G832" s="67" t="s">
        <v>383</v>
      </c>
      <c r="H832" s="67">
        <v>1</v>
      </c>
      <c r="I832" s="67">
        <v>1</v>
      </c>
      <c r="J832" s="68" t="s">
        <v>47</v>
      </c>
      <c r="K832" s="68" t="s">
        <v>33</v>
      </c>
      <c r="L832" s="103">
        <v>1</v>
      </c>
      <c r="M832" s="104"/>
      <c r="N832" s="69"/>
      <c r="O832" s="67"/>
      <c r="P832" s="74"/>
      <c r="Q832" s="71"/>
      <c r="R832" s="71"/>
      <c r="S832" s="71"/>
      <c r="T832" s="105"/>
      <c r="U832" s="71"/>
      <c r="V832" s="12"/>
    </row>
    <row r="833" s="1" customFormat="1" ht="29.1" customHeight="1" spans="1:22">
      <c r="A833" s="62"/>
      <c r="B833" s="63"/>
      <c r="C833" s="64"/>
      <c r="D833" s="66"/>
      <c r="E833" s="67"/>
      <c r="F833" s="66"/>
      <c r="G833" s="67"/>
      <c r="H833" s="67"/>
      <c r="I833" s="103"/>
      <c r="J833" s="68"/>
      <c r="K833" s="68"/>
      <c r="L833" s="103"/>
      <c r="M833" s="104">
        <f>SUM(M820:M830)</f>
        <v>135.33289274773</v>
      </c>
      <c r="N833" s="69"/>
      <c r="O833" s="67"/>
      <c r="P833" s="75"/>
      <c r="Q833" s="71"/>
      <c r="R833" s="71"/>
      <c r="S833" s="71"/>
      <c r="T833" s="105"/>
      <c r="U833" s="71"/>
      <c r="V833" s="12"/>
    </row>
    <row r="834" s="1" customFormat="1" ht="29.1" customHeight="1" spans="1:22">
      <c r="A834" s="62">
        <v>46261</v>
      </c>
      <c r="B834" s="63" t="s">
        <v>2073</v>
      </c>
      <c r="C834" s="64" t="s">
        <v>2074</v>
      </c>
      <c r="D834" s="66" t="s">
        <v>2075</v>
      </c>
      <c r="E834" s="67" t="s">
        <v>2076</v>
      </c>
      <c r="F834" s="66">
        <v>46462</v>
      </c>
      <c r="G834" s="67" t="str">
        <f>VLOOKUP(F834,[6]装箱单!$A:$C,3,0)</f>
        <v>史迪仔系列</v>
      </c>
      <c r="H834" s="67">
        <f>+L834/2</f>
        <v>90</v>
      </c>
      <c r="I834" s="103">
        <f t="shared" ref="I834:I837" si="188">+L834*2</f>
        <v>360</v>
      </c>
      <c r="J834" s="68" t="s">
        <v>32</v>
      </c>
      <c r="K834" s="68" t="s">
        <v>33</v>
      </c>
      <c r="L834" s="103">
        <v>180</v>
      </c>
      <c r="M834" s="104">
        <f t="shared" ref="M834:M855" si="189">+U834</f>
        <v>4.02582924576</v>
      </c>
      <c r="N834" s="69" t="s">
        <v>34</v>
      </c>
      <c r="O834" s="67"/>
      <c r="P834" s="70" t="s">
        <v>1909</v>
      </c>
      <c r="Q834" s="71">
        <f>VLOOKUP($F834,[6]装箱单!$A:$E,5,0)</f>
        <v>40.01</v>
      </c>
      <c r="R834" s="71">
        <f>VLOOKUP($F834,[6]装箱单!$A:$F,6,0)</f>
        <v>26.67</v>
      </c>
      <c r="S834" s="71">
        <f>VLOOKUP($F834,[6]装箱单!$A:$G,7,0)</f>
        <v>20.96</v>
      </c>
      <c r="T834" s="105">
        <f>VLOOKUP($F834,[6]装箱单!$A:$J,10,0)</f>
        <v>0.022365718032</v>
      </c>
      <c r="U834" s="71">
        <f t="shared" ref="U834:U855" si="190">+T834*L834</f>
        <v>4.02582924576</v>
      </c>
      <c r="V834" s="12"/>
    </row>
    <row r="835" s="1" customFormat="1" ht="29.1" customHeight="1" spans="1:22">
      <c r="A835" s="62">
        <v>46261</v>
      </c>
      <c r="B835" s="63" t="s">
        <v>2073</v>
      </c>
      <c r="C835" s="64" t="s">
        <v>2074</v>
      </c>
      <c r="D835" s="66" t="s">
        <v>2075</v>
      </c>
      <c r="E835" s="67" t="s">
        <v>2076</v>
      </c>
      <c r="F835" s="66">
        <v>46092</v>
      </c>
      <c r="G835" s="67" t="str">
        <f>VLOOKUP(F835,[6]装箱单!$A:$C,3,0)</f>
        <v>玩具总动员系列</v>
      </c>
      <c r="H835" s="67">
        <v>240</v>
      </c>
      <c r="I835" s="103">
        <f t="shared" si="188"/>
        <v>54</v>
      </c>
      <c r="J835" s="68" t="s">
        <v>32</v>
      </c>
      <c r="K835" s="68" t="s">
        <v>33</v>
      </c>
      <c r="L835" s="103">
        <f>240-213</f>
        <v>27</v>
      </c>
      <c r="M835" s="104">
        <f t="shared" si="189"/>
        <v>0.603874386864</v>
      </c>
      <c r="N835" s="69" t="s">
        <v>34</v>
      </c>
      <c r="O835" s="67"/>
      <c r="P835" s="74"/>
      <c r="Q835" s="71">
        <f>VLOOKUP($F835,[6]装箱单!$A:$E,5,0)</f>
        <v>40.01</v>
      </c>
      <c r="R835" s="71">
        <f>VLOOKUP($F835,[6]装箱单!$A:$F,6,0)</f>
        <v>26.67</v>
      </c>
      <c r="S835" s="71">
        <f>VLOOKUP($F835,[6]装箱单!$A:$G,7,0)</f>
        <v>20.96</v>
      </c>
      <c r="T835" s="105">
        <f>VLOOKUP($F835,[6]装箱单!$A:$J,10,0)</f>
        <v>0.022365718032</v>
      </c>
      <c r="U835" s="71">
        <f t="shared" si="190"/>
        <v>0.603874386864</v>
      </c>
      <c r="V835" s="12"/>
    </row>
    <row r="836" s="1" customFormat="1" ht="29.1" customHeight="1" spans="1:22">
      <c r="A836" s="62">
        <v>46261</v>
      </c>
      <c r="B836" s="63" t="s">
        <v>1816</v>
      </c>
      <c r="C836" s="64" t="s">
        <v>1817</v>
      </c>
      <c r="D836" s="66" t="s">
        <v>1818</v>
      </c>
      <c r="E836" s="67" t="s">
        <v>1819</v>
      </c>
      <c r="F836" s="66">
        <v>46496</v>
      </c>
      <c r="G836" s="67" t="str">
        <f>VLOOKUP(F836,[6]装箱单!$A:$C,3,0)</f>
        <v>米妮系列</v>
      </c>
      <c r="H836" s="67">
        <v>225</v>
      </c>
      <c r="I836" s="103">
        <f t="shared" si="188"/>
        <v>450</v>
      </c>
      <c r="J836" s="68" t="s">
        <v>32</v>
      </c>
      <c r="K836" s="68" t="s">
        <v>33</v>
      </c>
      <c r="L836" s="103">
        <v>225</v>
      </c>
      <c r="M836" s="104">
        <f t="shared" si="189"/>
        <v>5.0322865572</v>
      </c>
      <c r="N836" s="69" t="s">
        <v>34</v>
      </c>
      <c r="O836" s="67"/>
      <c r="P836" s="74"/>
      <c r="Q836" s="71">
        <f>VLOOKUP($F836,[6]装箱单!$A:$E,5,0)</f>
        <v>40.01</v>
      </c>
      <c r="R836" s="71">
        <f>VLOOKUP($F836,[6]装箱单!$A:$F,6,0)</f>
        <v>26.67</v>
      </c>
      <c r="S836" s="71">
        <f>VLOOKUP($F836,[6]装箱单!$A:$G,7,0)</f>
        <v>20.96</v>
      </c>
      <c r="T836" s="105">
        <f>VLOOKUP($F836,[6]装箱单!$A:$J,10,0)</f>
        <v>0.022365718032</v>
      </c>
      <c r="U836" s="71">
        <f t="shared" si="190"/>
        <v>5.0322865572</v>
      </c>
      <c r="V836" s="12"/>
    </row>
    <row r="837" s="1" customFormat="1" ht="29.1" customHeight="1" spans="1:22">
      <c r="A837" s="62">
        <v>46261</v>
      </c>
      <c r="B837" s="63" t="s">
        <v>1133</v>
      </c>
      <c r="C837" s="64" t="s">
        <v>2129</v>
      </c>
      <c r="D837" s="66" t="s">
        <v>2130</v>
      </c>
      <c r="E837" s="140" t="s">
        <v>2131</v>
      </c>
      <c r="F837" s="66">
        <v>46132</v>
      </c>
      <c r="G837" s="67" t="str">
        <f>VLOOKUP(F837,[6]装箱单!$A:$C,3,0)</f>
        <v>赛车总动员系列</v>
      </c>
      <c r="H837" s="67">
        <f>+I837/2</f>
        <v>1737</v>
      </c>
      <c r="I837" s="103">
        <f t="shared" si="188"/>
        <v>3474</v>
      </c>
      <c r="J837" s="68" t="s">
        <v>32</v>
      </c>
      <c r="K837" s="68" t="s">
        <v>33</v>
      </c>
      <c r="L837" s="103">
        <v>1737</v>
      </c>
      <c r="M837" s="104">
        <f t="shared" si="189"/>
        <v>38.849252221584</v>
      </c>
      <c r="N837" s="69" t="s">
        <v>34</v>
      </c>
      <c r="O837" s="67"/>
      <c r="P837" s="74"/>
      <c r="Q837" s="71">
        <f>VLOOKUP($F837,[6]装箱单!$A:$E,5,0)</f>
        <v>40.01</v>
      </c>
      <c r="R837" s="71">
        <f>VLOOKUP($F837,[6]装箱单!$A:$F,6,0)</f>
        <v>26.67</v>
      </c>
      <c r="S837" s="71">
        <f>VLOOKUP($F837,[6]装箱单!$A:$G,7,0)</f>
        <v>20.96</v>
      </c>
      <c r="T837" s="105">
        <f>VLOOKUP($F837,[6]装箱单!$A:$J,10,0)</f>
        <v>0.022365718032</v>
      </c>
      <c r="U837" s="71">
        <f t="shared" si="190"/>
        <v>38.849252221584</v>
      </c>
      <c r="V837" s="12"/>
    </row>
    <row r="838" s="1" customFormat="1" ht="29.1" customHeight="1" spans="1:22">
      <c r="A838" s="62">
        <v>46261</v>
      </c>
      <c r="B838" s="63" t="s">
        <v>40</v>
      </c>
      <c r="C838" s="79" t="s">
        <v>2132</v>
      </c>
      <c r="D838" s="66" t="s">
        <v>2133</v>
      </c>
      <c r="E838" s="140" t="s">
        <v>2134</v>
      </c>
      <c r="F838" s="66">
        <v>28481</v>
      </c>
      <c r="G838" s="67" t="str">
        <f>VLOOKUP(F838,[6]装箱单!$A:$C,3,0)</f>
        <v>骰子</v>
      </c>
      <c r="H838" s="67">
        <f t="shared" ref="H838:H843" si="191">+I838/4</f>
        <v>480</v>
      </c>
      <c r="I838" s="103">
        <f t="shared" ref="I838:I843" si="192">+L838*4</f>
        <v>1920</v>
      </c>
      <c r="J838" s="68" t="s">
        <v>32</v>
      </c>
      <c r="K838" s="68" t="s">
        <v>33</v>
      </c>
      <c r="L838" s="103">
        <v>480</v>
      </c>
      <c r="M838" s="104">
        <f t="shared" si="189"/>
        <v>4.83828876384</v>
      </c>
      <c r="N838" s="69" t="s">
        <v>34</v>
      </c>
      <c r="O838" s="67" t="s">
        <v>2135</v>
      </c>
      <c r="P838" s="74"/>
      <c r="Q838" s="71">
        <f>VLOOKUP($F838,[6]装箱单!$A:$E,5,0)</f>
        <v>23.81</v>
      </c>
      <c r="R838" s="71">
        <f>VLOOKUP($F838,[6]装箱单!$A:$F,6,0)</f>
        <v>17.78</v>
      </c>
      <c r="S838" s="71">
        <f>VLOOKUP($F838,[6]装箱单!$A:$G,7,0)</f>
        <v>23.81</v>
      </c>
      <c r="T838" s="105">
        <f>VLOOKUP($F838,[6]装箱单!$A:$J,10,0)</f>
        <v>0.010079768258</v>
      </c>
      <c r="U838" s="71">
        <f t="shared" si="190"/>
        <v>4.83828876384</v>
      </c>
      <c r="V838" s="12"/>
    </row>
    <row r="839" s="1" customFormat="1" ht="29.1" customHeight="1" spans="1:22">
      <c r="A839" s="62">
        <v>46261</v>
      </c>
      <c r="B839" s="63" t="s">
        <v>40</v>
      </c>
      <c r="C839" s="64" t="s">
        <v>2136</v>
      </c>
      <c r="D839" s="66" t="s">
        <v>2137</v>
      </c>
      <c r="E839" s="140" t="s">
        <v>2138</v>
      </c>
      <c r="F839" s="66">
        <v>28481</v>
      </c>
      <c r="G839" s="67" t="str">
        <f>VLOOKUP(F839,[6]装箱单!$A:$C,3,0)</f>
        <v>骰子</v>
      </c>
      <c r="H839" s="67">
        <f t="shared" si="191"/>
        <v>480</v>
      </c>
      <c r="I839" s="103">
        <f t="shared" si="192"/>
        <v>1920</v>
      </c>
      <c r="J839" s="68" t="s">
        <v>32</v>
      </c>
      <c r="K839" s="68" t="s">
        <v>33</v>
      </c>
      <c r="L839" s="103">
        <v>480</v>
      </c>
      <c r="M839" s="104">
        <f t="shared" si="189"/>
        <v>4.83828876384</v>
      </c>
      <c r="N839" s="69" t="s">
        <v>34</v>
      </c>
      <c r="O839" s="67"/>
      <c r="P839" s="74"/>
      <c r="Q839" s="71">
        <f>VLOOKUP($F839,[6]装箱单!$A:$E,5,0)</f>
        <v>23.81</v>
      </c>
      <c r="R839" s="71">
        <f>VLOOKUP($F839,[6]装箱单!$A:$F,6,0)</f>
        <v>17.78</v>
      </c>
      <c r="S839" s="71">
        <f>VLOOKUP($F839,[6]装箱单!$A:$G,7,0)</f>
        <v>23.81</v>
      </c>
      <c r="T839" s="105">
        <f>VLOOKUP($F839,[6]装箱单!$A:$J,10,0)</f>
        <v>0.010079768258</v>
      </c>
      <c r="U839" s="71">
        <f t="shared" si="190"/>
        <v>4.83828876384</v>
      </c>
      <c r="V839" s="12"/>
    </row>
    <row r="840" s="1" customFormat="1" ht="29.1" customHeight="1" spans="1:22">
      <c r="A840" s="62">
        <v>46261</v>
      </c>
      <c r="B840" s="63" t="s">
        <v>40</v>
      </c>
      <c r="C840" s="64" t="s">
        <v>2139</v>
      </c>
      <c r="D840" s="66" t="s">
        <v>2140</v>
      </c>
      <c r="E840" s="140" t="s">
        <v>2141</v>
      </c>
      <c r="F840" s="66">
        <v>28481</v>
      </c>
      <c r="G840" s="67" t="str">
        <f>VLOOKUP(F840,[6]装箱单!$A:$C,3,0)</f>
        <v>骰子</v>
      </c>
      <c r="H840" s="67">
        <f t="shared" si="191"/>
        <v>480</v>
      </c>
      <c r="I840" s="103">
        <f t="shared" si="192"/>
        <v>1920</v>
      </c>
      <c r="J840" s="68" t="s">
        <v>32</v>
      </c>
      <c r="K840" s="68" t="s">
        <v>33</v>
      </c>
      <c r="L840" s="103">
        <v>480</v>
      </c>
      <c r="M840" s="104">
        <f t="shared" si="189"/>
        <v>4.83828876384</v>
      </c>
      <c r="N840" s="69" t="s">
        <v>34</v>
      </c>
      <c r="O840" s="67"/>
      <c r="P840" s="74"/>
      <c r="Q840" s="71">
        <f>VLOOKUP($F840,[6]装箱单!$A:$E,5,0)</f>
        <v>23.81</v>
      </c>
      <c r="R840" s="71">
        <f>VLOOKUP($F840,[6]装箱单!$A:$F,6,0)</f>
        <v>17.78</v>
      </c>
      <c r="S840" s="71">
        <f>VLOOKUP($F840,[6]装箱单!$A:$G,7,0)</f>
        <v>23.81</v>
      </c>
      <c r="T840" s="105">
        <f>VLOOKUP($F840,[6]装箱单!$A:$J,10,0)</f>
        <v>0.010079768258</v>
      </c>
      <c r="U840" s="71">
        <f t="shared" si="190"/>
        <v>4.83828876384</v>
      </c>
      <c r="V840" s="12"/>
    </row>
    <row r="841" s="1" customFormat="1" ht="29.1" customHeight="1" spans="1:22">
      <c r="A841" s="62">
        <v>46261</v>
      </c>
      <c r="B841" s="63" t="s">
        <v>40</v>
      </c>
      <c r="C841" s="64" t="s">
        <v>2142</v>
      </c>
      <c r="D841" s="66" t="s">
        <v>2143</v>
      </c>
      <c r="E841" s="140" t="s">
        <v>2144</v>
      </c>
      <c r="F841" s="66">
        <v>28481</v>
      </c>
      <c r="G841" s="67" t="str">
        <f>VLOOKUP(F841,[6]装箱单!$A:$C,3,0)</f>
        <v>骰子</v>
      </c>
      <c r="H841" s="67">
        <f t="shared" si="191"/>
        <v>480</v>
      </c>
      <c r="I841" s="103">
        <f t="shared" si="192"/>
        <v>1920</v>
      </c>
      <c r="J841" s="68" t="s">
        <v>32</v>
      </c>
      <c r="K841" s="68" t="s">
        <v>33</v>
      </c>
      <c r="L841" s="103">
        <v>480</v>
      </c>
      <c r="M841" s="104">
        <f t="shared" si="189"/>
        <v>4.83828876384</v>
      </c>
      <c r="N841" s="69" t="s">
        <v>34</v>
      </c>
      <c r="O841" s="67"/>
      <c r="P841" s="74"/>
      <c r="Q841" s="71">
        <f>VLOOKUP($F841,[6]装箱单!$A:$E,5,0)</f>
        <v>23.81</v>
      </c>
      <c r="R841" s="71">
        <f>VLOOKUP($F841,[6]装箱单!$A:$F,6,0)</f>
        <v>17.78</v>
      </c>
      <c r="S841" s="71">
        <f>VLOOKUP($F841,[6]装箱单!$A:$G,7,0)</f>
        <v>23.81</v>
      </c>
      <c r="T841" s="105">
        <f>VLOOKUP($F841,[6]装箱单!$A:$J,10,0)</f>
        <v>0.010079768258</v>
      </c>
      <c r="U841" s="71">
        <f t="shared" si="190"/>
        <v>4.83828876384</v>
      </c>
      <c r="V841" s="12"/>
    </row>
    <row r="842" s="1" customFormat="1" ht="29.1" customHeight="1" spans="1:22">
      <c r="A842" s="62">
        <v>46261</v>
      </c>
      <c r="B842" s="63" t="s">
        <v>40</v>
      </c>
      <c r="C842" s="64" t="s">
        <v>2145</v>
      </c>
      <c r="D842" s="66" t="s">
        <v>2146</v>
      </c>
      <c r="E842" s="140" t="s">
        <v>2147</v>
      </c>
      <c r="F842" s="66">
        <v>28481</v>
      </c>
      <c r="G842" s="67" t="str">
        <f>VLOOKUP(F842,[6]装箱单!$A:$C,3,0)</f>
        <v>骰子</v>
      </c>
      <c r="H842" s="67">
        <f t="shared" si="191"/>
        <v>480</v>
      </c>
      <c r="I842" s="103">
        <f t="shared" si="192"/>
        <v>1920</v>
      </c>
      <c r="J842" s="68" t="s">
        <v>32</v>
      </c>
      <c r="K842" s="68" t="s">
        <v>33</v>
      </c>
      <c r="L842" s="103">
        <v>480</v>
      </c>
      <c r="M842" s="104">
        <f t="shared" si="189"/>
        <v>4.83828876384</v>
      </c>
      <c r="N842" s="69" t="s">
        <v>34</v>
      </c>
      <c r="O842" s="67"/>
      <c r="P842" s="74"/>
      <c r="Q842" s="71">
        <f>VLOOKUP($F842,[6]装箱单!$A:$E,5,0)</f>
        <v>23.81</v>
      </c>
      <c r="R842" s="71">
        <f>VLOOKUP($F842,[6]装箱单!$A:$F,6,0)</f>
        <v>17.78</v>
      </c>
      <c r="S842" s="71">
        <f>VLOOKUP($F842,[6]装箱单!$A:$G,7,0)</f>
        <v>23.81</v>
      </c>
      <c r="T842" s="105">
        <f>VLOOKUP($F842,[6]装箱单!$A:$J,10,0)</f>
        <v>0.010079768258</v>
      </c>
      <c r="U842" s="71">
        <f t="shared" si="190"/>
        <v>4.83828876384</v>
      </c>
      <c r="V842" s="12"/>
    </row>
    <row r="843" s="1" customFormat="1" ht="29.1" customHeight="1" spans="1:22">
      <c r="A843" s="62">
        <v>46261</v>
      </c>
      <c r="B843" s="63" t="s">
        <v>40</v>
      </c>
      <c r="C843" s="64" t="s">
        <v>2148</v>
      </c>
      <c r="D843" s="66" t="s">
        <v>2149</v>
      </c>
      <c r="E843" s="140" t="s">
        <v>2150</v>
      </c>
      <c r="F843" s="66">
        <v>28481</v>
      </c>
      <c r="G843" s="67" t="str">
        <f>VLOOKUP(F843,[6]装箱单!$A:$C,3,0)</f>
        <v>骰子</v>
      </c>
      <c r="H843" s="67">
        <f t="shared" si="191"/>
        <v>480</v>
      </c>
      <c r="I843" s="103">
        <f t="shared" si="192"/>
        <v>1920</v>
      </c>
      <c r="J843" s="68" t="s">
        <v>32</v>
      </c>
      <c r="K843" s="68" t="s">
        <v>33</v>
      </c>
      <c r="L843" s="103">
        <v>480</v>
      </c>
      <c r="M843" s="104">
        <f t="shared" si="189"/>
        <v>4.83828876384</v>
      </c>
      <c r="N843" s="69" t="s">
        <v>34</v>
      </c>
      <c r="O843" s="67"/>
      <c r="P843" s="74"/>
      <c r="Q843" s="71">
        <f>VLOOKUP($F843,[6]装箱单!$A:$E,5,0)</f>
        <v>23.81</v>
      </c>
      <c r="R843" s="71">
        <f>VLOOKUP($F843,[6]装箱单!$A:$F,6,0)</f>
        <v>17.78</v>
      </c>
      <c r="S843" s="71">
        <f>VLOOKUP($F843,[6]装箱单!$A:$G,7,0)</f>
        <v>23.81</v>
      </c>
      <c r="T843" s="105">
        <f>VLOOKUP($F843,[6]装箱单!$A:$J,10,0)</f>
        <v>0.010079768258</v>
      </c>
      <c r="U843" s="71">
        <f t="shared" si="190"/>
        <v>4.83828876384</v>
      </c>
      <c r="V843" s="12"/>
    </row>
    <row r="844" s="1" customFormat="1" ht="29.1" customHeight="1" spans="1:22">
      <c r="A844" s="62">
        <v>46261</v>
      </c>
      <c r="B844" s="63" t="s">
        <v>2151</v>
      </c>
      <c r="C844" s="64" t="s">
        <v>2152</v>
      </c>
      <c r="D844" s="66" t="s">
        <v>2153</v>
      </c>
      <c r="E844" s="67" t="s">
        <v>2154</v>
      </c>
      <c r="F844" s="66" t="s">
        <v>120</v>
      </c>
      <c r="G844" s="67" t="str">
        <f>VLOOKUP(F844,[6]装箱单!$A:$C,3,0)</f>
        <v>搪胶小鸭</v>
      </c>
      <c r="H844" s="67">
        <v>305</v>
      </c>
      <c r="I844" s="103">
        <f t="shared" ref="I844:I851" si="193">+L844*36</f>
        <v>10980</v>
      </c>
      <c r="J844" s="68" t="s">
        <v>32</v>
      </c>
      <c r="K844" s="68" t="s">
        <v>33</v>
      </c>
      <c r="L844" s="103">
        <v>305</v>
      </c>
      <c r="M844" s="104">
        <f t="shared" si="189"/>
        <v>3.7638017053</v>
      </c>
      <c r="N844" s="69" t="s">
        <v>34</v>
      </c>
      <c r="O844" s="67" t="s">
        <v>2155</v>
      </c>
      <c r="P844" s="74"/>
      <c r="Q844" s="71">
        <f>VLOOKUP($F844,[6]装箱单!$A:$E,5,0)</f>
        <v>33.02</v>
      </c>
      <c r="R844" s="71">
        <f>VLOOKUP($F844,[6]装箱单!$A:$F,6,0)</f>
        <v>18.41</v>
      </c>
      <c r="S844" s="71">
        <f>VLOOKUP($F844,[6]装箱单!$A:$G,7,0)</f>
        <v>20.3</v>
      </c>
      <c r="T844" s="105">
        <f>VLOOKUP($F844,[6]装箱单!$A:$J,10,0)</f>
        <v>0.01234033346</v>
      </c>
      <c r="U844" s="71">
        <f t="shared" si="190"/>
        <v>3.7638017053</v>
      </c>
      <c r="V844" s="12"/>
    </row>
    <row r="845" s="1" customFormat="1" ht="29.1" customHeight="1" spans="1:22">
      <c r="A845" s="62">
        <v>46261</v>
      </c>
      <c r="B845" s="63" t="s">
        <v>2151</v>
      </c>
      <c r="C845" s="64" t="s">
        <v>2152</v>
      </c>
      <c r="D845" s="66" t="s">
        <v>2153</v>
      </c>
      <c r="E845" s="67" t="s">
        <v>2154</v>
      </c>
      <c r="F845" s="66" t="s">
        <v>120</v>
      </c>
      <c r="G845" s="67" t="str">
        <f>VLOOKUP(F845,[6]装箱单!$A:$C,3,0)</f>
        <v>搪胶小鸭</v>
      </c>
      <c r="H845" s="67">
        <v>305</v>
      </c>
      <c r="I845" s="103">
        <f t="shared" si="193"/>
        <v>10980</v>
      </c>
      <c r="J845" s="68" t="s">
        <v>32</v>
      </c>
      <c r="K845" s="68" t="s">
        <v>33</v>
      </c>
      <c r="L845" s="103">
        <v>305</v>
      </c>
      <c r="M845" s="104">
        <f t="shared" si="189"/>
        <v>3.7638017053</v>
      </c>
      <c r="N845" s="69" t="s">
        <v>34</v>
      </c>
      <c r="O845" s="67" t="s">
        <v>2156</v>
      </c>
      <c r="P845" s="74"/>
      <c r="Q845" s="71">
        <f>VLOOKUP($F845,[6]装箱单!$A:$E,5,0)</f>
        <v>33.02</v>
      </c>
      <c r="R845" s="71">
        <f>VLOOKUP($F845,[6]装箱单!$A:$F,6,0)</f>
        <v>18.41</v>
      </c>
      <c r="S845" s="71">
        <f>VLOOKUP($F845,[6]装箱单!$A:$G,7,0)</f>
        <v>20.3</v>
      </c>
      <c r="T845" s="105">
        <f>VLOOKUP($F845,[6]装箱单!$A:$J,10,0)</f>
        <v>0.01234033346</v>
      </c>
      <c r="U845" s="71">
        <f t="shared" si="190"/>
        <v>3.7638017053</v>
      </c>
      <c r="V845" s="12"/>
    </row>
    <row r="846" s="1" customFormat="1" ht="29.1" customHeight="1" spans="1:22">
      <c r="A846" s="62">
        <v>46261</v>
      </c>
      <c r="B846" s="63" t="s">
        <v>2151</v>
      </c>
      <c r="C846" s="64" t="s">
        <v>2157</v>
      </c>
      <c r="D846" s="66" t="s">
        <v>2158</v>
      </c>
      <c r="E846" s="67" t="s">
        <v>2159</v>
      </c>
      <c r="F846" s="66" t="s">
        <v>120</v>
      </c>
      <c r="G846" s="67" t="str">
        <f>VLOOKUP(F846,[6]装箱单!$A:$C,3,0)</f>
        <v>搪胶小鸭</v>
      </c>
      <c r="H846" s="67">
        <v>204</v>
      </c>
      <c r="I846" s="103">
        <f t="shared" si="193"/>
        <v>7344</v>
      </c>
      <c r="J846" s="68" t="s">
        <v>32</v>
      </c>
      <c r="K846" s="68" t="s">
        <v>33</v>
      </c>
      <c r="L846" s="103">
        <v>204</v>
      </c>
      <c r="M846" s="104">
        <f t="shared" si="189"/>
        <v>2.51742802584</v>
      </c>
      <c r="N846" s="69" t="s">
        <v>34</v>
      </c>
      <c r="O846" s="67" t="s">
        <v>1729</v>
      </c>
      <c r="P846" s="74"/>
      <c r="Q846" s="71">
        <f>VLOOKUP($F846,[6]装箱单!$A:$E,5,0)</f>
        <v>33.02</v>
      </c>
      <c r="R846" s="71">
        <f>VLOOKUP($F846,[6]装箱单!$A:$F,6,0)</f>
        <v>18.41</v>
      </c>
      <c r="S846" s="71">
        <f>VLOOKUP($F846,[6]装箱单!$A:$G,7,0)</f>
        <v>20.3</v>
      </c>
      <c r="T846" s="105">
        <f>VLOOKUP($F846,[6]装箱单!$A:$J,10,0)</f>
        <v>0.01234033346</v>
      </c>
      <c r="U846" s="71">
        <f t="shared" si="190"/>
        <v>2.51742802584</v>
      </c>
      <c r="V846" s="12"/>
    </row>
    <row r="847" s="1" customFormat="1" ht="29.1" customHeight="1" spans="1:22">
      <c r="A847" s="62">
        <v>46261</v>
      </c>
      <c r="B847" s="63" t="s">
        <v>2151</v>
      </c>
      <c r="C847" s="64" t="s">
        <v>2157</v>
      </c>
      <c r="D847" s="66" t="s">
        <v>2158</v>
      </c>
      <c r="E847" s="67" t="s">
        <v>2159</v>
      </c>
      <c r="F847" s="66" t="s">
        <v>120</v>
      </c>
      <c r="G847" s="67" t="str">
        <f>VLOOKUP(F847,[6]装箱单!$A:$C,3,0)</f>
        <v>搪胶小鸭</v>
      </c>
      <c r="H847" s="67">
        <v>223</v>
      </c>
      <c r="I847" s="103">
        <f t="shared" si="193"/>
        <v>8028</v>
      </c>
      <c r="J847" s="68" t="s">
        <v>32</v>
      </c>
      <c r="K847" s="68" t="s">
        <v>33</v>
      </c>
      <c r="L847" s="103">
        <v>223</v>
      </c>
      <c r="M847" s="104">
        <f t="shared" si="189"/>
        <v>2.75189436158</v>
      </c>
      <c r="N847" s="69" t="s">
        <v>34</v>
      </c>
      <c r="O847" s="67" t="s">
        <v>1730</v>
      </c>
      <c r="P847" s="74"/>
      <c r="Q847" s="71">
        <f>VLOOKUP($F847,[6]装箱单!$A:$E,5,0)</f>
        <v>33.02</v>
      </c>
      <c r="R847" s="71">
        <f>VLOOKUP($F847,[6]装箱单!$A:$F,6,0)</f>
        <v>18.41</v>
      </c>
      <c r="S847" s="71">
        <f>VLOOKUP($F847,[6]装箱单!$A:$G,7,0)</f>
        <v>20.3</v>
      </c>
      <c r="T847" s="105">
        <f>VLOOKUP($F847,[6]装箱单!$A:$J,10,0)</f>
        <v>0.01234033346</v>
      </c>
      <c r="U847" s="71">
        <f t="shared" si="190"/>
        <v>2.75189436158</v>
      </c>
      <c r="V847" s="12"/>
    </row>
    <row r="848" s="1" customFormat="1" ht="29.1" customHeight="1" spans="1:22">
      <c r="A848" s="62">
        <v>46261</v>
      </c>
      <c r="B848" s="63" t="s">
        <v>2151</v>
      </c>
      <c r="C848" s="64" t="s">
        <v>2157</v>
      </c>
      <c r="D848" s="66" t="s">
        <v>2158</v>
      </c>
      <c r="E848" s="67" t="s">
        <v>2159</v>
      </c>
      <c r="F848" s="66" t="s">
        <v>120</v>
      </c>
      <c r="G848" s="67" t="str">
        <f>VLOOKUP(F848,[6]装箱单!$A:$C,3,0)</f>
        <v>搪胶小鸭</v>
      </c>
      <c r="H848" s="67">
        <v>195</v>
      </c>
      <c r="I848" s="103">
        <f t="shared" si="193"/>
        <v>7020</v>
      </c>
      <c r="J848" s="68" t="s">
        <v>32</v>
      </c>
      <c r="K848" s="68" t="s">
        <v>33</v>
      </c>
      <c r="L848" s="103">
        <v>195</v>
      </c>
      <c r="M848" s="104">
        <f t="shared" si="189"/>
        <v>2.4063650247</v>
      </c>
      <c r="N848" s="69" t="s">
        <v>34</v>
      </c>
      <c r="O848" s="67" t="s">
        <v>1731</v>
      </c>
      <c r="P848" s="74"/>
      <c r="Q848" s="71">
        <f>VLOOKUP($F848,[6]装箱单!$A:$E,5,0)</f>
        <v>33.02</v>
      </c>
      <c r="R848" s="71">
        <f>VLOOKUP($F848,[6]装箱单!$A:$F,6,0)</f>
        <v>18.41</v>
      </c>
      <c r="S848" s="71">
        <f>VLOOKUP($F848,[6]装箱单!$A:$G,7,0)</f>
        <v>20.3</v>
      </c>
      <c r="T848" s="105">
        <f>VLOOKUP($F848,[6]装箱单!$A:$J,10,0)</f>
        <v>0.01234033346</v>
      </c>
      <c r="U848" s="71">
        <f t="shared" si="190"/>
        <v>2.4063650247</v>
      </c>
      <c r="V848" s="12"/>
    </row>
    <row r="849" s="1" customFormat="1" ht="29.1" customHeight="1" spans="1:22">
      <c r="A849" s="62">
        <v>46261</v>
      </c>
      <c r="B849" s="63" t="s">
        <v>2151</v>
      </c>
      <c r="C849" s="64" t="s">
        <v>2157</v>
      </c>
      <c r="D849" s="66" t="s">
        <v>2158</v>
      </c>
      <c r="E849" s="67" t="s">
        <v>2159</v>
      </c>
      <c r="F849" s="66" t="s">
        <v>122</v>
      </c>
      <c r="G849" s="67" t="str">
        <f>VLOOKUP(F849,[6]装箱单!$A:$C,3,0)</f>
        <v>搪胶小鸭</v>
      </c>
      <c r="H849" s="67">
        <v>211</v>
      </c>
      <c r="I849" s="103">
        <f t="shared" si="193"/>
        <v>7596</v>
      </c>
      <c r="J849" s="68" t="s">
        <v>32</v>
      </c>
      <c r="K849" s="68" t="s">
        <v>33</v>
      </c>
      <c r="L849" s="103">
        <v>211</v>
      </c>
      <c r="M849" s="104">
        <f t="shared" si="189"/>
        <v>2.5061304716</v>
      </c>
      <c r="N849" s="69" t="s">
        <v>34</v>
      </c>
      <c r="O849" s="67" t="s">
        <v>2160</v>
      </c>
      <c r="P849" s="74"/>
      <c r="Q849" s="71">
        <f>VLOOKUP($F849,[6]装箱单!$A:$E,5,0)</f>
        <v>31.75</v>
      </c>
      <c r="R849" s="71">
        <f>VLOOKUP($F849,[6]装箱单!$A:$F,6,0)</f>
        <v>18.41</v>
      </c>
      <c r="S849" s="71">
        <f>VLOOKUP($F849,[6]装箱单!$A:$G,7,0)</f>
        <v>20.32</v>
      </c>
      <c r="T849" s="105">
        <f>VLOOKUP($F849,[6]装箱单!$A:$J,10,0)</f>
        <v>0.0118773956</v>
      </c>
      <c r="U849" s="71">
        <f t="shared" si="190"/>
        <v>2.5061304716</v>
      </c>
      <c r="V849" s="12"/>
    </row>
    <row r="850" s="1" customFormat="1" ht="29.1" customHeight="1" spans="1:22">
      <c r="A850" s="62">
        <v>46261</v>
      </c>
      <c r="B850" s="63" t="s">
        <v>2151</v>
      </c>
      <c r="C850" s="64" t="s">
        <v>2157</v>
      </c>
      <c r="D850" s="66" t="s">
        <v>2158</v>
      </c>
      <c r="E850" s="67" t="s">
        <v>2159</v>
      </c>
      <c r="F850" s="66" t="s">
        <v>122</v>
      </c>
      <c r="G850" s="67" t="str">
        <f>VLOOKUP(F850,[6]装箱单!$A:$C,3,0)</f>
        <v>搪胶小鸭</v>
      </c>
      <c r="H850" s="67">
        <f>+I850/36</f>
        <v>211</v>
      </c>
      <c r="I850" s="103">
        <f t="shared" si="193"/>
        <v>7596</v>
      </c>
      <c r="J850" s="68" t="s">
        <v>32</v>
      </c>
      <c r="K850" s="68" t="s">
        <v>33</v>
      </c>
      <c r="L850" s="103">
        <v>211</v>
      </c>
      <c r="M850" s="104">
        <f t="shared" si="189"/>
        <v>2.5061304716</v>
      </c>
      <c r="N850" s="69" t="s">
        <v>34</v>
      </c>
      <c r="O850" s="67" t="s">
        <v>2161</v>
      </c>
      <c r="P850" s="74"/>
      <c r="Q850" s="71">
        <f>VLOOKUP($F850,[6]装箱单!$A:$E,5,0)</f>
        <v>31.75</v>
      </c>
      <c r="R850" s="71">
        <f>VLOOKUP($F850,[6]装箱单!$A:$F,6,0)</f>
        <v>18.41</v>
      </c>
      <c r="S850" s="71">
        <f>VLOOKUP($F850,[6]装箱单!$A:$G,7,0)</f>
        <v>20.32</v>
      </c>
      <c r="T850" s="105">
        <f>VLOOKUP($F850,[6]装箱单!$A:$J,10,0)</f>
        <v>0.0118773956</v>
      </c>
      <c r="U850" s="71">
        <f t="shared" si="190"/>
        <v>2.5061304716</v>
      </c>
      <c r="V850" s="12"/>
    </row>
    <row r="851" s="1" customFormat="1" ht="29.1" customHeight="1" spans="1:22">
      <c r="A851" s="62">
        <v>46261</v>
      </c>
      <c r="B851" s="63" t="s">
        <v>242</v>
      </c>
      <c r="C851" s="64" t="s">
        <v>2162</v>
      </c>
      <c r="D851" s="66" t="s">
        <v>2163</v>
      </c>
      <c r="E851" s="67" t="s">
        <v>2164</v>
      </c>
      <c r="F851" s="66" t="s">
        <v>122</v>
      </c>
      <c r="G851" s="67" t="str">
        <f>VLOOKUP(F851,[6]装箱单!$A:$C,3,0)</f>
        <v>搪胶小鸭</v>
      </c>
      <c r="H851" s="67">
        <f>+I851/36</f>
        <v>325</v>
      </c>
      <c r="I851" s="103">
        <f t="shared" si="193"/>
        <v>11700</v>
      </c>
      <c r="J851" s="68" t="s">
        <v>32</v>
      </c>
      <c r="K851" s="68" t="s">
        <v>33</v>
      </c>
      <c r="L851" s="103">
        <v>325</v>
      </c>
      <c r="M851" s="104">
        <f t="shared" si="189"/>
        <v>3.86015357</v>
      </c>
      <c r="N851" s="69" t="s">
        <v>34</v>
      </c>
      <c r="O851" s="67"/>
      <c r="P851" s="74"/>
      <c r="Q851" s="71">
        <f>VLOOKUP($F851,[6]装箱单!$A:$E,5,0)</f>
        <v>31.75</v>
      </c>
      <c r="R851" s="71">
        <f>VLOOKUP($F851,[6]装箱单!$A:$F,6,0)</f>
        <v>18.41</v>
      </c>
      <c r="S851" s="71">
        <f>VLOOKUP($F851,[6]装箱单!$A:$G,7,0)</f>
        <v>20.32</v>
      </c>
      <c r="T851" s="105">
        <f>VLOOKUP($F851,[6]装箱单!$A:$J,10,0)</f>
        <v>0.0118773956</v>
      </c>
      <c r="U851" s="71">
        <f t="shared" si="190"/>
        <v>3.86015357</v>
      </c>
      <c r="V851" s="12"/>
    </row>
    <row r="852" s="1" customFormat="1" ht="29.1" customHeight="1" spans="1:22">
      <c r="A852" s="62">
        <v>46261</v>
      </c>
      <c r="B852" s="63" t="s">
        <v>40</v>
      </c>
      <c r="C852" s="64" t="s">
        <v>2136</v>
      </c>
      <c r="D852" s="66" t="s">
        <v>2137</v>
      </c>
      <c r="E852" s="140" t="s">
        <v>2138</v>
      </c>
      <c r="F852" s="66" t="s">
        <v>306</v>
      </c>
      <c r="G852" s="67" t="str">
        <f>VLOOKUP(F852,[6]装箱单!$A:$C,3,0)</f>
        <v>背包狗</v>
      </c>
      <c r="H852" s="67">
        <v>573</v>
      </c>
      <c r="I852" s="68">
        <f t="shared" ref="I852:I854" si="194">+L852</f>
        <v>573</v>
      </c>
      <c r="J852" s="68" t="s">
        <v>32</v>
      </c>
      <c r="K852" s="68" t="s">
        <v>33</v>
      </c>
      <c r="L852" s="69">
        <v>573</v>
      </c>
      <c r="M852" s="104">
        <f t="shared" si="189"/>
        <v>9.031802017005</v>
      </c>
      <c r="N852" s="69" t="s">
        <v>34</v>
      </c>
      <c r="O852" s="67"/>
      <c r="P852" s="74"/>
      <c r="Q852" s="71">
        <f>VLOOKUP($F852,[6]装箱单!$A:$E,5,0)</f>
        <v>24.13</v>
      </c>
      <c r="R852" s="71">
        <f>VLOOKUP($F852,[6]装箱单!$A:$F,6,0)</f>
        <v>19.05</v>
      </c>
      <c r="S852" s="71">
        <f>VLOOKUP($F852,[6]装箱单!$A:$G,7,0)</f>
        <v>34.29</v>
      </c>
      <c r="T852" s="105">
        <f>VLOOKUP($F852,[6]装箱单!$A:$J,10,0)</f>
        <v>0.015762307185</v>
      </c>
      <c r="U852" s="71">
        <f t="shared" si="190"/>
        <v>9.031802017005</v>
      </c>
      <c r="V852" s="12"/>
    </row>
    <row r="853" s="1" customFormat="1" ht="29.1" customHeight="1" spans="1:22">
      <c r="A853" s="62">
        <v>46261</v>
      </c>
      <c r="B853" s="63" t="s">
        <v>40</v>
      </c>
      <c r="C853" s="64" t="s">
        <v>2139</v>
      </c>
      <c r="D853" s="66" t="s">
        <v>2140</v>
      </c>
      <c r="E853" s="140" t="s">
        <v>2141</v>
      </c>
      <c r="F853" s="66" t="s">
        <v>306</v>
      </c>
      <c r="G853" s="67" t="str">
        <f>VLOOKUP(F853,[6]装箱单!$A:$C,3,0)</f>
        <v>背包狗</v>
      </c>
      <c r="H853" s="67">
        <v>573</v>
      </c>
      <c r="I853" s="68">
        <f t="shared" si="194"/>
        <v>573</v>
      </c>
      <c r="J853" s="68" t="s">
        <v>32</v>
      </c>
      <c r="K853" s="68" t="s">
        <v>33</v>
      </c>
      <c r="L853" s="69">
        <v>573</v>
      </c>
      <c r="M853" s="104">
        <f t="shared" si="189"/>
        <v>9.031802017005</v>
      </c>
      <c r="N853" s="69" t="s">
        <v>34</v>
      </c>
      <c r="O853" s="67"/>
      <c r="P853" s="74"/>
      <c r="Q853" s="71">
        <f>VLOOKUP($F853,[6]装箱单!$A:$E,5,0)</f>
        <v>24.13</v>
      </c>
      <c r="R853" s="71">
        <f>VLOOKUP($F853,[6]装箱单!$A:$F,6,0)</f>
        <v>19.05</v>
      </c>
      <c r="S853" s="71">
        <f>VLOOKUP($F853,[6]装箱单!$A:$G,7,0)</f>
        <v>34.29</v>
      </c>
      <c r="T853" s="105">
        <f>VLOOKUP($F853,[6]装箱单!$A:$J,10,0)</f>
        <v>0.015762307185</v>
      </c>
      <c r="U853" s="71">
        <f t="shared" si="190"/>
        <v>9.031802017005</v>
      </c>
      <c r="V853" s="12"/>
    </row>
    <row r="854" s="1" customFormat="1" ht="29.1" customHeight="1" spans="1:22">
      <c r="A854" s="62">
        <v>46261</v>
      </c>
      <c r="B854" s="63" t="s">
        <v>40</v>
      </c>
      <c r="C854" s="64" t="s">
        <v>2142</v>
      </c>
      <c r="D854" s="66" t="s">
        <v>2143</v>
      </c>
      <c r="E854" s="140" t="s">
        <v>2144</v>
      </c>
      <c r="F854" s="66" t="s">
        <v>306</v>
      </c>
      <c r="G854" s="67" t="str">
        <f>VLOOKUP(F854,[6]装箱单!$A:$C,3,0)</f>
        <v>背包狗</v>
      </c>
      <c r="H854" s="67">
        <v>573</v>
      </c>
      <c r="I854" s="68">
        <f t="shared" si="194"/>
        <v>573</v>
      </c>
      <c r="J854" s="68" t="s">
        <v>32</v>
      </c>
      <c r="K854" s="68" t="s">
        <v>33</v>
      </c>
      <c r="L854" s="69">
        <v>573</v>
      </c>
      <c r="M854" s="104">
        <f t="shared" si="189"/>
        <v>9.031802017005</v>
      </c>
      <c r="N854" s="69" t="s">
        <v>34</v>
      </c>
      <c r="O854" s="67"/>
      <c r="P854" s="74"/>
      <c r="Q854" s="71">
        <f>VLOOKUP($F854,[6]装箱单!$A:$E,5,0)</f>
        <v>24.13</v>
      </c>
      <c r="R854" s="71">
        <f>VLOOKUP($F854,[6]装箱单!$A:$F,6,0)</f>
        <v>19.05</v>
      </c>
      <c r="S854" s="71">
        <f>VLOOKUP($F854,[6]装箱单!$A:$G,7,0)</f>
        <v>34.29</v>
      </c>
      <c r="T854" s="105">
        <f>VLOOKUP($F854,[6]装箱单!$A:$J,10,0)</f>
        <v>0.015762307185</v>
      </c>
      <c r="U854" s="71">
        <f t="shared" si="190"/>
        <v>9.031802017005</v>
      </c>
      <c r="V854" s="12"/>
    </row>
    <row r="855" s="1" customFormat="1" ht="29.1" customHeight="1" spans="1:22">
      <c r="A855" s="62">
        <v>46261</v>
      </c>
      <c r="B855" s="63" t="s">
        <v>1133</v>
      </c>
      <c r="C855" s="64" t="s">
        <v>2165</v>
      </c>
      <c r="D855" s="66" t="s">
        <v>1237</v>
      </c>
      <c r="E855" s="67" t="s">
        <v>2166</v>
      </c>
      <c r="F855" s="66">
        <v>46132</v>
      </c>
      <c r="G855" s="67" t="str">
        <f>VLOOKUP(F855,[6]装箱单!$A:$C,3,0)</f>
        <v>赛车总动员系列</v>
      </c>
      <c r="H855" s="67">
        <f>+I855/2</f>
        <v>279</v>
      </c>
      <c r="I855" s="103">
        <f>+L855*2</f>
        <v>558</v>
      </c>
      <c r="J855" s="68" t="s">
        <v>32</v>
      </c>
      <c r="K855" s="68" t="s">
        <v>33</v>
      </c>
      <c r="L855" s="103">
        <v>279</v>
      </c>
      <c r="M855" s="104">
        <f t="shared" si="189"/>
        <v>6.240035330928</v>
      </c>
      <c r="N855" s="69" t="s">
        <v>34</v>
      </c>
      <c r="O855" s="67"/>
      <c r="P855" s="74"/>
      <c r="Q855" s="71">
        <f>VLOOKUP($F855,[6]装箱单!$A:$E,5,0)</f>
        <v>40.01</v>
      </c>
      <c r="R855" s="71">
        <f>VLOOKUP($F855,[6]装箱单!$A:$F,6,0)</f>
        <v>26.67</v>
      </c>
      <c r="S855" s="71">
        <f>VLOOKUP($F855,[6]装箱单!$A:$G,7,0)</f>
        <v>20.96</v>
      </c>
      <c r="T855" s="105">
        <f>VLOOKUP($F855,[6]装箱单!$A:$J,10,0)</f>
        <v>0.022365718032</v>
      </c>
      <c r="U855" s="71">
        <f t="shared" si="190"/>
        <v>6.240035330928</v>
      </c>
      <c r="V855" s="12"/>
    </row>
    <row r="856" s="1" customFormat="1" ht="29.1" customHeight="1" spans="1:22">
      <c r="A856" s="62"/>
      <c r="B856" s="63"/>
      <c r="C856" s="64"/>
      <c r="D856" s="66"/>
      <c r="E856" s="67"/>
      <c r="F856" s="66"/>
      <c r="G856" s="67"/>
      <c r="H856" s="67"/>
      <c r="I856" s="103"/>
      <c r="J856" s="68"/>
      <c r="K856" s="68"/>
      <c r="L856" s="103"/>
      <c r="M856" s="104">
        <f>SUM(M834:M855)</f>
        <v>134.952121712311</v>
      </c>
      <c r="N856" s="69"/>
      <c r="O856" s="67"/>
      <c r="P856" s="75"/>
      <c r="Q856" s="71"/>
      <c r="R856" s="71"/>
      <c r="S856" s="71"/>
      <c r="T856" s="105"/>
      <c r="U856" s="71"/>
      <c r="V856" s="12"/>
    </row>
    <row r="857" s="1" customFormat="1" ht="29.1" customHeight="1" spans="1:22">
      <c r="A857" s="62">
        <v>46262</v>
      </c>
      <c r="B857" s="63" t="s">
        <v>40</v>
      </c>
      <c r="C857" s="64" t="s">
        <v>2167</v>
      </c>
      <c r="D857" s="66" t="s">
        <v>2168</v>
      </c>
      <c r="E857" s="140" t="s">
        <v>2169</v>
      </c>
      <c r="F857" s="66">
        <v>28483</v>
      </c>
      <c r="G857" s="67" t="str">
        <f>VLOOKUP(F857,[6]装箱单!$A:$C,3,0)</f>
        <v>振动球</v>
      </c>
      <c r="H857" s="67">
        <f t="shared" ref="H857:H859" si="195">+I857</f>
        <v>1800</v>
      </c>
      <c r="I857" s="103">
        <f t="shared" ref="I857:I862" si="196">+L857</f>
        <v>1800</v>
      </c>
      <c r="J857" s="68" t="s">
        <v>32</v>
      </c>
      <c r="K857" s="68" t="s">
        <v>33</v>
      </c>
      <c r="L857" s="103">
        <v>1800</v>
      </c>
      <c r="M857" s="104">
        <f t="shared" ref="M857:M862" si="197">+U857</f>
        <v>10.390842</v>
      </c>
      <c r="N857" s="69" t="s">
        <v>34</v>
      </c>
      <c r="O857" s="67"/>
      <c r="P857" s="70" t="s">
        <v>2031</v>
      </c>
      <c r="Q857" s="71">
        <f>VLOOKUP($F857,[6]装箱单!$A:$E,5,0)</f>
        <v>16.83</v>
      </c>
      <c r="R857" s="71">
        <f>VLOOKUP($F857,[6]装箱单!$A:$F,6,0)</f>
        <v>17.15</v>
      </c>
      <c r="S857" s="71">
        <f>VLOOKUP($F857,[6]装箱单!$A:$G,7,0)</f>
        <v>20</v>
      </c>
      <c r="T857" s="105">
        <f>VLOOKUP($F857,[6]装箱单!$A:$J,10,0)</f>
        <v>0.00577269</v>
      </c>
      <c r="U857" s="71">
        <f t="shared" ref="U857:U862" si="198">+T857*L857</f>
        <v>10.390842</v>
      </c>
      <c r="V857" s="12"/>
    </row>
    <row r="858" s="1" customFormat="1" ht="29.1" customHeight="1" spans="1:22">
      <c r="A858" s="62">
        <v>46262</v>
      </c>
      <c r="B858" s="63" t="s">
        <v>40</v>
      </c>
      <c r="C858" s="64" t="s">
        <v>2142</v>
      </c>
      <c r="D858" s="66" t="s">
        <v>2143</v>
      </c>
      <c r="E858" s="140" t="s">
        <v>2144</v>
      </c>
      <c r="F858" s="66">
        <v>28483</v>
      </c>
      <c r="G858" s="67" t="str">
        <f>VLOOKUP(F858,[6]装箱单!$A:$C,3,0)</f>
        <v>振动球</v>
      </c>
      <c r="H858" s="67">
        <f t="shared" si="195"/>
        <v>1800</v>
      </c>
      <c r="I858" s="103">
        <f t="shared" si="196"/>
        <v>1800</v>
      </c>
      <c r="J858" s="68" t="s">
        <v>32</v>
      </c>
      <c r="K858" s="68" t="s">
        <v>33</v>
      </c>
      <c r="L858" s="103">
        <v>1800</v>
      </c>
      <c r="M858" s="104">
        <f t="shared" si="197"/>
        <v>10.390842</v>
      </c>
      <c r="N858" s="69" t="s">
        <v>34</v>
      </c>
      <c r="O858" s="67"/>
      <c r="P858" s="74"/>
      <c r="Q858" s="71">
        <f>VLOOKUP($F858,[6]装箱单!$A:$E,5,0)</f>
        <v>16.83</v>
      </c>
      <c r="R858" s="71">
        <f>VLOOKUP($F858,[6]装箱单!$A:$F,6,0)</f>
        <v>17.15</v>
      </c>
      <c r="S858" s="71">
        <f>VLOOKUP($F858,[6]装箱单!$A:$G,7,0)</f>
        <v>20</v>
      </c>
      <c r="T858" s="105">
        <f>VLOOKUP($F858,[6]装箱单!$A:$J,10,0)</f>
        <v>0.00577269</v>
      </c>
      <c r="U858" s="71">
        <f t="shared" si="198"/>
        <v>10.390842</v>
      </c>
      <c r="V858" s="12"/>
    </row>
    <row r="859" s="1" customFormat="1" ht="29.1" customHeight="1" spans="1:22">
      <c r="A859" s="62">
        <v>46262</v>
      </c>
      <c r="B859" s="63" t="s">
        <v>40</v>
      </c>
      <c r="C859" s="64" t="s">
        <v>2145</v>
      </c>
      <c r="D859" s="66" t="s">
        <v>2146</v>
      </c>
      <c r="E859" s="140" t="s">
        <v>2147</v>
      </c>
      <c r="F859" s="66">
        <v>28483</v>
      </c>
      <c r="G859" s="67" t="str">
        <f>VLOOKUP(F859,[6]装箱单!$A:$C,3,0)</f>
        <v>振动球</v>
      </c>
      <c r="H859" s="67">
        <f t="shared" si="195"/>
        <v>1800</v>
      </c>
      <c r="I859" s="103">
        <f t="shared" si="196"/>
        <v>1800</v>
      </c>
      <c r="J859" s="68" t="s">
        <v>32</v>
      </c>
      <c r="K859" s="68" t="s">
        <v>33</v>
      </c>
      <c r="L859" s="103">
        <v>1800</v>
      </c>
      <c r="M859" s="104">
        <f t="shared" si="197"/>
        <v>10.390842</v>
      </c>
      <c r="N859" s="69" t="s">
        <v>34</v>
      </c>
      <c r="O859" s="67"/>
      <c r="P859" s="74"/>
      <c r="Q859" s="71">
        <f>VLOOKUP($F859,[6]装箱单!$A:$E,5,0)</f>
        <v>16.83</v>
      </c>
      <c r="R859" s="71">
        <f>VLOOKUP($F859,[6]装箱单!$A:$F,6,0)</f>
        <v>17.15</v>
      </c>
      <c r="S859" s="71">
        <f>VLOOKUP($F859,[6]装箱单!$A:$G,7,0)</f>
        <v>20</v>
      </c>
      <c r="T859" s="105">
        <f>VLOOKUP($F859,[6]装箱单!$A:$J,10,0)</f>
        <v>0.00577269</v>
      </c>
      <c r="U859" s="71">
        <f t="shared" si="198"/>
        <v>10.390842</v>
      </c>
      <c r="V859" s="12"/>
    </row>
    <row r="860" s="1" customFormat="1" ht="29.1" customHeight="1" spans="1:22">
      <c r="A860" s="62">
        <v>46262</v>
      </c>
      <c r="B860" s="63" t="s">
        <v>40</v>
      </c>
      <c r="C860" s="64" t="s">
        <v>2170</v>
      </c>
      <c r="D860" s="66" t="s">
        <v>2171</v>
      </c>
      <c r="E860" s="140" t="s">
        <v>2172</v>
      </c>
      <c r="F860" s="66">
        <v>28483</v>
      </c>
      <c r="G860" s="67" t="str">
        <f>VLOOKUP(F860,[6]装箱单!$A:$C,3,0)</f>
        <v>振动球</v>
      </c>
      <c r="H860" s="67">
        <v>2160</v>
      </c>
      <c r="I860" s="68">
        <f t="shared" si="196"/>
        <v>2160</v>
      </c>
      <c r="J860" s="68" t="s">
        <v>32</v>
      </c>
      <c r="K860" s="68" t="s">
        <v>33</v>
      </c>
      <c r="L860" s="69">
        <v>2160</v>
      </c>
      <c r="M860" s="104">
        <f t="shared" si="197"/>
        <v>12.4690104</v>
      </c>
      <c r="N860" s="69" t="s">
        <v>34</v>
      </c>
      <c r="O860" s="67" t="s">
        <v>2173</v>
      </c>
      <c r="P860" s="74"/>
      <c r="Q860" s="71">
        <f>VLOOKUP($F860,[6]装箱单!$A:$E,5,0)</f>
        <v>16.83</v>
      </c>
      <c r="R860" s="71">
        <f>VLOOKUP($F860,[6]装箱单!$A:$F,6,0)</f>
        <v>17.15</v>
      </c>
      <c r="S860" s="71">
        <f>VLOOKUP($F860,[6]装箱单!$A:$G,7,0)</f>
        <v>20</v>
      </c>
      <c r="T860" s="105">
        <f>VLOOKUP($F860,[6]装箱单!$A:$J,10,0)</f>
        <v>0.00577269</v>
      </c>
      <c r="U860" s="71">
        <f t="shared" si="198"/>
        <v>12.4690104</v>
      </c>
      <c r="V860" s="12"/>
    </row>
    <row r="861" s="1" customFormat="1" ht="29.1" customHeight="1" spans="1:22">
      <c r="A861" s="62">
        <v>46262</v>
      </c>
      <c r="B861" s="63" t="s">
        <v>40</v>
      </c>
      <c r="C861" s="64" t="s">
        <v>2174</v>
      </c>
      <c r="D861" s="66" t="s">
        <v>2175</v>
      </c>
      <c r="E861" s="140" t="s">
        <v>2176</v>
      </c>
      <c r="F861" s="66">
        <v>28483</v>
      </c>
      <c r="G861" s="67" t="str">
        <f>VLOOKUP(F861,[6]装箱单!$A:$C,3,0)</f>
        <v>振动球</v>
      </c>
      <c r="H861" s="67">
        <v>2340</v>
      </c>
      <c r="I861" s="68">
        <f t="shared" si="196"/>
        <v>2340</v>
      </c>
      <c r="J861" s="68" t="s">
        <v>32</v>
      </c>
      <c r="K861" s="68" t="s">
        <v>33</v>
      </c>
      <c r="L861" s="69">
        <v>2340</v>
      </c>
      <c r="M861" s="104">
        <f t="shared" si="197"/>
        <v>13.5080946</v>
      </c>
      <c r="N861" s="69" t="s">
        <v>34</v>
      </c>
      <c r="O861" s="67" t="s">
        <v>2173</v>
      </c>
      <c r="P861" s="74"/>
      <c r="Q861" s="71">
        <f>VLOOKUP($F861,[6]装箱单!$A:$E,5,0)</f>
        <v>16.83</v>
      </c>
      <c r="R861" s="71">
        <f>VLOOKUP($F861,[6]装箱单!$A:$F,6,0)</f>
        <v>17.15</v>
      </c>
      <c r="S861" s="71">
        <f>VLOOKUP($F861,[6]装箱单!$A:$G,7,0)</f>
        <v>20</v>
      </c>
      <c r="T861" s="105">
        <f>VLOOKUP($F861,[6]装箱单!$A:$J,10,0)</f>
        <v>0.00577269</v>
      </c>
      <c r="U861" s="71">
        <f t="shared" si="198"/>
        <v>13.5080946</v>
      </c>
      <c r="V861" s="12"/>
    </row>
    <row r="862" s="1" customFormat="1" ht="29.1" customHeight="1" spans="1:22">
      <c r="A862" s="62">
        <v>46262</v>
      </c>
      <c r="B862" s="63" t="s">
        <v>415</v>
      </c>
      <c r="C862" s="64">
        <v>47018</v>
      </c>
      <c r="D862" s="66" t="s">
        <v>1823</v>
      </c>
      <c r="E862" s="67"/>
      <c r="F862" s="66">
        <v>470764</v>
      </c>
      <c r="G862" s="67" t="str">
        <f>VLOOKUP(F862,[6]装箱单!$A:$C,3,0)</f>
        <v>大型自卸车</v>
      </c>
      <c r="H862" s="67">
        <v>2494</v>
      </c>
      <c r="I862" s="103">
        <f t="shared" si="196"/>
        <v>2494</v>
      </c>
      <c r="J862" s="68" t="s">
        <v>32</v>
      </c>
      <c r="K862" s="68" t="s">
        <v>33</v>
      </c>
      <c r="L862" s="103">
        <v>2494</v>
      </c>
      <c r="M862" s="104">
        <f t="shared" si="197"/>
        <v>66.829224</v>
      </c>
      <c r="N862" s="69" t="s">
        <v>34</v>
      </c>
      <c r="O862" s="67" t="s">
        <v>2177</v>
      </c>
      <c r="P862" s="74"/>
      <c r="Q862" s="71">
        <f>VLOOKUP($F862,[6]装箱单!$A:$E,5,0)</f>
        <v>42</v>
      </c>
      <c r="R862" s="71">
        <f>VLOOKUP($F862,[6]装箱单!$A:$F,6,0)</f>
        <v>22</v>
      </c>
      <c r="S862" s="71">
        <f>VLOOKUP($F862,[6]装箱单!$A:$G,7,0)</f>
        <v>29</v>
      </c>
      <c r="T862" s="105">
        <f>VLOOKUP($F862,[6]装箱单!$A:$J,10,0)</f>
        <v>0.026796</v>
      </c>
      <c r="U862" s="71">
        <f t="shared" si="198"/>
        <v>66.829224</v>
      </c>
      <c r="V862" s="12"/>
    </row>
    <row r="863" s="1" customFormat="1" ht="29.1" customHeight="1" spans="1:22">
      <c r="A863" s="62">
        <v>46262</v>
      </c>
      <c r="B863" s="63" t="s">
        <v>2005</v>
      </c>
      <c r="C863" s="64"/>
      <c r="D863" s="66"/>
      <c r="E863" s="67"/>
      <c r="F863" s="66" t="s">
        <v>2178</v>
      </c>
      <c r="G863" s="67" t="s">
        <v>2179</v>
      </c>
      <c r="H863" s="89">
        <v>180</v>
      </c>
      <c r="I863" s="67">
        <v>7000</v>
      </c>
      <c r="J863" s="68" t="s">
        <v>32</v>
      </c>
      <c r="K863" s="68" t="s">
        <v>218</v>
      </c>
      <c r="L863" s="107">
        <v>180</v>
      </c>
      <c r="M863" s="108">
        <v>2</v>
      </c>
      <c r="N863" s="69"/>
      <c r="O863" s="67"/>
      <c r="P863" s="74"/>
      <c r="Q863" s="71"/>
      <c r="R863" s="71"/>
      <c r="S863" s="71"/>
      <c r="T863" s="105"/>
      <c r="U863" s="71"/>
      <c r="V863" s="12"/>
    </row>
    <row r="864" s="1" customFormat="1" ht="29.1" customHeight="1" spans="1:22">
      <c r="A864" s="62">
        <v>46262</v>
      </c>
      <c r="B864" s="63" t="s">
        <v>2005</v>
      </c>
      <c r="C864" s="64"/>
      <c r="D864" s="66"/>
      <c r="E864" s="67"/>
      <c r="F864" s="66" t="s">
        <v>2178</v>
      </c>
      <c r="G864" s="67" t="s">
        <v>2180</v>
      </c>
      <c r="H864" s="91"/>
      <c r="I864" s="67">
        <v>3000</v>
      </c>
      <c r="J864" s="68" t="s">
        <v>32</v>
      </c>
      <c r="K864" s="68" t="s">
        <v>218</v>
      </c>
      <c r="L864" s="109"/>
      <c r="M864" s="110"/>
      <c r="N864" s="69"/>
      <c r="O864" s="67"/>
      <c r="P864" s="74"/>
      <c r="Q864" s="71"/>
      <c r="R864" s="71"/>
      <c r="S864" s="71"/>
      <c r="T864" s="105"/>
      <c r="U864" s="71"/>
      <c r="V864" s="12"/>
    </row>
    <row r="865" s="1" customFormat="1" ht="29.1" customHeight="1" spans="1:22">
      <c r="A865" s="62">
        <v>46262</v>
      </c>
      <c r="B865" s="63" t="s">
        <v>2005</v>
      </c>
      <c r="C865" s="64"/>
      <c r="D865" s="66"/>
      <c r="E865" s="67"/>
      <c r="F865" s="66" t="s">
        <v>2178</v>
      </c>
      <c r="G865" s="67" t="s">
        <v>2181</v>
      </c>
      <c r="H865" s="87"/>
      <c r="I865" s="67">
        <v>2500</v>
      </c>
      <c r="J865" s="68" t="s">
        <v>32</v>
      </c>
      <c r="K865" s="68" t="s">
        <v>218</v>
      </c>
      <c r="L865" s="111"/>
      <c r="M865" s="112"/>
      <c r="N865" s="69"/>
      <c r="O865" s="67"/>
      <c r="P865" s="74"/>
      <c r="Q865" s="71"/>
      <c r="R865" s="71"/>
      <c r="S865" s="71"/>
      <c r="T865" s="105"/>
      <c r="U865" s="71"/>
      <c r="V865" s="12"/>
    </row>
    <row r="866" s="1" customFormat="1" ht="29.1" customHeight="1" spans="1:22">
      <c r="A866" s="62"/>
      <c r="B866" s="63"/>
      <c r="C866" s="64"/>
      <c r="D866" s="66"/>
      <c r="E866" s="67"/>
      <c r="F866" s="66"/>
      <c r="G866" s="67"/>
      <c r="H866" s="67"/>
      <c r="I866" s="103"/>
      <c r="J866" s="68"/>
      <c r="K866" s="68"/>
      <c r="L866" s="103"/>
      <c r="M866" s="104">
        <f>SUM(M857:M865)</f>
        <v>125.978855</v>
      </c>
      <c r="N866" s="69"/>
      <c r="O866" s="67"/>
      <c r="P866" s="75"/>
      <c r="Q866" s="71"/>
      <c r="R866" s="71"/>
      <c r="S866" s="71"/>
      <c r="T866" s="105"/>
      <c r="U866" s="71"/>
      <c r="V866" s="12"/>
    </row>
    <row r="867" s="1" customFormat="1" ht="29.1" customHeight="1" spans="1:22">
      <c r="A867" s="62">
        <v>46263</v>
      </c>
      <c r="B867" s="63" t="s">
        <v>52</v>
      </c>
      <c r="C867" s="64">
        <v>47470</v>
      </c>
      <c r="D867" s="66" t="s">
        <v>2052</v>
      </c>
      <c r="E867" s="67"/>
      <c r="F867" s="66">
        <v>571299</v>
      </c>
      <c r="G867" s="67" t="str">
        <f>VLOOKUP(F867,[6]装箱单!$A:$C,3,0)</f>
        <v>自卸车</v>
      </c>
      <c r="H867" s="67">
        <v>5000</v>
      </c>
      <c r="I867" s="103">
        <f>+L867</f>
        <v>4224</v>
      </c>
      <c r="J867" s="68" t="s">
        <v>32</v>
      </c>
      <c r="K867" s="68" t="s">
        <v>33</v>
      </c>
      <c r="L867" s="113">
        <v>4224</v>
      </c>
      <c r="M867" s="104">
        <f t="shared" ref="M867:M875" si="199">+U867</f>
        <v>113.186304</v>
      </c>
      <c r="N867" s="69" t="s">
        <v>34</v>
      </c>
      <c r="O867" s="67"/>
      <c r="P867" s="70" t="s">
        <v>127</v>
      </c>
      <c r="Q867" s="71">
        <f>VLOOKUP($F867,[6]装箱单!$A:$E,5,0)</f>
        <v>42</v>
      </c>
      <c r="R867" s="71">
        <f>VLOOKUP($F867,[6]装箱单!$A:$F,6,0)</f>
        <v>22</v>
      </c>
      <c r="S867" s="71">
        <f>VLOOKUP($F867,[6]装箱单!$A:$G,7,0)</f>
        <v>29</v>
      </c>
      <c r="T867" s="105">
        <f>VLOOKUP($F867,[6]装箱单!$A:$J,10,0)</f>
        <v>0.026796</v>
      </c>
      <c r="U867" s="71">
        <f t="shared" ref="U867:U875" si="200">+T867*L867</f>
        <v>113.186304</v>
      </c>
      <c r="V867" s="12"/>
    </row>
    <row r="868" s="1" customFormat="1" ht="29.1" customHeight="1" spans="1:22">
      <c r="A868" s="62">
        <v>46263</v>
      </c>
      <c r="B868" s="63" t="s">
        <v>1722</v>
      </c>
      <c r="C868" s="64" t="s">
        <v>2124</v>
      </c>
      <c r="D868" s="66" t="s">
        <v>2125</v>
      </c>
      <c r="E868" s="67" t="s">
        <v>2126</v>
      </c>
      <c r="F868" s="66" t="s">
        <v>175</v>
      </c>
      <c r="G868" s="67" t="str">
        <f>VLOOKUP(F868,[6]装箱单!$A:$C,3,0)</f>
        <v>投影米奇</v>
      </c>
      <c r="H868" s="67">
        <v>309</v>
      </c>
      <c r="I868" s="103">
        <f t="shared" ref="I868:I872" si="201">+L868*4</f>
        <v>308</v>
      </c>
      <c r="J868" s="68" t="s">
        <v>32</v>
      </c>
      <c r="K868" s="68" t="s">
        <v>33</v>
      </c>
      <c r="L868" s="103">
        <f>309-232</f>
        <v>77</v>
      </c>
      <c r="M868" s="104">
        <f t="shared" si="199"/>
        <v>7.73813088257825</v>
      </c>
      <c r="N868" s="69" t="s">
        <v>34</v>
      </c>
      <c r="O868" s="67"/>
      <c r="P868" s="74"/>
      <c r="Q868" s="71">
        <f>VLOOKUP($F868,[6]装箱单!$A:$E,5,0)</f>
        <v>64.135</v>
      </c>
      <c r="R868" s="71">
        <f>VLOOKUP($F868,[6]装箱单!$A:$F,6,0)</f>
        <v>36.83</v>
      </c>
      <c r="S868" s="71">
        <f>VLOOKUP($F868,[6]装箱单!$A:$G,7,0)</f>
        <v>42.545</v>
      </c>
      <c r="T868" s="105">
        <f>VLOOKUP($F868,[6]装箱单!$A:$J,10,0)</f>
        <v>0.10049520626725</v>
      </c>
      <c r="U868" s="71">
        <f t="shared" si="200"/>
        <v>7.73813088257825</v>
      </c>
      <c r="V868" s="12"/>
    </row>
    <row r="869" s="1" customFormat="1" ht="29.1" customHeight="1" spans="1:22">
      <c r="A869" s="62">
        <v>46263</v>
      </c>
      <c r="B869" s="63" t="s">
        <v>40</v>
      </c>
      <c r="C869" s="64" t="s">
        <v>2132</v>
      </c>
      <c r="D869" s="66" t="s">
        <v>2133</v>
      </c>
      <c r="E869" s="140" t="s">
        <v>2134</v>
      </c>
      <c r="F869" s="66">
        <v>28483</v>
      </c>
      <c r="G869" s="67" t="str">
        <f>VLOOKUP(F869,[6]装箱单!$A:$C,3,0)</f>
        <v>振动球</v>
      </c>
      <c r="H869" s="67">
        <v>1800</v>
      </c>
      <c r="I869" s="68">
        <f>+L869</f>
        <v>1800</v>
      </c>
      <c r="J869" s="68" t="s">
        <v>32</v>
      </c>
      <c r="K869" s="68" t="s">
        <v>33</v>
      </c>
      <c r="L869" s="69">
        <v>1800</v>
      </c>
      <c r="M869" s="104">
        <f t="shared" si="199"/>
        <v>10.390842</v>
      </c>
      <c r="N869" s="69" t="s">
        <v>34</v>
      </c>
      <c r="O869" s="67" t="s">
        <v>2135</v>
      </c>
      <c r="P869" s="74"/>
      <c r="Q869" s="71">
        <f>VLOOKUP($F869,[6]装箱单!$A:$E,5,0)</f>
        <v>16.83</v>
      </c>
      <c r="R869" s="71">
        <f>VLOOKUP($F869,[6]装箱单!$A:$F,6,0)</f>
        <v>17.15</v>
      </c>
      <c r="S869" s="71">
        <f>VLOOKUP($F869,[6]装箱单!$A:$G,7,0)</f>
        <v>20</v>
      </c>
      <c r="T869" s="105">
        <f>VLOOKUP($F869,[6]装箱单!$A:$J,10,0)</f>
        <v>0.00577269</v>
      </c>
      <c r="U869" s="71">
        <f t="shared" si="200"/>
        <v>10.390842</v>
      </c>
      <c r="V869" s="12"/>
    </row>
    <row r="870" s="1" customFormat="1" ht="29.1" customHeight="1" spans="1:22">
      <c r="A870" s="62">
        <v>46263</v>
      </c>
      <c r="B870" s="63" t="s">
        <v>2005</v>
      </c>
      <c r="C870" s="64" t="s">
        <v>2010</v>
      </c>
      <c r="D870" s="66"/>
      <c r="E870" s="67"/>
      <c r="F870" s="66">
        <v>263715</v>
      </c>
      <c r="G870" s="67" t="str">
        <f>VLOOKUP(F870,[6]装箱单!$A:$C,3,0)</f>
        <v>彩发黄爱心</v>
      </c>
      <c r="H870" s="67">
        <v>50</v>
      </c>
      <c r="I870" s="68">
        <f t="shared" si="201"/>
        <v>92</v>
      </c>
      <c r="J870" s="68" t="s">
        <v>32</v>
      </c>
      <c r="K870" s="68" t="s">
        <v>33</v>
      </c>
      <c r="L870" s="69">
        <v>23</v>
      </c>
      <c r="M870" s="104">
        <f t="shared" si="199"/>
        <v>1.804609035936</v>
      </c>
      <c r="N870" s="69" t="s">
        <v>34</v>
      </c>
      <c r="O870" s="67"/>
      <c r="P870" s="74"/>
      <c r="Q870" s="71">
        <f>VLOOKUP($F870,[6]装箱单!$A:$E,5,0)</f>
        <v>60.96</v>
      </c>
      <c r="R870" s="71">
        <f>VLOOKUP($F870,[6]装箱单!$A:$F,6,0)</f>
        <v>35.56</v>
      </c>
      <c r="S870" s="71">
        <f>VLOOKUP($F870,[6]装箱单!$A:$G,7,0)</f>
        <v>36.195</v>
      </c>
      <c r="T870" s="105">
        <f>VLOOKUP($F870,[6]装箱单!$A:$J,10,0)</f>
        <v>0.078461262432</v>
      </c>
      <c r="U870" s="71">
        <f t="shared" si="200"/>
        <v>1.804609035936</v>
      </c>
      <c r="V870" s="12"/>
    </row>
    <row r="871" s="1" customFormat="1" ht="29.1" customHeight="1" spans="1:22">
      <c r="A871" s="62">
        <v>46263</v>
      </c>
      <c r="B871" s="63" t="s">
        <v>2005</v>
      </c>
      <c r="C871" s="64" t="s">
        <v>2010</v>
      </c>
      <c r="D871" s="66"/>
      <c r="E871" s="67"/>
      <c r="F871" s="66">
        <v>263712</v>
      </c>
      <c r="G871" s="67" t="str">
        <f>VLOOKUP(F871,[6]装箱单!$A:$C,3,0)</f>
        <v>皮皮</v>
      </c>
      <c r="H871" s="67">
        <v>50</v>
      </c>
      <c r="I871" s="68">
        <f t="shared" si="201"/>
        <v>24</v>
      </c>
      <c r="J871" s="68" t="s">
        <v>32</v>
      </c>
      <c r="K871" s="68" t="s">
        <v>33</v>
      </c>
      <c r="L871" s="69">
        <v>6</v>
      </c>
      <c r="M871" s="104">
        <f t="shared" si="199"/>
        <v>0.470767574592</v>
      </c>
      <c r="N871" s="69" t="s">
        <v>34</v>
      </c>
      <c r="O871" s="67"/>
      <c r="P871" s="74"/>
      <c r="Q871" s="71">
        <f>VLOOKUP($F871,[6]装箱单!$A:$E,5,0)</f>
        <v>60.96</v>
      </c>
      <c r="R871" s="71">
        <f>VLOOKUP($F871,[6]装箱单!$A:$F,6,0)</f>
        <v>35.56</v>
      </c>
      <c r="S871" s="71">
        <f>VLOOKUP($F871,[6]装箱单!$A:$G,7,0)</f>
        <v>36.195</v>
      </c>
      <c r="T871" s="105">
        <f>VLOOKUP($F871,[6]装箱单!$A:$J,10,0)</f>
        <v>0.078461262432</v>
      </c>
      <c r="U871" s="71">
        <f t="shared" si="200"/>
        <v>0.470767574592</v>
      </c>
      <c r="V871" s="12"/>
    </row>
    <row r="872" s="1" customFormat="1" ht="29.1" customHeight="1" spans="1:22">
      <c r="A872" s="62">
        <v>46263</v>
      </c>
      <c r="B872" s="63" t="s">
        <v>2005</v>
      </c>
      <c r="C872" s="64" t="s">
        <v>2182</v>
      </c>
      <c r="D872" s="66"/>
      <c r="E872" s="67"/>
      <c r="F872" s="66">
        <v>264721</v>
      </c>
      <c r="G872" s="67" t="str">
        <f>VLOOKUP(F872,[6]装箱单!$A:$C,3,0)</f>
        <v>13.5"黄色大眼</v>
      </c>
      <c r="H872" s="67">
        <v>50</v>
      </c>
      <c r="I872" s="68">
        <f t="shared" si="201"/>
        <v>96</v>
      </c>
      <c r="J872" s="68" t="s">
        <v>32</v>
      </c>
      <c r="K872" s="68" t="s">
        <v>33</v>
      </c>
      <c r="L872" s="69">
        <v>24</v>
      </c>
      <c r="M872" s="104">
        <f t="shared" si="199"/>
        <v>1.403453709216</v>
      </c>
      <c r="N872" s="69" t="s">
        <v>34</v>
      </c>
      <c r="O872" s="67"/>
      <c r="P872" s="74"/>
      <c r="Q872" s="71">
        <f>VLOOKUP($F872,[6]装箱单!$A:$E,5,0)</f>
        <v>49.53</v>
      </c>
      <c r="R872" s="71">
        <f>VLOOKUP($F872,[6]装箱单!$A:$F,6,0)</f>
        <v>38.735</v>
      </c>
      <c r="S872" s="71">
        <f>VLOOKUP($F872,[6]装箱单!$A:$G,7,0)</f>
        <v>30.48</v>
      </c>
      <c r="T872" s="105">
        <f>VLOOKUP($F872,[6]装箱单!$A:$J,10,0)</f>
        <v>0.058477237884</v>
      </c>
      <c r="U872" s="71">
        <f t="shared" si="200"/>
        <v>1.403453709216</v>
      </c>
      <c r="V872" s="12"/>
    </row>
    <row r="873" s="1" customFormat="1" ht="29.1" customHeight="1" spans="1:22">
      <c r="A873" s="62">
        <v>46263</v>
      </c>
      <c r="B873" s="63" t="s">
        <v>2005</v>
      </c>
      <c r="C873" s="64" t="s">
        <v>2008</v>
      </c>
      <c r="D873" s="66"/>
      <c r="E873" s="67"/>
      <c r="F873" s="66">
        <v>261731</v>
      </c>
      <c r="G873" s="67" t="str">
        <f>VLOOKUP(F873,[6]装箱单!$A:$C,3,0)</f>
        <v>酷乐</v>
      </c>
      <c r="H873" s="67">
        <v>100</v>
      </c>
      <c r="I873" s="68">
        <f t="shared" ref="I873:I875" si="202">+L873*10</f>
        <v>50</v>
      </c>
      <c r="J873" s="68" t="s">
        <v>32</v>
      </c>
      <c r="K873" s="68" t="s">
        <v>33</v>
      </c>
      <c r="L873" s="69">
        <v>5</v>
      </c>
      <c r="M873" s="104">
        <f t="shared" si="199"/>
        <v>0.393692811403125</v>
      </c>
      <c r="N873" s="69" t="s">
        <v>34</v>
      </c>
      <c r="O873" s="67"/>
      <c r="P873" s="74"/>
      <c r="Q873" s="71">
        <f>VLOOKUP($F873,[6]装箱单!$A:$E,5,0)</f>
        <v>52.705</v>
      </c>
      <c r="R873" s="71">
        <f>VLOOKUP($F873,[6]装箱单!$A:$F,6,0)</f>
        <v>41.275</v>
      </c>
      <c r="S873" s="71">
        <f>VLOOKUP($F873,[6]装箱单!$A:$G,7,0)</f>
        <v>36.195</v>
      </c>
      <c r="T873" s="105">
        <f>VLOOKUP($F873,[6]装箱单!$A:$J,10,0)</f>
        <v>0.078738562280625</v>
      </c>
      <c r="U873" s="71">
        <f t="shared" si="200"/>
        <v>0.393692811403125</v>
      </c>
      <c r="V873" s="12"/>
    </row>
    <row r="874" s="1" customFormat="1" ht="29.1" customHeight="1" spans="1:22">
      <c r="A874" s="62">
        <v>46263</v>
      </c>
      <c r="B874" s="63" t="s">
        <v>2005</v>
      </c>
      <c r="C874" s="64" t="s">
        <v>2008</v>
      </c>
      <c r="D874" s="66"/>
      <c r="E874" s="67"/>
      <c r="F874" s="66">
        <v>261735</v>
      </c>
      <c r="G874" s="67" t="str">
        <f>VLOOKUP(F874,[6]装箱单!$A:$C,3,0)</f>
        <v>恩妮</v>
      </c>
      <c r="H874" s="67">
        <v>100</v>
      </c>
      <c r="I874" s="68">
        <f t="shared" si="202"/>
        <v>80</v>
      </c>
      <c r="J874" s="68" t="s">
        <v>32</v>
      </c>
      <c r="K874" s="68" t="s">
        <v>33</v>
      </c>
      <c r="L874" s="69">
        <v>8</v>
      </c>
      <c r="M874" s="104">
        <f t="shared" si="199"/>
        <v>0.629908498245</v>
      </c>
      <c r="N874" s="69" t="s">
        <v>34</v>
      </c>
      <c r="O874" s="67"/>
      <c r="P874" s="74"/>
      <c r="Q874" s="71">
        <f>VLOOKUP($F874,[6]装箱单!$A:$E,5,0)</f>
        <v>52.705</v>
      </c>
      <c r="R874" s="71">
        <f>VLOOKUP($F874,[6]装箱单!$A:$F,6,0)</f>
        <v>41.275</v>
      </c>
      <c r="S874" s="71">
        <f>VLOOKUP($F874,[6]装箱单!$A:$G,7,0)</f>
        <v>36.195</v>
      </c>
      <c r="T874" s="105">
        <f>VLOOKUP($F874,[6]装箱单!$A:$J,10,0)</f>
        <v>0.078738562280625</v>
      </c>
      <c r="U874" s="71">
        <f t="shared" si="200"/>
        <v>0.629908498245</v>
      </c>
      <c r="V874" s="12"/>
    </row>
    <row r="875" s="1" customFormat="1" ht="29.1" customHeight="1" spans="1:22">
      <c r="A875" s="62">
        <v>46263</v>
      </c>
      <c r="B875" s="63" t="s">
        <v>2005</v>
      </c>
      <c r="C875" s="64" t="s">
        <v>2008</v>
      </c>
      <c r="D875" s="66"/>
      <c r="E875" s="67"/>
      <c r="F875" s="66">
        <v>261745</v>
      </c>
      <c r="G875" s="67" t="str">
        <f>VLOOKUP(F875,[6]装箱单!$A:$C,3,0)</f>
        <v>酷咪</v>
      </c>
      <c r="H875" s="67">
        <v>100</v>
      </c>
      <c r="I875" s="68">
        <f t="shared" si="202"/>
        <v>100</v>
      </c>
      <c r="J875" s="68" t="s">
        <v>32</v>
      </c>
      <c r="K875" s="68" t="s">
        <v>33</v>
      </c>
      <c r="L875" s="69">
        <v>10</v>
      </c>
      <c r="M875" s="104">
        <f t="shared" si="199"/>
        <v>0.78738562280625</v>
      </c>
      <c r="N875" s="69" t="s">
        <v>34</v>
      </c>
      <c r="O875" s="67"/>
      <c r="P875" s="74"/>
      <c r="Q875" s="71">
        <f>VLOOKUP($F875,[6]装箱单!$A:$E,5,0)</f>
        <v>52.705</v>
      </c>
      <c r="R875" s="71">
        <f>VLOOKUP($F875,[6]装箱单!$A:$F,6,0)</f>
        <v>41.275</v>
      </c>
      <c r="S875" s="71">
        <f>VLOOKUP($F875,[6]装箱单!$A:$G,7,0)</f>
        <v>36.195</v>
      </c>
      <c r="T875" s="105">
        <f>VLOOKUP($F875,[6]装箱单!$A:$J,10,0)</f>
        <v>0.078738562280625</v>
      </c>
      <c r="U875" s="71">
        <f t="shared" si="200"/>
        <v>0.78738562280625</v>
      </c>
      <c r="V875" s="12"/>
    </row>
    <row r="876" s="1" customFormat="1" ht="29.1" customHeight="1" spans="1:22">
      <c r="A876" s="62"/>
      <c r="B876" s="63"/>
      <c r="C876" s="64"/>
      <c r="D876" s="66"/>
      <c r="E876" s="67"/>
      <c r="F876" s="66"/>
      <c r="G876" s="67"/>
      <c r="H876" s="67"/>
      <c r="I876" s="103"/>
      <c r="J876" s="68"/>
      <c r="K876" s="68"/>
      <c r="L876" s="103"/>
      <c r="M876" s="104">
        <f>SUM(M867:M875)</f>
        <v>136.805094134777</v>
      </c>
      <c r="N876" s="69"/>
      <c r="O876" s="67"/>
      <c r="P876" s="75"/>
      <c r="Q876" s="71"/>
      <c r="R876" s="71"/>
      <c r="S876" s="71"/>
      <c r="T876" s="105"/>
      <c r="U876" s="71"/>
      <c r="V876" s="12"/>
    </row>
    <row r="877" s="1" customFormat="1" ht="29.1" customHeight="1" spans="1:22">
      <c r="A877" s="62">
        <v>46263</v>
      </c>
      <c r="B877" s="63" t="s">
        <v>52</v>
      </c>
      <c r="C877" s="64">
        <v>47466</v>
      </c>
      <c r="D877" s="66" t="s">
        <v>1735</v>
      </c>
      <c r="E877" s="67"/>
      <c r="F877" s="66">
        <v>470195</v>
      </c>
      <c r="G877" s="67" t="str">
        <f>VLOOKUP(F877,[6]装箱单!$A:$C,3,0)</f>
        <v>花园</v>
      </c>
      <c r="H877" s="67">
        <v>1000</v>
      </c>
      <c r="I877" s="103">
        <f>+L877*3</f>
        <v>3000</v>
      </c>
      <c r="J877" s="68" t="s">
        <v>32</v>
      </c>
      <c r="K877" s="68" t="s">
        <v>33</v>
      </c>
      <c r="L877" s="103">
        <v>1000</v>
      </c>
      <c r="M877" s="104">
        <f t="shared" ref="M877:M881" si="203">+U877</f>
        <v>6.2219633625</v>
      </c>
      <c r="N877" s="69" t="s">
        <v>57</v>
      </c>
      <c r="O877" s="67"/>
      <c r="P877" s="70" t="s">
        <v>137</v>
      </c>
      <c r="Q877" s="71">
        <f>VLOOKUP($F877,[6]装箱单!$A:$E,5,0)</f>
        <v>19.05</v>
      </c>
      <c r="R877" s="71">
        <f>VLOOKUP($F877,[6]装箱单!$A:$F,6,0)</f>
        <v>17.145</v>
      </c>
      <c r="S877" s="71">
        <f>VLOOKUP($F877,[6]装箱单!$A:$G,7,0)</f>
        <v>19.05</v>
      </c>
      <c r="T877" s="105">
        <f>VLOOKUP($F877,[6]装箱单!$A:$J,10,0)</f>
        <v>0.0062219633625</v>
      </c>
      <c r="U877" s="71">
        <f t="shared" ref="U877:U881" si="204">+T877*L877</f>
        <v>6.2219633625</v>
      </c>
      <c r="V877" s="12"/>
    </row>
    <row r="878" s="1" customFormat="1" ht="29.1" customHeight="1" spans="1:22">
      <c r="A878" s="62">
        <v>46263</v>
      </c>
      <c r="B878" s="63" t="s">
        <v>52</v>
      </c>
      <c r="C878" s="64">
        <v>47470</v>
      </c>
      <c r="D878" s="66" t="s">
        <v>2052</v>
      </c>
      <c r="E878" s="67"/>
      <c r="F878" s="66">
        <v>671509</v>
      </c>
      <c r="G878" s="67" t="str">
        <f>VLOOKUP(F878,[6]装箱单!$A:$C,3,0)</f>
        <v>绿色铁皮勾车</v>
      </c>
      <c r="H878" s="67">
        <v>1000</v>
      </c>
      <c r="I878" s="103">
        <f t="shared" ref="I878:I881" si="205">+L878*2</f>
        <v>2000</v>
      </c>
      <c r="J878" s="68" t="s">
        <v>32</v>
      </c>
      <c r="K878" s="68" t="s">
        <v>33</v>
      </c>
      <c r="L878" s="103">
        <v>1000</v>
      </c>
      <c r="M878" s="104">
        <f t="shared" si="203"/>
        <v>35.971919424</v>
      </c>
      <c r="N878" s="69" t="s">
        <v>57</v>
      </c>
      <c r="O878" s="67"/>
      <c r="P878" s="74"/>
      <c r="Q878" s="71">
        <f>VLOOKUP($F878,[6]装箱单!$A:$E,5,0)</f>
        <v>40.32</v>
      </c>
      <c r="R878" s="71">
        <f>VLOOKUP($F878,[6]装箱单!$A:$F,6,0)</f>
        <v>37.47</v>
      </c>
      <c r="S878" s="71">
        <f>VLOOKUP($F878,[6]装箱单!$A:$G,7,0)</f>
        <v>23.81</v>
      </c>
      <c r="T878" s="105">
        <f>VLOOKUP($F878,[6]装箱单!$A:$J,10,0)</f>
        <v>0.035971919424</v>
      </c>
      <c r="U878" s="71">
        <f t="shared" si="204"/>
        <v>35.971919424</v>
      </c>
      <c r="V878" s="12"/>
    </row>
    <row r="879" s="1" customFormat="1" ht="29.1" customHeight="1" spans="1:22">
      <c r="A879" s="62">
        <v>46263</v>
      </c>
      <c r="B879" s="63" t="s">
        <v>52</v>
      </c>
      <c r="C879" s="64">
        <v>47466</v>
      </c>
      <c r="D879" s="66" t="s">
        <v>2183</v>
      </c>
      <c r="E879" s="67"/>
      <c r="F879" s="66">
        <v>470194</v>
      </c>
      <c r="G879" s="67" t="str">
        <f>VLOOKUP(F879,[6]装箱单!$A:$C,3,0)</f>
        <v>树屋</v>
      </c>
      <c r="H879" s="67">
        <v>1500</v>
      </c>
      <c r="I879" s="103">
        <f t="shared" si="205"/>
        <v>3000</v>
      </c>
      <c r="J879" s="68" t="s">
        <v>32</v>
      </c>
      <c r="K879" s="68" t="s">
        <v>33</v>
      </c>
      <c r="L879" s="103">
        <v>1500</v>
      </c>
      <c r="M879" s="104">
        <f t="shared" si="203"/>
        <v>60.8369751</v>
      </c>
      <c r="N879" s="69" t="s">
        <v>57</v>
      </c>
      <c r="O879" s="67"/>
      <c r="P879" s="74"/>
      <c r="Q879" s="71">
        <f>VLOOKUP($F879,[6]装箱单!$A:$E,5,0)</f>
        <v>41.91</v>
      </c>
      <c r="R879" s="71">
        <f>VLOOKUP($F879,[6]装箱单!$A:$F,6,0)</f>
        <v>31.75</v>
      </c>
      <c r="S879" s="71">
        <f>VLOOKUP($F879,[6]装箱单!$A:$G,7,0)</f>
        <v>30.48</v>
      </c>
      <c r="T879" s="105">
        <f>VLOOKUP($F879,[6]装箱单!$A:$J,10,0)</f>
        <v>0.0405579834</v>
      </c>
      <c r="U879" s="71">
        <f t="shared" si="204"/>
        <v>60.8369751</v>
      </c>
      <c r="V879" s="12"/>
    </row>
    <row r="880" s="1" customFormat="1" ht="29.1" customHeight="1" spans="1:22">
      <c r="A880" s="62">
        <v>46263</v>
      </c>
      <c r="B880" s="63" t="s">
        <v>52</v>
      </c>
      <c r="C880" s="64">
        <v>47452</v>
      </c>
      <c r="D880" s="66" t="s">
        <v>2184</v>
      </c>
      <c r="E880" s="67"/>
      <c r="F880" s="66">
        <v>320915</v>
      </c>
      <c r="G880" s="67" t="str">
        <f>VLOOKUP(F880,[6]装箱单!$A:$C,3,0)</f>
        <v>圣装伙伴</v>
      </c>
      <c r="H880" s="67">
        <v>750</v>
      </c>
      <c r="I880" s="103">
        <f>+L880*4</f>
        <v>3000</v>
      </c>
      <c r="J880" s="68" t="s">
        <v>32</v>
      </c>
      <c r="K880" s="68" t="s">
        <v>33</v>
      </c>
      <c r="L880" s="103">
        <v>750</v>
      </c>
      <c r="M880" s="104">
        <f t="shared" si="203"/>
        <v>11.8125</v>
      </c>
      <c r="N880" s="69" t="s">
        <v>57</v>
      </c>
      <c r="O880" s="67"/>
      <c r="P880" s="74"/>
      <c r="Q880" s="71">
        <f>VLOOKUP($F880,[6]装箱单!$A:$E,5,0)</f>
        <v>31.5</v>
      </c>
      <c r="R880" s="71">
        <f>VLOOKUP($F880,[6]装箱单!$A:$F,6,0)</f>
        <v>25</v>
      </c>
      <c r="S880" s="71">
        <f>VLOOKUP($F880,[6]装箱单!$A:$G,7,0)</f>
        <v>20</v>
      </c>
      <c r="T880" s="105">
        <f>VLOOKUP($F880,[6]装箱单!$A:$J,10,0)</f>
        <v>0.01575</v>
      </c>
      <c r="U880" s="71">
        <f t="shared" si="204"/>
        <v>11.8125</v>
      </c>
      <c r="V880" s="12"/>
    </row>
    <row r="881" s="1" customFormat="1" ht="29.1" customHeight="1" spans="1:22">
      <c r="A881" s="62">
        <v>46263</v>
      </c>
      <c r="B881" s="63" t="s">
        <v>52</v>
      </c>
      <c r="C881" s="64">
        <v>47452</v>
      </c>
      <c r="D881" s="66" t="s">
        <v>2185</v>
      </c>
      <c r="E881" s="67"/>
      <c r="F881" s="66">
        <v>320916</v>
      </c>
      <c r="G881" s="67" t="str">
        <f>VLOOKUP(F881,[6]装箱单!$A:$C,3,0)</f>
        <v>糕屋</v>
      </c>
      <c r="H881" s="67">
        <v>1500</v>
      </c>
      <c r="I881" s="103">
        <f t="shared" si="205"/>
        <v>886</v>
      </c>
      <c r="J881" s="68" t="s">
        <v>32</v>
      </c>
      <c r="K881" s="68" t="s">
        <v>33</v>
      </c>
      <c r="L881" s="103">
        <v>443</v>
      </c>
      <c r="M881" s="104">
        <f t="shared" si="203"/>
        <v>11.4336642294</v>
      </c>
      <c r="N881" s="69" t="s">
        <v>57</v>
      </c>
      <c r="O881" s="67"/>
      <c r="P881" s="74"/>
      <c r="Q881" s="71">
        <f>VLOOKUP($F881,[6]装箱单!$A:$E,5,0)</f>
        <v>38.1</v>
      </c>
      <c r="R881" s="71">
        <f>VLOOKUP($F881,[6]装箱单!$A:$F,6,0)</f>
        <v>30.48</v>
      </c>
      <c r="S881" s="71">
        <f>VLOOKUP($F881,[6]装箱单!$A:$G,7,0)</f>
        <v>22.225</v>
      </c>
      <c r="T881" s="105">
        <f>VLOOKUP($F881,[6]装箱单!$A:$J,10,0)</f>
        <v>0.0258096258</v>
      </c>
      <c r="U881" s="71">
        <f t="shared" si="204"/>
        <v>11.4336642294</v>
      </c>
      <c r="V881" s="12"/>
    </row>
    <row r="882" s="1" customFormat="1" ht="29.1" customHeight="1" spans="1:22">
      <c r="A882" s="62"/>
      <c r="B882" s="63"/>
      <c r="C882" s="64"/>
      <c r="D882" s="66"/>
      <c r="E882" s="67"/>
      <c r="F882" s="66"/>
      <c r="G882" s="67"/>
      <c r="H882" s="67"/>
      <c r="I882" s="103"/>
      <c r="J882" s="68"/>
      <c r="K882" s="68"/>
      <c r="L882" s="103"/>
      <c r="M882" s="104">
        <f>SUM(M877:M881)</f>
        <v>126.2770221159</v>
      </c>
      <c r="N882" s="69"/>
      <c r="O882" s="67"/>
      <c r="P882" s="75"/>
      <c r="Q882" s="71"/>
      <c r="R882" s="71"/>
      <c r="S882" s="71"/>
      <c r="T882" s="105"/>
      <c r="U882" s="71"/>
      <c r="V882" s="12"/>
    </row>
    <row r="883" s="1" customFormat="1" ht="29.1" customHeight="1" spans="1:22">
      <c r="A883" s="62">
        <v>46263</v>
      </c>
      <c r="B883" s="63" t="s">
        <v>40</v>
      </c>
      <c r="C883" s="64" t="s">
        <v>2139</v>
      </c>
      <c r="D883" s="66" t="s">
        <v>2140</v>
      </c>
      <c r="E883" s="66">
        <v>999523241</v>
      </c>
      <c r="F883" s="66">
        <v>28483</v>
      </c>
      <c r="G883" s="67" t="str">
        <f>VLOOKUP(F883,[6]装箱单!$A:$C,3,0)</f>
        <v>振动球</v>
      </c>
      <c r="H883" s="67">
        <f>+I883</f>
        <v>1800</v>
      </c>
      <c r="I883" s="103">
        <f>+L883</f>
        <v>1800</v>
      </c>
      <c r="J883" s="68" t="s">
        <v>32</v>
      </c>
      <c r="K883" s="68" t="s">
        <v>33</v>
      </c>
      <c r="L883" s="103">
        <v>1800</v>
      </c>
      <c r="M883" s="104">
        <f t="shared" ref="M883:M890" si="206">+U883</f>
        <v>10.390842</v>
      </c>
      <c r="N883" s="69" t="s">
        <v>34</v>
      </c>
      <c r="O883" s="67"/>
      <c r="P883" s="70" t="s">
        <v>2186</v>
      </c>
      <c r="Q883" s="71">
        <f>VLOOKUP($F883,[6]装箱单!$A:$E,5,0)</f>
        <v>16.83</v>
      </c>
      <c r="R883" s="71">
        <f>VLOOKUP($F883,[6]装箱单!$A:$F,6,0)</f>
        <v>17.15</v>
      </c>
      <c r="S883" s="71">
        <f>VLOOKUP($F883,[6]装箱单!$A:$G,7,0)</f>
        <v>20</v>
      </c>
      <c r="T883" s="105">
        <f>VLOOKUP($F883,[6]装箱单!$A:$J,10,0)</f>
        <v>0.00577269</v>
      </c>
      <c r="U883" s="71">
        <f t="shared" ref="U883:U890" si="207">+T883*L883</f>
        <v>10.390842</v>
      </c>
      <c r="V883" s="12"/>
    </row>
    <row r="884" s="1" customFormat="1" ht="29.1" customHeight="1" spans="1:22">
      <c r="A884" s="62">
        <v>46263</v>
      </c>
      <c r="B884" s="63" t="s">
        <v>40</v>
      </c>
      <c r="C884" s="64" t="s">
        <v>2187</v>
      </c>
      <c r="D884" s="66" t="s">
        <v>2188</v>
      </c>
      <c r="E884" s="140" t="s">
        <v>2189</v>
      </c>
      <c r="F884" s="66">
        <v>28483</v>
      </c>
      <c r="G884" s="67" t="str">
        <f>VLOOKUP(F884,[6]装箱单!$A:$C,3,0)</f>
        <v>振动球</v>
      </c>
      <c r="H884" s="67">
        <v>2340</v>
      </c>
      <c r="I884" s="68">
        <f>+L884</f>
        <v>2340</v>
      </c>
      <c r="J884" s="68" t="s">
        <v>32</v>
      </c>
      <c r="K884" s="68" t="s">
        <v>33</v>
      </c>
      <c r="L884" s="69">
        <v>2340</v>
      </c>
      <c r="M884" s="104">
        <f t="shared" si="206"/>
        <v>13.5080946</v>
      </c>
      <c r="N884" s="69" t="s">
        <v>34</v>
      </c>
      <c r="O884" s="67"/>
      <c r="P884" s="74"/>
      <c r="Q884" s="71">
        <f>VLOOKUP($F884,[6]装箱单!$A:$E,5,0)</f>
        <v>16.83</v>
      </c>
      <c r="R884" s="71">
        <f>VLOOKUP($F884,[6]装箱单!$A:$F,6,0)</f>
        <v>17.15</v>
      </c>
      <c r="S884" s="71">
        <f>VLOOKUP($F884,[6]装箱单!$A:$G,7,0)</f>
        <v>20</v>
      </c>
      <c r="T884" s="105">
        <f>VLOOKUP($F884,[6]装箱单!$A:$J,10,0)</f>
        <v>0.00577269</v>
      </c>
      <c r="U884" s="71">
        <f t="shared" si="207"/>
        <v>13.5080946</v>
      </c>
      <c r="V884" s="12"/>
    </row>
    <row r="885" s="1" customFormat="1" ht="29.1" customHeight="1" spans="1:22">
      <c r="A885" s="62">
        <v>46263</v>
      </c>
      <c r="B885" s="63" t="s">
        <v>52</v>
      </c>
      <c r="C885" s="64">
        <v>47452</v>
      </c>
      <c r="D885" s="66" t="s">
        <v>2185</v>
      </c>
      <c r="E885" s="67"/>
      <c r="F885" s="66">
        <v>320916</v>
      </c>
      <c r="G885" s="67" t="str">
        <f>VLOOKUP(F885,[6]装箱单!$A:$C,3,0)</f>
        <v>糕屋</v>
      </c>
      <c r="H885" s="67">
        <v>1500</v>
      </c>
      <c r="I885" s="103">
        <f>+L885*2</f>
        <v>2114</v>
      </c>
      <c r="J885" s="68" t="s">
        <v>32</v>
      </c>
      <c r="K885" s="68" t="s">
        <v>33</v>
      </c>
      <c r="L885" s="103">
        <f>1500-443</f>
        <v>1057</v>
      </c>
      <c r="M885" s="104">
        <f t="shared" si="206"/>
        <v>27.2807744706</v>
      </c>
      <c r="N885" s="69" t="s">
        <v>34</v>
      </c>
      <c r="O885" s="67" t="s">
        <v>2190</v>
      </c>
      <c r="P885" s="74"/>
      <c r="Q885" s="71">
        <f>VLOOKUP($F885,[6]装箱单!$A:$E,5,0)</f>
        <v>38.1</v>
      </c>
      <c r="R885" s="71">
        <f>VLOOKUP($F885,[6]装箱单!$A:$F,6,0)</f>
        <v>30.48</v>
      </c>
      <c r="S885" s="71">
        <f>VLOOKUP($F885,[6]装箱单!$A:$G,7,0)</f>
        <v>22.225</v>
      </c>
      <c r="T885" s="105">
        <f>VLOOKUP($F885,[6]装箱单!$A:$J,10,0)</f>
        <v>0.0258096258</v>
      </c>
      <c r="U885" s="71">
        <f t="shared" si="207"/>
        <v>27.2807744706</v>
      </c>
      <c r="V885" s="12"/>
    </row>
    <row r="886" s="1" customFormat="1" ht="29.1" customHeight="1" spans="1:22">
      <c r="A886" s="62">
        <v>46263</v>
      </c>
      <c r="B886" s="63" t="s">
        <v>52</v>
      </c>
      <c r="C886" s="64">
        <v>47452</v>
      </c>
      <c r="D886" s="66" t="s">
        <v>2185</v>
      </c>
      <c r="E886" s="67"/>
      <c r="F886" s="66">
        <v>320628</v>
      </c>
      <c r="G886" s="67" t="str">
        <f>VLOOKUP(F886,[6]装箱单!$A:$C,3,0)</f>
        <v>生日趴对</v>
      </c>
      <c r="H886" s="67">
        <v>750</v>
      </c>
      <c r="I886" s="103">
        <f>+L886*4</f>
        <v>3000</v>
      </c>
      <c r="J886" s="68" t="s">
        <v>32</v>
      </c>
      <c r="K886" s="68" t="s">
        <v>33</v>
      </c>
      <c r="L886" s="103">
        <v>750</v>
      </c>
      <c r="M886" s="104">
        <f t="shared" si="206"/>
        <v>7.0872858</v>
      </c>
      <c r="N886" s="69" t="s">
        <v>34</v>
      </c>
      <c r="O886" s="67" t="s">
        <v>2190</v>
      </c>
      <c r="P886" s="74"/>
      <c r="Q886" s="71">
        <f>VLOOKUP($F886,[6]装箱单!$A:$E,5,0)</f>
        <v>25.75</v>
      </c>
      <c r="R886" s="71">
        <f>VLOOKUP($F886,[6]装箱单!$A:$F,6,0)</f>
        <v>17.78</v>
      </c>
      <c r="S886" s="71">
        <f>VLOOKUP($F886,[6]装箱单!$A:$G,7,0)</f>
        <v>20.64</v>
      </c>
      <c r="T886" s="105">
        <f>VLOOKUP($F886,[6]装箱单!$A:$J,10,0)</f>
        <v>0.0094497144</v>
      </c>
      <c r="U886" s="71">
        <f t="shared" si="207"/>
        <v>7.0872858</v>
      </c>
      <c r="V886" s="12"/>
    </row>
    <row r="887" s="1" customFormat="1" ht="29.1" customHeight="1" spans="1:22">
      <c r="A887" s="62">
        <v>46263</v>
      </c>
      <c r="B887" s="63" t="s">
        <v>52</v>
      </c>
      <c r="C887" s="64">
        <v>47856</v>
      </c>
      <c r="D887" s="66" t="s">
        <v>2191</v>
      </c>
      <c r="E887" s="67"/>
      <c r="F887" s="66">
        <v>470195</v>
      </c>
      <c r="G887" s="67" t="str">
        <f>VLOOKUP(F887,[6]装箱单!$A:$C,3,0)</f>
        <v>花园</v>
      </c>
      <c r="H887" s="67">
        <v>2000</v>
      </c>
      <c r="I887" s="103">
        <f>+L887*3</f>
        <v>6000</v>
      </c>
      <c r="J887" s="68" t="s">
        <v>32</v>
      </c>
      <c r="K887" s="68" t="s">
        <v>33</v>
      </c>
      <c r="L887" s="103">
        <v>2000</v>
      </c>
      <c r="M887" s="104">
        <f t="shared" si="206"/>
        <v>12.443926725</v>
      </c>
      <c r="N887" s="69" t="s">
        <v>34</v>
      </c>
      <c r="O887" s="67"/>
      <c r="P887" s="74"/>
      <c r="Q887" s="71">
        <f>VLOOKUP($F887,[6]装箱单!$A:$E,5,0)</f>
        <v>19.05</v>
      </c>
      <c r="R887" s="71">
        <f>VLOOKUP($F887,[6]装箱单!$A:$F,6,0)</f>
        <v>17.145</v>
      </c>
      <c r="S887" s="71">
        <f>VLOOKUP($F887,[6]装箱单!$A:$G,7,0)</f>
        <v>19.05</v>
      </c>
      <c r="T887" s="105">
        <f>VLOOKUP($F887,[6]装箱单!$A:$J,10,0)</f>
        <v>0.0062219633625</v>
      </c>
      <c r="U887" s="71">
        <f t="shared" si="207"/>
        <v>12.443926725</v>
      </c>
      <c r="V887" s="12"/>
    </row>
    <row r="888" s="1" customFormat="1" ht="29.1" customHeight="1" spans="1:22">
      <c r="A888" s="62">
        <v>46263</v>
      </c>
      <c r="B888" s="63" t="s">
        <v>52</v>
      </c>
      <c r="C888" s="64">
        <v>47466</v>
      </c>
      <c r="D888" s="66" t="s">
        <v>2183</v>
      </c>
      <c r="E888" s="67"/>
      <c r="F888" s="66" t="s">
        <v>717</v>
      </c>
      <c r="G888" s="67" t="str">
        <f>VLOOKUP(F888,[6]装箱单!$A:$C,3,0)</f>
        <v>粉色兔子</v>
      </c>
      <c r="H888" s="67">
        <v>750</v>
      </c>
      <c r="I888" s="103">
        <f>+L888*4</f>
        <v>3000</v>
      </c>
      <c r="J888" s="68" t="s">
        <v>32</v>
      </c>
      <c r="K888" s="68" t="s">
        <v>33</v>
      </c>
      <c r="L888" s="103">
        <v>750</v>
      </c>
      <c r="M888" s="104">
        <f t="shared" si="206"/>
        <v>11.41691265</v>
      </c>
      <c r="N888" s="69" t="s">
        <v>34</v>
      </c>
      <c r="O888" s="67"/>
      <c r="P888" s="74"/>
      <c r="Q888" s="71">
        <f>VLOOKUP($F888,[6]装箱单!$A:$E,5,0)</f>
        <v>27.94</v>
      </c>
      <c r="R888" s="71">
        <f>VLOOKUP($F888,[6]装箱单!$A:$F,6,0)</f>
        <v>16.51</v>
      </c>
      <c r="S888" s="71">
        <f>VLOOKUP($F888,[6]装箱单!$A:$G,7,0)</f>
        <v>33</v>
      </c>
      <c r="T888" s="105">
        <f>VLOOKUP($F888,[6]装箱单!$A:$J,10,0)</f>
        <v>0.0152225502</v>
      </c>
      <c r="U888" s="71">
        <f t="shared" si="207"/>
        <v>11.41691265</v>
      </c>
      <c r="V888" s="12"/>
    </row>
    <row r="889" s="1" customFormat="1" ht="29.1" customHeight="1" spans="1:22">
      <c r="A889" s="62">
        <v>46263</v>
      </c>
      <c r="B889" s="63" t="s">
        <v>52</v>
      </c>
      <c r="C889" s="64">
        <v>47452</v>
      </c>
      <c r="D889" s="66" t="s">
        <v>2185</v>
      </c>
      <c r="E889" s="67"/>
      <c r="F889" s="66">
        <v>320923</v>
      </c>
      <c r="G889" s="67" t="str">
        <f>VLOOKUP(F889,[6]装箱单!$A:$C,3,0)</f>
        <v>花店</v>
      </c>
      <c r="H889" s="67">
        <v>1500</v>
      </c>
      <c r="I889" s="103">
        <f>+L889*2</f>
        <v>3000</v>
      </c>
      <c r="J889" s="68" t="s">
        <v>32</v>
      </c>
      <c r="K889" s="68" t="s">
        <v>33</v>
      </c>
      <c r="L889" s="103">
        <v>1500</v>
      </c>
      <c r="M889" s="104">
        <f t="shared" si="206"/>
        <v>39.51010581</v>
      </c>
      <c r="N889" s="69" t="s">
        <v>34</v>
      </c>
      <c r="O889" s="67"/>
      <c r="P889" s="74"/>
      <c r="Q889" s="71">
        <f>VLOOKUP($F889,[6]装箱单!$A:$E,5,0)</f>
        <v>39.94</v>
      </c>
      <c r="R889" s="71">
        <f>VLOOKUP($F889,[6]装箱单!$A:$F,6,0)</f>
        <v>30.1</v>
      </c>
      <c r="S889" s="71">
        <f>VLOOKUP($F889,[6]装箱单!$A:$G,7,0)</f>
        <v>21.91</v>
      </c>
      <c r="T889" s="105">
        <f>VLOOKUP($F889,[6]装箱单!$A:$J,10,0)</f>
        <v>0.02634007054</v>
      </c>
      <c r="U889" s="71">
        <f t="shared" si="207"/>
        <v>39.51010581</v>
      </c>
      <c r="V889" s="12"/>
    </row>
    <row r="890" s="1" customFormat="1" ht="29.1" customHeight="1" spans="1:22">
      <c r="A890" s="62">
        <v>46263</v>
      </c>
      <c r="B890" s="63" t="s">
        <v>52</v>
      </c>
      <c r="C890" s="64">
        <v>47470</v>
      </c>
      <c r="D890" s="66" t="s">
        <v>2052</v>
      </c>
      <c r="E890" s="67"/>
      <c r="F890" s="66">
        <v>571299</v>
      </c>
      <c r="G890" s="67" t="str">
        <f>VLOOKUP(F890,[6]装箱单!$A:$C,3,0)</f>
        <v>自卸车</v>
      </c>
      <c r="H890" s="67">
        <v>5000</v>
      </c>
      <c r="I890" s="103">
        <f>+L890</f>
        <v>776</v>
      </c>
      <c r="J890" s="68" t="s">
        <v>32</v>
      </c>
      <c r="K890" s="68" t="s">
        <v>33</v>
      </c>
      <c r="L890" s="103">
        <v>776</v>
      </c>
      <c r="M890" s="104">
        <f t="shared" si="206"/>
        <v>20.793696</v>
      </c>
      <c r="N890" s="69" t="s">
        <v>34</v>
      </c>
      <c r="O890" s="67"/>
      <c r="P890" s="74"/>
      <c r="Q890" s="71">
        <f>VLOOKUP($F890,[6]装箱单!$A:$E,5,0)</f>
        <v>42</v>
      </c>
      <c r="R890" s="71">
        <f>VLOOKUP($F890,[6]装箱单!$A:$F,6,0)</f>
        <v>22</v>
      </c>
      <c r="S890" s="71">
        <f>VLOOKUP($F890,[6]装箱单!$A:$G,7,0)</f>
        <v>29</v>
      </c>
      <c r="T890" s="105">
        <f>VLOOKUP($F890,[6]装箱单!$A:$J,10,0)</f>
        <v>0.026796</v>
      </c>
      <c r="U890" s="71">
        <f t="shared" si="207"/>
        <v>20.793696</v>
      </c>
      <c r="V890" s="12"/>
    </row>
    <row r="891" s="1" customFormat="1" ht="29.1" customHeight="1" spans="1:22">
      <c r="A891" s="62">
        <v>46263</v>
      </c>
      <c r="B891" s="63" t="s">
        <v>2005</v>
      </c>
      <c r="C891" s="64"/>
      <c r="D891" s="66"/>
      <c r="E891" s="67"/>
      <c r="F891" s="66">
        <v>261746</v>
      </c>
      <c r="G891" s="67" t="str">
        <f>VLOOKUP(F891,[6]装箱单!$A:$C,3,0)</f>
        <v>酷拉</v>
      </c>
      <c r="H891" s="67">
        <v>200</v>
      </c>
      <c r="I891" s="103">
        <f>+L891*10</f>
        <v>20</v>
      </c>
      <c r="J891" s="68" t="s">
        <v>32</v>
      </c>
      <c r="K891" s="68" t="s">
        <v>33</v>
      </c>
      <c r="L891" s="103">
        <v>2</v>
      </c>
      <c r="M891" s="108">
        <v>1</v>
      </c>
      <c r="N891" s="69" t="s">
        <v>34</v>
      </c>
      <c r="O891" s="67"/>
      <c r="P891" s="74"/>
      <c r="Q891" s="71"/>
      <c r="R891" s="71"/>
      <c r="S891" s="71"/>
      <c r="T891" s="105"/>
      <c r="U891" s="71"/>
      <c r="V891" s="12"/>
    </row>
    <row r="892" s="1" customFormat="1" ht="29.1" customHeight="1" spans="1:22">
      <c r="A892" s="62">
        <v>46263</v>
      </c>
      <c r="B892" s="63" t="s">
        <v>2005</v>
      </c>
      <c r="C892" s="64"/>
      <c r="D892" s="66"/>
      <c r="E892" s="67"/>
      <c r="F892" s="66">
        <v>260778</v>
      </c>
      <c r="G892" s="67" t="str">
        <f>VLOOKUP(F892,[6]装箱单!$A:$C,3,0)</f>
        <v>小樱</v>
      </c>
      <c r="H892" s="67">
        <v>100</v>
      </c>
      <c r="I892" s="103">
        <f>+L892*20</f>
        <v>40</v>
      </c>
      <c r="J892" s="68" t="s">
        <v>32</v>
      </c>
      <c r="K892" s="68" t="s">
        <v>33</v>
      </c>
      <c r="L892" s="103">
        <v>2</v>
      </c>
      <c r="M892" s="110"/>
      <c r="N892" s="69" t="s">
        <v>34</v>
      </c>
      <c r="O892" s="67"/>
      <c r="P892" s="74"/>
      <c r="Q892" s="71"/>
      <c r="R892" s="71"/>
      <c r="S892" s="71"/>
      <c r="T892" s="105"/>
      <c r="U892" s="71"/>
      <c r="V892" s="12"/>
    </row>
    <row r="893" s="1" customFormat="1" ht="29.1" customHeight="1" spans="1:22">
      <c r="A893" s="62">
        <v>46263</v>
      </c>
      <c r="B893" s="63" t="s">
        <v>2005</v>
      </c>
      <c r="C893" s="64"/>
      <c r="D893" s="66"/>
      <c r="E893" s="67"/>
      <c r="F893" s="66">
        <v>266710</v>
      </c>
      <c r="G893" s="67" t="str">
        <f>VLOOKUP(F893,[6]装箱单!$A:$C,3,0)</f>
        <v>Q BABY</v>
      </c>
      <c r="H893" s="67">
        <v>100</v>
      </c>
      <c r="I893" s="103">
        <f>+L893*27</f>
        <v>270</v>
      </c>
      <c r="J893" s="68" t="s">
        <v>32</v>
      </c>
      <c r="K893" s="68" t="s">
        <v>33</v>
      </c>
      <c r="L893" s="103">
        <v>10</v>
      </c>
      <c r="M893" s="112"/>
      <c r="N893" s="69" t="s">
        <v>34</v>
      </c>
      <c r="O893" s="67"/>
      <c r="P893" s="74"/>
      <c r="Q893" s="71"/>
      <c r="R893" s="71"/>
      <c r="S893" s="71"/>
      <c r="T893" s="105"/>
      <c r="U893" s="71"/>
      <c r="V893" s="12"/>
    </row>
    <row r="894" s="1" customFormat="1" ht="29.1" customHeight="1" spans="1:22">
      <c r="A894" s="62"/>
      <c r="B894" s="63"/>
      <c r="C894" s="64"/>
      <c r="D894" s="66"/>
      <c r="E894" s="67"/>
      <c r="F894" s="66"/>
      <c r="G894" s="67"/>
      <c r="H894" s="67"/>
      <c r="I894" s="103"/>
      <c r="J894" s="68"/>
      <c r="K894" s="68"/>
      <c r="L894" s="103"/>
      <c r="M894" s="104">
        <f>SUM(M883:M890)</f>
        <v>142.4316380556</v>
      </c>
      <c r="N894" s="69"/>
      <c r="O894" s="67"/>
      <c r="P894" s="75"/>
      <c r="Q894" s="71"/>
      <c r="R894" s="71"/>
      <c r="S894" s="71"/>
      <c r="T894" s="105"/>
      <c r="U894" s="71"/>
      <c r="V894" s="12"/>
    </row>
    <row r="895" s="1" customFormat="1" ht="29.1" customHeight="1" spans="1:22">
      <c r="A895" s="62" t="s">
        <v>2192</v>
      </c>
      <c r="B895" s="63" t="s">
        <v>40</v>
      </c>
      <c r="C895" s="64" t="s">
        <v>2145</v>
      </c>
      <c r="D895" s="66" t="s">
        <v>2146</v>
      </c>
      <c r="E895" s="140" t="s">
        <v>2147</v>
      </c>
      <c r="F895" s="66" t="s">
        <v>306</v>
      </c>
      <c r="G895" s="67" t="str">
        <f>VLOOKUP(F895,[6]装箱单!$A:$C,3,0)</f>
        <v>背包狗</v>
      </c>
      <c r="H895" s="67">
        <v>573</v>
      </c>
      <c r="I895" s="68">
        <f t="shared" ref="I895:I897" si="208">+L895</f>
        <v>573</v>
      </c>
      <c r="J895" s="68" t="s">
        <v>32</v>
      </c>
      <c r="K895" s="68" t="s">
        <v>33</v>
      </c>
      <c r="L895" s="69">
        <v>573</v>
      </c>
      <c r="M895" s="104">
        <f t="shared" ref="M895:M900" si="209">+U895</f>
        <v>9.031802017005</v>
      </c>
      <c r="N895" s="69" t="s">
        <v>34</v>
      </c>
      <c r="O895" s="67"/>
      <c r="P895" s="70" t="s">
        <v>2121</v>
      </c>
      <c r="Q895" s="71">
        <f>VLOOKUP($F895,[6]装箱单!$A:$E,5,0)</f>
        <v>24.13</v>
      </c>
      <c r="R895" s="71">
        <f>VLOOKUP($F895,[6]装箱单!$A:$F,6,0)</f>
        <v>19.05</v>
      </c>
      <c r="S895" s="71">
        <f>VLOOKUP($F895,[6]装箱单!$A:$G,7,0)</f>
        <v>34.29</v>
      </c>
      <c r="T895" s="105">
        <f>VLOOKUP($F895,[6]装箱单!$A:$J,10,0)</f>
        <v>0.015762307185</v>
      </c>
      <c r="U895" s="71">
        <f t="shared" ref="U895:U900" si="210">+T895*L895</f>
        <v>9.031802017005</v>
      </c>
      <c r="V895" s="12"/>
    </row>
    <row r="896" s="1" customFormat="1" ht="29.1" customHeight="1" spans="1:22">
      <c r="A896" s="62" t="s">
        <v>2192</v>
      </c>
      <c r="B896" s="63" t="s">
        <v>40</v>
      </c>
      <c r="C896" s="64" t="s">
        <v>2148</v>
      </c>
      <c r="D896" s="66" t="s">
        <v>2149</v>
      </c>
      <c r="E896" s="140" t="s">
        <v>2150</v>
      </c>
      <c r="F896" s="66" t="s">
        <v>306</v>
      </c>
      <c r="G896" s="67" t="str">
        <f>VLOOKUP(F896,[6]装箱单!$A:$C,3,0)</f>
        <v>背包狗</v>
      </c>
      <c r="H896" s="67">
        <v>573</v>
      </c>
      <c r="I896" s="68">
        <f t="shared" si="208"/>
        <v>573</v>
      </c>
      <c r="J896" s="68" t="s">
        <v>32</v>
      </c>
      <c r="K896" s="68" t="s">
        <v>33</v>
      </c>
      <c r="L896" s="69">
        <v>573</v>
      </c>
      <c r="M896" s="104">
        <f t="shared" si="209"/>
        <v>9.031802017005</v>
      </c>
      <c r="N896" s="69" t="s">
        <v>34</v>
      </c>
      <c r="O896" s="67"/>
      <c r="P896" s="74"/>
      <c r="Q896" s="71">
        <f>VLOOKUP($F896,[6]装箱单!$A:$E,5,0)</f>
        <v>24.13</v>
      </c>
      <c r="R896" s="71">
        <f>VLOOKUP($F896,[6]装箱单!$A:$F,6,0)</f>
        <v>19.05</v>
      </c>
      <c r="S896" s="71">
        <f>VLOOKUP($F896,[6]装箱单!$A:$G,7,0)</f>
        <v>34.29</v>
      </c>
      <c r="T896" s="105">
        <f>VLOOKUP($F896,[6]装箱单!$A:$J,10,0)</f>
        <v>0.015762307185</v>
      </c>
      <c r="U896" s="71">
        <f t="shared" si="210"/>
        <v>9.031802017005</v>
      </c>
      <c r="V896" s="12"/>
    </row>
    <row r="897" s="1" customFormat="1" ht="29.1" customHeight="1" spans="1:22">
      <c r="A897" s="62" t="s">
        <v>2192</v>
      </c>
      <c r="B897" s="63" t="s">
        <v>40</v>
      </c>
      <c r="C897" s="64" t="s">
        <v>2193</v>
      </c>
      <c r="D897" s="66" t="s">
        <v>2194</v>
      </c>
      <c r="E897" s="140" t="s">
        <v>2195</v>
      </c>
      <c r="F897" s="66" t="s">
        <v>306</v>
      </c>
      <c r="G897" s="67" t="str">
        <f>VLOOKUP(F897,[6]装箱单!$A:$C,3,0)</f>
        <v>背包狗</v>
      </c>
      <c r="H897" s="67">
        <v>573</v>
      </c>
      <c r="I897" s="68">
        <f t="shared" si="208"/>
        <v>573</v>
      </c>
      <c r="J897" s="68" t="s">
        <v>32</v>
      </c>
      <c r="K897" s="68" t="s">
        <v>33</v>
      </c>
      <c r="L897" s="69">
        <v>573</v>
      </c>
      <c r="M897" s="104">
        <f t="shared" si="209"/>
        <v>9.031802017005</v>
      </c>
      <c r="N897" s="69" t="s">
        <v>34</v>
      </c>
      <c r="O897" s="67"/>
      <c r="P897" s="74"/>
      <c r="Q897" s="71">
        <f>VLOOKUP($F897,[6]装箱单!$A:$E,5,0)</f>
        <v>24.13</v>
      </c>
      <c r="R897" s="71">
        <f>VLOOKUP($F897,[6]装箱单!$A:$F,6,0)</f>
        <v>19.05</v>
      </c>
      <c r="S897" s="71">
        <f>VLOOKUP($F897,[6]装箱单!$A:$G,7,0)</f>
        <v>34.29</v>
      </c>
      <c r="T897" s="105">
        <f>VLOOKUP($F897,[6]装箱单!$A:$J,10,0)</f>
        <v>0.015762307185</v>
      </c>
      <c r="U897" s="71">
        <f t="shared" si="210"/>
        <v>9.031802017005</v>
      </c>
      <c r="V897" s="12"/>
    </row>
    <row r="898" s="1" customFormat="1" ht="29.1" customHeight="1" spans="1:22">
      <c r="A898" s="62" t="s">
        <v>2192</v>
      </c>
      <c r="B898" s="63" t="s">
        <v>141</v>
      </c>
      <c r="C898" s="64" t="s">
        <v>2196</v>
      </c>
      <c r="D898" s="66" t="s">
        <v>2197</v>
      </c>
      <c r="E898" s="67" t="s">
        <v>2198</v>
      </c>
      <c r="F898" s="67" t="s">
        <v>750</v>
      </c>
      <c r="G898" s="67" t="str">
        <f>VLOOKUP(F898,[6]装箱单!$A:$C,3,0)</f>
        <v>我爱纽约组合小鸭</v>
      </c>
      <c r="H898" s="67">
        <v>1563</v>
      </c>
      <c r="I898" s="68">
        <f>+L898*8</f>
        <v>12504</v>
      </c>
      <c r="J898" s="68" t="s">
        <v>32</v>
      </c>
      <c r="K898" s="68" t="s">
        <v>33</v>
      </c>
      <c r="L898" s="69">
        <v>1563</v>
      </c>
      <c r="M898" s="104">
        <f t="shared" si="209"/>
        <v>12.31758099</v>
      </c>
      <c r="N898" s="69" t="s">
        <v>34</v>
      </c>
      <c r="O898" s="67"/>
      <c r="P898" s="74"/>
      <c r="Q898" s="71">
        <f>VLOOKUP($F898,[6]装箱单!$A:$E,5,0)</f>
        <v>33</v>
      </c>
      <c r="R898" s="71">
        <f>VLOOKUP($F898,[6]装箱单!$A:$F,6,0)</f>
        <v>16.7</v>
      </c>
      <c r="S898" s="71">
        <f>VLOOKUP($F898,[6]装箱单!$A:$G,7,0)</f>
        <v>14.3</v>
      </c>
      <c r="T898" s="105">
        <f>VLOOKUP($F898,[6]装箱单!$A:$J,10,0)</f>
        <v>0.00788073</v>
      </c>
      <c r="U898" s="71">
        <f t="shared" si="210"/>
        <v>12.31758099</v>
      </c>
      <c r="V898" s="12"/>
    </row>
    <row r="899" s="1" customFormat="1" ht="29.1" customHeight="1" spans="1:22">
      <c r="A899" s="62" t="s">
        <v>2192</v>
      </c>
      <c r="B899" s="63" t="s">
        <v>118</v>
      </c>
      <c r="C899" s="64" t="s">
        <v>2199</v>
      </c>
      <c r="D899" s="66" t="s">
        <v>2200</v>
      </c>
      <c r="E899" s="67" t="s">
        <v>2201</v>
      </c>
      <c r="F899" s="66" t="s">
        <v>2202</v>
      </c>
      <c r="G899" s="67" t="str">
        <f>VLOOKUP(F899,[6]装箱单!$A:$C,3,0)</f>
        <v>搪胶小鸭子系列</v>
      </c>
      <c r="H899" s="67">
        <v>3473</v>
      </c>
      <c r="I899" s="68">
        <f>+L899*36</f>
        <v>125028</v>
      </c>
      <c r="J899" s="68" t="s">
        <v>32</v>
      </c>
      <c r="K899" s="68" t="s">
        <v>33</v>
      </c>
      <c r="L899" s="69">
        <v>3473</v>
      </c>
      <c r="M899" s="104">
        <f t="shared" si="209"/>
        <v>35.680230165</v>
      </c>
      <c r="N899" s="69" t="s">
        <v>34</v>
      </c>
      <c r="O899" s="67" t="s">
        <v>2135</v>
      </c>
      <c r="P899" s="74"/>
      <c r="Q899" s="71">
        <f>VLOOKUP($F899,[6]装箱单!$A:$E,5,0)</f>
        <v>32.1</v>
      </c>
      <c r="R899" s="71">
        <f>VLOOKUP($F899,[6]装箱单!$A:$F,6,0)</f>
        <v>17.3</v>
      </c>
      <c r="S899" s="71">
        <f>VLOOKUP($F899,[6]装箱单!$A:$G,7,0)</f>
        <v>18.5</v>
      </c>
      <c r="T899" s="105">
        <f>VLOOKUP($F899,[6]装箱单!$A:$J,10,0)</f>
        <v>0.010273605</v>
      </c>
      <c r="U899" s="71">
        <f t="shared" si="210"/>
        <v>35.680230165</v>
      </c>
      <c r="V899" s="12"/>
    </row>
    <row r="900" s="1" customFormat="1" ht="29.1" customHeight="1" spans="1:22">
      <c r="A900" s="62" t="s">
        <v>2192</v>
      </c>
      <c r="B900" s="63" t="s">
        <v>1133</v>
      </c>
      <c r="C900" s="64" t="s">
        <v>2165</v>
      </c>
      <c r="D900" s="66" t="s">
        <v>1237</v>
      </c>
      <c r="E900" s="67" t="s">
        <v>2166</v>
      </c>
      <c r="F900" s="66">
        <v>46132</v>
      </c>
      <c r="G900" s="67" t="str">
        <f>VLOOKUP(F900,[6]装箱单!$A:$C,3,0)</f>
        <v>赛车总动员系列</v>
      </c>
      <c r="H900" s="67">
        <f>+I900/2</f>
        <v>2429</v>
      </c>
      <c r="I900" s="103">
        <f>+L900*2</f>
        <v>4858</v>
      </c>
      <c r="J900" s="68" t="s">
        <v>32</v>
      </c>
      <c r="K900" s="68" t="s">
        <v>33</v>
      </c>
      <c r="L900" s="103">
        <f>2708-279</f>
        <v>2429</v>
      </c>
      <c r="M900" s="104">
        <f t="shared" si="209"/>
        <v>54.326329099728</v>
      </c>
      <c r="N900" s="69" t="s">
        <v>34</v>
      </c>
      <c r="O900" s="67" t="s">
        <v>2177</v>
      </c>
      <c r="P900" s="74"/>
      <c r="Q900" s="71">
        <f>VLOOKUP($F900,[6]装箱单!$A:$E,5,0)</f>
        <v>40.01</v>
      </c>
      <c r="R900" s="71">
        <f>VLOOKUP($F900,[6]装箱单!$A:$F,6,0)</f>
        <v>26.67</v>
      </c>
      <c r="S900" s="71">
        <f>VLOOKUP($F900,[6]装箱单!$A:$G,7,0)</f>
        <v>20.96</v>
      </c>
      <c r="T900" s="105">
        <f>VLOOKUP($F900,[6]装箱单!$A:$J,10,0)</f>
        <v>0.022365718032</v>
      </c>
      <c r="U900" s="71">
        <f t="shared" si="210"/>
        <v>54.326329099728</v>
      </c>
      <c r="V900" s="12"/>
    </row>
    <row r="901" s="1" customFormat="1" ht="29.1" customHeight="1" spans="1:22">
      <c r="A901" s="62" t="s">
        <v>2192</v>
      </c>
      <c r="B901" s="63" t="s">
        <v>2005</v>
      </c>
      <c r="C901" s="64"/>
      <c r="D901" s="66"/>
      <c r="E901" s="67"/>
      <c r="F901" s="66">
        <v>269060</v>
      </c>
      <c r="G901" s="67" t="s">
        <v>2203</v>
      </c>
      <c r="H901" s="67">
        <f>13500/27</f>
        <v>500</v>
      </c>
      <c r="I901" s="103">
        <f>+L901*27</f>
        <v>405</v>
      </c>
      <c r="J901" s="68" t="s">
        <v>32</v>
      </c>
      <c r="K901" s="68" t="s">
        <v>33</v>
      </c>
      <c r="L901" s="103">
        <v>15</v>
      </c>
      <c r="M901" s="104">
        <v>1</v>
      </c>
      <c r="N901" s="69"/>
      <c r="O901" s="67"/>
      <c r="P901" s="74"/>
      <c r="Q901" s="71"/>
      <c r="R901" s="71"/>
      <c r="S901" s="71"/>
      <c r="T901" s="105"/>
      <c r="U901" s="71"/>
      <c r="V901" s="12"/>
    </row>
    <row r="902" s="1" customFormat="1" ht="29.1" customHeight="1" spans="1:22">
      <c r="A902" s="62"/>
      <c r="B902" s="63"/>
      <c r="C902" s="64"/>
      <c r="D902" s="66"/>
      <c r="E902" s="67"/>
      <c r="F902" s="66"/>
      <c r="G902" s="67"/>
      <c r="H902" s="67"/>
      <c r="I902" s="103"/>
      <c r="J902" s="68"/>
      <c r="K902" s="68"/>
      <c r="L902" s="103"/>
      <c r="M902" s="104">
        <f>SUM(M895:M901)</f>
        <v>130.419546305743</v>
      </c>
      <c r="N902" s="69"/>
      <c r="O902" s="67"/>
      <c r="P902" s="75"/>
      <c r="Q902" s="71"/>
      <c r="R902" s="71"/>
      <c r="S902" s="71"/>
      <c r="T902" s="105"/>
      <c r="U902" s="71"/>
      <c r="V902" s="12"/>
    </row>
    <row r="903" s="1" customFormat="1" ht="29.1" customHeight="1" spans="1:22">
      <c r="A903" s="62">
        <v>46265</v>
      </c>
      <c r="B903" s="63" t="s">
        <v>415</v>
      </c>
      <c r="C903" s="64">
        <v>47021</v>
      </c>
      <c r="D903" s="66" t="s">
        <v>1823</v>
      </c>
      <c r="E903" s="67"/>
      <c r="F903" s="66">
        <v>470764</v>
      </c>
      <c r="G903" s="67" t="str">
        <f>VLOOKUP(F903,[6]装箱单!$A:$C,3,0)</f>
        <v>大型自卸车</v>
      </c>
      <c r="H903" s="67">
        <v>3506</v>
      </c>
      <c r="I903" s="103">
        <f t="shared" ref="I903:I906" si="211">+L903</f>
        <v>3506</v>
      </c>
      <c r="J903" s="68" t="s">
        <v>32</v>
      </c>
      <c r="K903" s="68" t="s">
        <v>33</v>
      </c>
      <c r="L903" s="103">
        <v>3506</v>
      </c>
      <c r="M903" s="104">
        <f t="shared" ref="M903:M906" si="212">+U903</f>
        <v>93.946776</v>
      </c>
      <c r="N903" s="69" t="s">
        <v>34</v>
      </c>
      <c r="O903" s="67"/>
      <c r="P903" s="70" t="s">
        <v>2204</v>
      </c>
      <c r="Q903" s="71">
        <f>VLOOKUP($F903,[6]装箱单!$A:$E,5,0)</f>
        <v>42</v>
      </c>
      <c r="R903" s="71">
        <f>VLOOKUP($F903,[6]装箱单!$A:$F,6,0)</f>
        <v>22</v>
      </c>
      <c r="S903" s="71">
        <f>VLOOKUP($F903,[6]装箱单!$A:$G,7,0)</f>
        <v>29</v>
      </c>
      <c r="T903" s="105">
        <f>VLOOKUP($F903,[6]装箱单!$A:$J,10,0)</f>
        <v>0.026796</v>
      </c>
      <c r="U903" s="71">
        <f t="shared" ref="U903:U906" si="213">+T903*L903</f>
        <v>93.946776</v>
      </c>
      <c r="V903" s="12"/>
    </row>
    <row r="904" s="1" customFormat="1" ht="29.1" customHeight="1" spans="1:22">
      <c r="A904" s="62">
        <v>46265</v>
      </c>
      <c r="B904" s="63" t="s">
        <v>40</v>
      </c>
      <c r="C904" s="64" t="s">
        <v>2205</v>
      </c>
      <c r="D904" s="66" t="s">
        <v>2206</v>
      </c>
      <c r="E904" s="67">
        <v>1003448936</v>
      </c>
      <c r="F904" s="66">
        <v>28483</v>
      </c>
      <c r="G904" s="67" t="str">
        <f>VLOOKUP(F904,[6]装箱单!$A:$C,3,0)</f>
        <v>振动球</v>
      </c>
      <c r="H904" s="67">
        <v>2880</v>
      </c>
      <c r="I904" s="68">
        <f t="shared" si="211"/>
        <v>2880</v>
      </c>
      <c r="J904" s="68" t="s">
        <v>32</v>
      </c>
      <c r="K904" s="68" t="s">
        <v>33</v>
      </c>
      <c r="L904" s="69">
        <v>2880</v>
      </c>
      <c r="M904" s="104">
        <f t="shared" si="212"/>
        <v>16.6253472</v>
      </c>
      <c r="N904" s="69" t="s">
        <v>34</v>
      </c>
      <c r="O904" s="67"/>
      <c r="P904" s="74"/>
      <c r="Q904" s="71">
        <f>VLOOKUP($F904,[6]装箱单!$A:$E,5,0)</f>
        <v>16.83</v>
      </c>
      <c r="R904" s="71">
        <f>VLOOKUP($F904,[6]装箱单!$A:$F,6,0)</f>
        <v>17.15</v>
      </c>
      <c r="S904" s="71">
        <f>VLOOKUP($F904,[6]装箱单!$A:$G,7,0)</f>
        <v>20</v>
      </c>
      <c r="T904" s="105">
        <f>VLOOKUP($F904,[6]装箱单!$A:$J,10,0)</f>
        <v>0.00577269</v>
      </c>
      <c r="U904" s="71">
        <f t="shared" si="213"/>
        <v>16.6253472</v>
      </c>
      <c r="V904" s="12"/>
    </row>
    <row r="905" s="1" customFormat="1" ht="29.1" customHeight="1" spans="1:22">
      <c r="A905" s="62">
        <v>46265</v>
      </c>
      <c r="B905" s="63" t="s">
        <v>40</v>
      </c>
      <c r="C905" s="64" t="s">
        <v>2207</v>
      </c>
      <c r="D905" s="66" t="s">
        <v>2208</v>
      </c>
      <c r="E905" s="140" t="s">
        <v>2209</v>
      </c>
      <c r="F905" s="66">
        <v>28483</v>
      </c>
      <c r="G905" s="67" t="str">
        <f>VLOOKUP(F905,[6]装箱单!$A:$C,3,0)</f>
        <v>振动球</v>
      </c>
      <c r="H905" s="67">
        <f>+I905</f>
        <v>1080</v>
      </c>
      <c r="I905" s="103">
        <f t="shared" si="211"/>
        <v>1080</v>
      </c>
      <c r="J905" s="68" t="s">
        <v>32</v>
      </c>
      <c r="K905" s="68" t="s">
        <v>33</v>
      </c>
      <c r="L905" s="103">
        <v>1080</v>
      </c>
      <c r="M905" s="104">
        <f t="shared" si="212"/>
        <v>6.2345052</v>
      </c>
      <c r="N905" s="69" t="s">
        <v>34</v>
      </c>
      <c r="O905" s="67"/>
      <c r="P905" s="74"/>
      <c r="Q905" s="71">
        <f>VLOOKUP($F905,[6]装箱单!$A:$E,5,0)</f>
        <v>16.83</v>
      </c>
      <c r="R905" s="71">
        <f>VLOOKUP($F905,[6]装箱单!$A:$F,6,0)</f>
        <v>17.15</v>
      </c>
      <c r="S905" s="71">
        <f>VLOOKUP($F905,[6]装箱单!$A:$G,7,0)</f>
        <v>20</v>
      </c>
      <c r="T905" s="105">
        <f>VLOOKUP($F905,[6]装箱单!$A:$J,10,0)</f>
        <v>0.00577269</v>
      </c>
      <c r="U905" s="71">
        <f t="shared" si="213"/>
        <v>6.2345052</v>
      </c>
      <c r="V905" s="12"/>
    </row>
    <row r="906" s="1" customFormat="1" ht="29.1" customHeight="1" spans="1:22">
      <c r="A906" s="62">
        <v>46265</v>
      </c>
      <c r="B906" s="63" t="s">
        <v>40</v>
      </c>
      <c r="C906" s="64" t="s">
        <v>2210</v>
      </c>
      <c r="D906" s="66" t="s">
        <v>2211</v>
      </c>
      <c r="E906" s="140" t="s">
        <v>2212</v>
      </c>
      <c r="F906" s="66">
        <v>28483</v>
      </c>
      <c r="G906" s="67" t="str">
        <f>VLOOKUP(F906,[6]装箱单!$A:$C,3,0)</f>
        <v>振动球</v>
      </c>
      <c r="H906" s="67">
        <f>+I906</f>
        <v>2160</v>
      </c>
      <c r="I906" s="103">
        <f t="shared" si="211"/>
        <v>2160</v>
      </c>
      <c r="J906" s="68" t="s">
        <v>32</v>
      </c>
      <c r="K906" s="68" t="s">
        <v>33</v>
      </c>
      <c r="L906" s="103">
        <v>2160</v>
      </c>
      <c r="M906" s="104">
        <f t="shared" si="212"/>
        <v>12.4690104</v>
      </c>
      <c r="N906" s="69" t="s">
        <v>34</v>
      </c>
      <c r="O906" s="67"/>
      <c r="P906" s="74"/>
      <c r="Q906" s="71">
        <f>VLOOKUP($F906,[6]装箱单!$A:$E,5,0)</f>
        <v>16.83</v>
      </c>
      <c r="R906" s="71">
        <f>VLOOKUP($F906,[6]装箱单!$A:$F,6,0)</f>
        <v>17.15</v>
      </c>
      <c r="S906" s="71">
        <f>VLOOKUP($F906,[6]装箱单!$A:$G,7,0)</f>
        <v>20</v>
      </c>
      <c r="T906" s="105">
        <f>VLOOKUP($F906,[6]装箱单!$A:$J,10,0)</f>
        <v>0.00577269</v>
      </c>
      <c r="U906" s="71">
        <f t="shared" si="213"/>
        <v>12.4690104</v>
      </c>
      <c r="V906" s="12"/>
    </row>
    <row r="907" s="1" customFormat="1" ht="29.1" customHeight="1" spans="1:22">
      <c r="A907" s="62">
        <v>46265</v>
      </c>
      <c r="B907" s="63"/>
      <c r="C907" s="64"/>
      <c r="D907" s="66"/>
      <c r="E907" s="67"/>
      <c r="F907" s="66">
        <v>470764</v>
      </c>
      <c r="G907" s="67" t="s">
        <v>2213</v>
      </c>
      <c r="H907" s="67">
        <v>1</v>
      </c>
      <c r="I907" s="103">
        <v>10000</v>
      </c>
      <c r="J907" s="68" t="s">
        <v>32</v>
      </c>
      <c r="K907" s="68" t="s">
        <v>218</v>
      </c>
      <c r="L907" s="103">
        <v>1</v>
      </c>
      <c r="M907" s="104"/>
      <c r="N907" s="69"/>
      <c r="O907" s="67"/>
      <c r="P907" s="74"/>
      <c r="Q907" s="71"/>
      <c r="R907" s="71"/>
      <c r="S907" s="71"/>
      <c r="T907" s="105"/>
      <c r="U907" s="71"/>
      <c r="V907" s="12"/>
    </row>
    <row r="908" s="1" customFormat="1" ht="29.1" customHeight="1" spans="1:22">
      <c r="A908" s="62"/>
      <c r="B908" s="63"/>
      <c r="C908" s="64"/>
      <c r="D908" s="66"/>
      <c r="E908" s="67"/>
      <c r="F908" s="66"/>
      <c r="G908" s="67"/>
      <c r="H908" s="67"/>
      <c r="I908" s="103"/>
      <c r="J908" s="68"/>
      <c r="K908" s="68"/>
      <c r="L908" s="103"/>
      <c r="M908" s="104">
        <f>SUM(M903:M906)</f>
        <v>129.2756388</v>
      </c>
      <c r="N908" s="69"/>
      <c r="O908" s="67"/>
      <c r="P908" s="75"/>
      <c r="Q908" s="71"/>
      <c r="R908" s="71"/>
      <c r="S908" s="71"/>
      <c r="T908" s="105"/>
      <c r="U908" s="71"/>
      <c r="V908" s="12"/>
    </row>
    <row r="909" s="1" customFormat="1" ht="29.1" customHeight="1" spans="1:22">
      <c r="A909" s="62">
        <v>46266</v>
      </c>
      <c r="B909" s="63" t="s">
        <v>40</v>
      </c>
      <c r="C909" s="64" t="s">
        <v>2214</v>
      </c>
      <c r="D909" s="66" t="s">
        <v>2215</v>
      </c>
      <c r="E909" s="140" t="s">
        <v>2216</v>
      </c>
      <c r="F909" s="66" t="s">
        <v>306</v>
      </c>
      <c r="G909" s="67" t="str">
        <f>VLOOKUP(F909,[6]装箱单!$A:$C,3,0)</f>
        <v>背包狗</v>
      </c>
      <c r="H909" s="67">
        <v>573</v>
      </c>
      <c r="I909" s="68">
        <f t="shared" ref="I909:I912" si="214">+L909</f>
        <v>573</v>
      </c>
      <c r="J909" s="68" t="s">
        <v>32</v>
      </c>
      <c r="K909" s="68" t="s">
        <v>33</v>
      </c>
      <c r="L909" s="69">
        <v>573</v>
      </c>
      <c r="M909" s="104">
        <f t="shared" ref="M909:M925" si="215">+U909</f>
        <v>9.031802017005</v>
      </c>
      <c r="N909" s="69" t="s">
        <v>34</v>
      </c>
      <c r="O909" s="67"/>
      <c r="P909" s="70" t="s">
        <v>53</v>
      </c>
      <c r="Q909" s="71">
        <f>VLOOKUP($F909,[6]装箱单!$A:$E,5,0)</f>
        <v>24.13</v>
      </c>
      <c r="R909" s="71">
        <f>VLOOKUP($F909,[6]装箱单!$A:$F,6,0)</f>
        <v>19.05</v>
      </c>
      <c r="S909" s="71">
        <f>VLOOKUP($F909,[6]装箱单!$A:$G,7,0)</f>
        <v>34.29</v>
      </c>
      <c r="T909" s="105">
        <f>VLOOKUP($F909,[6]装箱单!$A:$J,10,0)</f>
        <v>0.015762307185</v>
      </c>
      <c r="U909" s="71">
        <f t="shared" ref="U909:U925" si="216">+T909*L909</f>
        <v>9.031802017005</v>
      </c>
      <c r="V909" s="12"/>
    </row>
    <row r="910" s="1" customFormat="1" ht="29.1" customHeight="1" spans="1:22">
      <c r="A910" s="62">
        <v>46266</v>
      </c>
      <c r="B910" s="63" t="s">
        <v>40</v>
      </c>
      <c r="C910" s="64" t="s">
        <v>2217</v>
      </c>
      <c r="D910" s="66" t="s">
        <v>2218</v>
      </c>
      <c r="E910" s="140" t="s">
        <v>2219</v>
      </c>
      <c r="F910" s="66" t="s">
        <v>306</v>
      </c>
      <c r="G910" s="67" t="str">
        <f>VLOOKUP(F910,[6]装箱单!$A:$C,3,0)</f>
        <v>背包狗</v>
      </c>
      <c r="H910" s="67">
        <v>573</v>
      </c>
      <c r="I910" s="68">
        <f t="shared" si="214"/>
        <v>573</v>
      </c>
      <c r="J910" s="68" t="s">
        <v>32</v>
      </c>
      <c r="K910" s="68" t="s">
        <v>33</v>
      </c>
      <c r="L910" s="69">
        <v>573</v>
      </c>
      <c r="M910" s="104">
        <f t="shared" si="215"/>
        <v>9.031802017005</v>
      </c>
      <c r="N910" s="69" t="s">
        <v>34</v>
      </c>
      <c r="O910" s="67"/>
      <c r="P910" s="74"/>
      <c r="Q910" s="71">
        <f>VLOOKUP($F910,[6]装箱单!$A:$E,5,0)</f>
        <v>24.13</v>
      </c>
      <c r="R910" s="71">
        <f>VLOOKUP($F910,[6]装箱单!$A:$F,6,0)</f>
        <v>19.05</v>
      </c>
      <c r="S910" s="71">
        <f>VLOOKUP($F910,[6]装箱单!$A:$G,7,0)</f>
        <v>34.29</v>
      </c>
      <c r="T910" s="105">
        <f>VLOOKUP($F910,[6]装箱单!$A:$J,10,0)</f>
        <v>0.015762307185</v>
      </c>
      <c r="U910" s="71">
        <f t="shared" si="216"/>
        <v>9.031802017005</v>
      </c>
      <c r="V910" s="12"/>
    </row>
    <row r="911" s="1" customFormat="1" ht="29.1" customHeight="1" spans="1:22">
      <c r="A911" s="62">
        <v>46266</v>
      </c>
      <c r="B911" s="63" t="s">
        <v>40</v>
      </c>
      <c r="C911" s="64" t="s">
        <v>2220</v>
      </c>
      <c r="D911" s="66" t="s">
        <v>2221</v>
      </c>
      <c r="E911" s="140" t="s">
        <v>2222</v>
      </c>
      <c r="F911" s="66" t="s">
        <v>306</v>
      </c>
      <c r="G911" s="67" t="str">
        <f>VLOOKUP(F911,[6]装箱单!$A:$C,3,0)</f>
        <v>背包狗</v>
      </c>
      <c r="H911" s="67">
        <v>573</v>
      </c>
      <c r="I911" s="68">
        <f t="shared" si="214"/>
        <v>573</v>
      </c>
      <c r="J911" s="68" t="s">
        <v>32</v>
      </c>
      <c r="K911" s="68" t="s">
        <v>33</v>
      </c>
      <c r="L911" s="69">
        <v>573</v>
      </c>
      <c r="M911" s="104">
        <f t="shared" si="215"/>
        <v>9.031802017005</v>
      </c>
      <c r="N911" s="69" t="s">
        <v>34</v>
      </c>
      <c r="O911" s="67"/>
      <c r="P911" s="74"/>
      <c r="Q911" s="71">
        <f>VLOOKUP($F911,[6]装箱单!$A:$E,5,0)</f>
        <v>24.13</v>
      </c>
      <c r="R911" s="71">
        <f>VLOOKUP($F911,[6]装箱单!$A:$F,6,0)</f>
        <v>19.05</v>
      </c>
      <c r="S911" s="71">
        <f>VLOOKUP($F911,[6]装箱单!$A:$G,7,0)</f>
        <v>34.29</v>
      </c>
      <c r="T911" s="105">
        <f>VLOOKUP($F911,[6]装箱单!$A:$J,10,0)</f>
        <v>0.015762307185</v>
      </c>
      <c r="U911" s="71">
        <f t="shared" si="216"/>
        <v>9.031802017005</v>
      </c>
      <c r="V911" s="12"/>
    </row>
    <row r="912" s="1" customFormat="1" ht="29.1" customHeight="1" spans="1:22">
      <c r="A912" s="62">
        <v>46266</v>
      </c>
      <c r="B912" s="63" t="s">
        <v>40</v>
      </c>
      <c r="C912" s="64" t="s">
        <v>2223</v>
      </c>
      <c r="D912" s="66" t="s">
        <v>2224</v>
      </c>
      <c r="E912" s="140" t="s">
        <v>2225</v>
      </c>
      <c r="F912" s="66" t="s">
        <v>306</v>
      </c>
      <c r="G912" s="67" t="str">
        <f>VLOOKUP(F912,[6]装箱单!$A:$C,3,0)</f>
        <v>背包狗</v>
      </c>
      <c r="H912" s="67">
        <v>573</v>
      </c>
      <c r="I912" s="68">
        <f t="shared" si="214"/>
        <v>573</v>
      </c>
      <c r="J912" s="68" t="s">
        <v>32</v>
      </c>
      <c r="K912" s="68" t="s">
        <v>33</v>
      </c>
      <c r="L912" s="69">
        <v>573</v>
      </c>
      <c r="M912" s="104">
        <f t="shared" si="215"/>
        <v>9.031802017005</v>
      </c>
      <c r="N912" s="69" t="s">
        <v>34</v>
      </c>
      <c r="O912" s="67"/>
      <c r="P912" s="74"/>
      <c r="Q912" s="71">
        <f>VLOOKUP($F912,[6]装箱单!$A:$E,5,0)</f>
        <v>24.13</v>
      </c>
      <c r="R912" s="71">
        <f>VLOOKUP($F912,[6]装箱单!$A:$F,6,0)</f>
        <v>19.05</v>
      </c>
      <c r="S912" s="71">
        <f>VLOOKUP($F912,[6]装箱单!$A:$G,7,0)</f>
        <v>34.29</v>
      </c>
      <c r="T912" s="105">
        <f>VLOOKUP($F912,[6]装箱单!$A:$J,10,0)</f>
        <v>0.015762307185</v>
      </c>
      <c r="U912" s="71">
        <f t="shared" si="216"/>
        <v>9.031802017005</v>
      </c>
      <c r="V912" s="12"/>
    </row>
    <row r="913" s="1" customFormat="1" ht="29.1" customHeight="1" spans="1:22">
      <c r="A913" s="62">
        <v>46266</v>
      </c>
      <c r="B913" s="63" t="s">
        <v>40</v>
      </c>
      <c r="C913" s="64" t="s">
        <v>2226</v>
      </c>
      <c r="D913" s="66" t="s">
        <v>2227</v>
      </c>
      <c r="E913" s="140" t="s">
        <v>2228</v>
      </c>
      <c r="F913" s="66">
        <v>28481</v>
      </c>
      <c r="G913" s="67" t="str">
        <f>VLOOKUP(F913,[6]装箱单!$A:$C,3,0)</f>
        <v>骰子</v>
      </c>
      <c r="H913" s="67">
        <f t="shared" ref="H913:H920" si="217">+I913/4</f>
        <v>480</v>
      </c>
      <c r="I913" s="103">
        <f t="shared" ref="I913:I920" si="218">+L913*4</f>
        <v>1920</v>
      </c>
      <c r="J913" s="68" t="s">
        <v>32</v>
      </c>
      <c r="K913" s="68" t="s">
        <v>33</v>
      </c>
      <c r="L913" s="103">
        <v>480</v>
      </c>
      <c r="M913" s="104">
        <f t="shared" si="215"/>
        <v>4.83828876384</v>
      </c>
      <c r="N913" s="69" t="s">
        <v>34</v>
      </c>
      <c r="O913" s="67"/>
      <c r="P913" s="74"/>
      <c r="Q913" s="71">
        <f>VLOOKUP($F913,[6]装箱单!$A:$E,5,0)</f>
        <v>23.81</v>
      </c>
      <c r="R913" s="71">
        <f>VLOOKUP($F913,[6]装箱单!$A:$F,6,0)</f>
        <v>17.78</v>
      </c>
      <c r="S913" s="71">
        <f>VLOOKUP($F913,[6]装箱单!$A:$G,7,0)</f>
        <v>23.81</v>
      </c>
      <c r="T913" s="105">
        <f>VLOOKUP($F913,[6]装箱单!$A:$J,10,0)</f>
        <v>0.010079768258</v>
      </c>
      <c r="U913" s="71">
        <f t="shared" si="216"/>
        <v>4.83828876384</v>
      </c>
      <c r="V913" s="12"/>
    </row>
    <row r="914" s="1" customFormat="1" ht="29.1" customHeight="1" spans="1:22">
      <c r="A914" s="62">
        <v>46266</v>
      </c>
      <c r="B914" s="63" t="s">
        <v>40</v>
      </c>
      <c r="C914" s="64" t="s">
        <v>2220</v>
      </c>
      <c r="D914" s="66" t="s">
        <v>2221</v>
      </c>
      <c r="E914" s="140" t="s">
        <v>2222</v>
      </c>
      <c r="F914" s="66">
        <v>28481</v>
      </c>
      <c r="G914" s="67" t="str">
        <f>VLOOKUP(F914,[6]装箱单!$A:$C,3,0)</f>
        <v>骰子</v>
      </c>
      <c r="H914" s="67">
        <f t="shared" si="217"/>
        <v>720</v>
      </c>
      <c r="I914" s="103">
        <f t="shared" si="218"/>
        <v>2880</v>
      </c>
      <c r="J914" s="68" t="s">
        <v>32</v>
      </c>
      <c r="K914" s="68" t="s">
        <v>33</v>
      </c>
      <c r="L914" s="103">
        <v>720</v>
      </c>
      <c r="M914" s="104">
        <f t="shared" si="215"/>
        <v>7.25743314576</v>
      </c>
      <c r="N914" s="69" t="s">
        <v>34</v>
      </c>
      <c r="O914" s="67"/>
      <c r="P914" s="74"/>
      <c r="Q914" s="71">
        <f>VLOOKUP($F914,[6]装箱单!$A:$E,5,0)</f>
        <v>23.81</v>
      </c>
      <c r="R914" s="71">
        <f>VLOOKUP($F914,[6]装箱单!$A:$F,6,0)</f>
        <v>17.78</v>
      </c>
      <c r="S914" s="71">
        <f>VLOOKUP($F914,[6]装箱单!$A:$G,7,0)</f>
        <v>23.81</v>
      </c>
      <c r="T914" s="105">
        <f>VLOOKUP($F914,[6]装箱单!$A:$J,10,0)</f>
        <v>0.010079768258</v>
      </c>
      <c r="U914" s="71">
        <f t="shared" si="216"/>
        <v>7.25743314576</v>
      </c>
      <c r="V914" s="12"/>
    </row>
    <row r="915" s="1" customFormat="1" ht="29.1" customHeight="1" spans="1:22">
      <c r="A915" s="62">
        <v>46266</v>
      </c>
      <c r="B915" s="63" t="s">
        <v>40</v>
      </c>
      <c r="C915" s="64" t="s">
        <v>2223</v>
      </c>
      <c r="D915" s="66" t="s">
        <v>2224</v>
      </c>
      <c r="E915" s="140" t="s">
        <v>2225</v>
      </c>
      <c r="F915" s="66">
        <v>28481</v>
      </c>
      <c r="G915" s="67" t="str">
        <f>VLOOKUP(F915,[6]装箱单!$A:$C,3,0)</f>
        <v>骰子</v>
      </c>
      <c r="H915" s="67">
        <f t="shared" si="217"/>
        <v>720</v>
      </c>
      <c r="I915" s="103">
        <f t="shared" si="218"/>
        <v>2880</v>
      </c>
      <c r="J915" s="68" t="s">
        <v>32</v>
      </c>
      <c r="K915" s="68" t="s">
        <v>33</v>
      </c>
      <c r="L915" s="103">
        <v>720</v>
      </c>
      <c r="M915" s="104">
        <f t="shared" si="215"/>
        <v>7.25743314576</v>
      </c>
      <c r="N915" s="69" t="s">
        <v>34</v>
      </c>
      <c r="O915" s="67"/>
      <c r="P915" s="74"/>
      <c r="Q915" s="71">
        <f>VLOOKUP($F915,[6]装箱单!$A:$E,5,0)</f>
        <v>23.81</v>
      </c>
      <c r="R915" s="71">
        <f>VLOOKUP($F915,[6]装箱单!$A:$F,6,0)</f>
        <v>17.78</v>
      </c>
      <c r="S915" s="71">
        <f>VLOOKUP($F915,[6]装箱单!$A:$G,7,0)</f>
        <v>23.81</v>
      </c>
      <c r="T915" s="105">
        <f>VLOOKUP($F915,[6]装箱单!$A:$J,10,0)</f>
        <v>0.010079768258</v>
      </c>
      <c r="U915" s="71">
        <f t="shared" si="216"/>
        <v>7.25743314576</v>
      </c>
      <c r="V915" s="12"/>
    </row>
    <row r="916" s="1" customFormat="1" ht="29.1" customHeight="1" spans="1:22">
      <c r="A916" s="62">
        <v>46266</v>
      </c>
      <c r="B916" s="63" t="s">
        <v>40</v>
      </c>
      <c r="C916" s="64" t="s">
        <v>2229</v>
      </c>
      <c r="D916" s="66" t="s">
        <v>2230</v>
      </c>
      <c r="E916" s="140" t="s">
        <v>2231</v>
      </c>
      <c r="F916" s="66">
        <v>28481</v>
      </c>
      <c r="G916" s="67" t="str">
        <f>VLOOKUP(F916,[6]装箱单!$A:$C,3,0)</f>
        <v>骰子</v>
      </c>
      <c r="H916" s="67">
        <f t="shared" si="217"/>
        <v>480</v>
      </c>
      <c r="I916" s="103">
        <f t="shared" si="218"/>
        <v>1920</v>
      </c>
      <c r="J916" s="68" t="s">
        <v>32</v>
      </c>
      <c r="K916" s="68" t="s">
        <v>33</v>
      </c>
      <c r="L916" s="103">
        <v>480</v>
      </c>
      <c r="M916" s="104">
        <f t="shared" si="215"/>
        <v>4.83828876384</v>
      </c>
      <c r="N916" s="69" t="s">
        <v>34</v>
      </c>
      <c r="O916" s="67"/>
      <c r="P916" s="74"/>
      <c r="Q916" s="71">
        <f>VLOOKUP($F916,[6]装箱单!$A:$E,5,0)</f>
        <v>23.81</v>
      </c>
      <c r="R916" s="71">
        <f>VLOOKUP($F916,[6]装箱单!$A:$F,6,0)</f>
        <v>17.78</v>
      </c>
      <c r="S916" s="71">
        <f>VLOOKUP($F916,[6]装箱单!$A:$G,7,0)</f>
        <v>23.81</v>
      </c>
      <c r="T916" s="105">
        <f>VLOOKUP($F916,[6]装箱单!$A:$J,10,0)</f>
        <v>0.010079768258</v>
      </c>
      <c r="U916" s="71">
        <f t="shared" si="216"/>
        <v>4.83828876384</v>
      </c>
      <c r="V916" s="12"/>
    </row>
    <row r="917" s="1" customFormat="1" ht="29.1" customHeight="1" spans="1:22">
      <c r="A917" s="62">
        <v>46266</v>
      </c>
      <c r="B917" s="63" t="s">
        <v>40</v>
      </c>
      <c r="C917" s="64" t="s">
        <v>2205</v>
      </c>
      <c r="D917" s="66" t="s">
        <v>2206</v>
      </c>
      <c r="E917" s="67">
        <v>1003448936</v>
      </c>
      <c r="F917" s="66">
        <v>28481</v>
      </c>
      <c r="G917" s="67" t="str">
        <f>VLOOKUP(F917,[6]装箱单!$A:$C,3,0)</f>
        <v>骰子</v>
      </c>
      <c r="H917" s="67">
        <f t="shared" si="217"/>
        <v>480</v>
      </c>
      <c r="I917" s="103">
        <f t="shared" si="218"/>
        <v>1920</v>
      </c>
      <c r="J917" s="68" t="s">
        <v>32</v>
      </c>
      <c r="K917" s="68" t="s">
        <v>33</v>
      </c>
      <c r="L917" s="103">
        <v>480</v>
      </c>
      <c r="M917" s="104">
        <f t="shared" si="215"/>
        <v>4.83828876384</v>
      </c>
      <c r="N917" s="69" t="s">
        <v>34</v>
      </c>
      <c r="O917" s="67"/>
      <c r="P917" s="74"/>
      <c r="Q917" s="71">
        <f>VLOOKUP($F917,[6]装箱单!$A:$E,5,0)</f>
        <v>23.81</v>
      </c>
      <c r="R917" s="71">
        <f>VLOOKUP($F917,[6]装箱单!$A:$F,6,0)</f>
        <v>17.78</v>
      </c>
      <c r="S917" s="71">
        <f>VLOOKUP($F917,[6]装箱单!$A:$G,7,0)</f>
        <v>23.81</v>
      </c>
      <c r="T917" s="105">
        <f>VLOOKUP($F917,[6]装箱单!$A:$J,10,0)</f>
        <v>0.010079768258</v>
      </c>
      <c r="U917" s="71">
        <f t="shared" si="216"/>
        <v>4.83828876384</v>
      </c>
      <c r="V917" s="12"/>
    </row>
    <row r="918" s="1" customFormat="1" ht="29.1" customHeight="1" spans="1:22">
      <c r="A918" s="62">
        <v>46266</v>
      </c>
      <c r="B918" s="63" t="s">
        <v>40</v>
      </c>
      <c r="C918" s="64" t="s">
        <v>2193</v>
      </c>
      <c r="D918" s="66" t="s">
        <v>2194</v>
      </c>
      <c r="E918" s="140" t="s">
        <v>2195</v>
      </c>
      <c r="F918" s="66">
        <v>28481</v>
      </c>
      <c r="G918" s="67" t="str">
        <f>VLOOKUP(F918,[6]装箱单!$A:$C,3,0)</f>
        <v>骰子</v>
      </c>
      <c r="H918" s="67">
        <f t="shared" si="217"/>
        <v>480</v>
      </c>
      <c r="I918" s="103">
        <f t="shared" si="218"/>
        <v>1920</v>
      </c>
      <c r="J918" s="68" t="s">
        <v>32</v>
      </c>
      <c r="K918" s="68" t="s">
        <v>33</v>
      </c>
      <c r="L918" s="103">
        <v>480</v>
      </c>
      <c r="M918" s="104">
        <f t="shared" si="215"/>
        <v>4.83828876384</v>
      </c>
      <c r="N918" s="69" t="s">
        <v>34</v>
      </c>
      <c r="O918" s="67"/>
      <c r="P918" s="74"/>
      <c r="Q918" s="71">
        <f>VLOOKUP($F918,[6]装箱单!$A:$E,5,0)</f>
        <v>23.81</v>
      </c>
      <c r="R918" s="71">
        <f>VLOOKUP($F918,[6]装箱单!$A:$F,6,0)</f>
        <v>17.78</v>
      </c>
      <c r="S918" s="71">
        <f>VLOOKUP($F918,[6]装箱单!$A:$G,7,0)</f>
        <v>23.81</v>
      </c>
      <c r="T918" s="105">
        <f>VLOOKUP($F918,[6]装箱单!$A:$J,10,0)</f>
        <v>0.010079768258</v>
      </c>
      <c r="U918" s="71">
        <f t="shared" si="216"/>
        <v>4.83828876384</v>
      </c>
      <c r="V918" s="12"/>
    </row>
    <row r="919" s="1" customFormat="1" ht="29.1" customHeight="1" spans="1:22">
      <c r="A919" s="62">
        <v>46266</v>
      </c>
      <c r="B919" s="63" t="s">
        <v>40</v>
      </c>
      <c r="C919" s="64" t="s">
        <v>2214</v>
      </c>
      <c r="D919" s="66" t="s">
        <v>2215</v>
      </c>
      <c r="E919" s="140" t="s">
        <v>2216</v>
      </c>
      <c r="F919" s="66">
        <v>28481</v>
      </c>
      <c r="G919" s="67" t="str">
        <f>VLOOKUP(F919,[6]装箱单!$A:$C,3,0)</f>
        <v>骰子</v>
      </c>
      <c r="H919" s="67">
        <f t="shared" si="217"/>
        <v>480</v>
      </c>
      <c r="I919" s="103">
        <f t="shared" si="218"/>
        <v>1920</v>
      </c>
      <c r="J919" s="68" t="s">
        <v>32</v>
      </c>
      <c r="K919" s="68" t="s">
        <v>33</v>
      </c>
      <c r="L919" s="103">
        <v>480</v>
      </c>
      <c r="M919" s="104">
        <f t="shared" si="215"/>
        <v>4.83828876384</v>
      </c>
      <c r="N919" s="69" t="s">
        <v>34</v>
      </c>
      <c r="O919" s="67"/>
      <c r="P919" s="74"/>
      <c r="Q919" s="71">
        <f>VLOOKUP($F919,[6]装箱单!$A:$E,5,0)</f>
        <v>23.81</v>
      </c>
      <c r="R919" s="71">
        <f>VLOOKUP($F919,[6]装箱单!$A:$F,6,0)</f>
        <v>17.78</v>
      </c>
      <c r="S919" s="71">
        <f>VLOOKUP($F919,[6]装箱单!$A:$G,7,0)</f>
        <v>23.81</v>
      </c>
      <c r="T919" s="105">
        <f>VLOOKUP($F919,[6]装箱单!$A:$J,10,0)</f>
        <v>0.010079768258</v>
      </c>
      <c r="U919" s="71">
        <f t="shared" si="216"/>
        <v>4.83828876384</v>
      </c>
      <c r="V919" s="12"/>
    </row>
    <row r="920" s="1" customFormat="1" ht="29.1" customHeight="1" spans="1:22">
      <c r="A920" s="62">
        <v>46266</v>
      </c>
      <c r="B920" s="63" t="s">
        <v>40</v>
      </c>
      <c r="C920" s="64" t="s">
        <v>2217</v>
      </c>
      <c r="D920" s="66" t="s">
        <v>2218</v>
      </c>
      <c r="E920" s="140" t="s">
        <v>2219</v>
      </c>
      <c r="F920" s="66">
        <v>28481</v>
      </c>
      <c r="G920" s="67" t="str">
        <f>VLOOKUP(F920,[6]装箱单!$A:$C,3,0)</f>
        <v>骰子</v>
      </c>
      <c r="H920" s="67">
        <f t="shared" si="217"/>
        <v>600</v>
      </c>
      <c r="I920" s="103">
        <f t="shared" si="218"/>
        <v>2400</v>
      </c>
      <c r="J920" s="68" t="s">
        <v>32</v>
      </c>
      <c r="K920" s="68" t="s">
        <v>33</v>
      </c>
      <c r="L920" s="103">
        <v>600</v>
      </c>
      <c r="M920" s="104">
        <f t="shared" si="215"/>
        <v>6.0478609548</v>
      </c>
      <c r="N920" s="69" t="s">
        <v>34</v>
      </c>
      <c r="O920" s="67"/>
      <c r="P920" s="74"/>
      <c r="Q920" s="71">
        <f>VLOOKUP($F920,[6]装箱单!$A:$E,5,0)</f>
        <v>23.81</v>
      </c>
      <c r="R920" s="71">
        <f>VLOOKUP($F920,[6]装箱单!$A:$F,6,0)</f>
        <v>17.78</v>
      </c>
      <c r="S920" s="71">
        <f>VLOOKUP($F920,[6]装箱单!$A:$G,7,0)</f>
        <v>23.81</v>
      </c>
      <c r="T920" s="105">
        <f>VLOOKUP($F920,[6]装箱单!$A:$J,10,0)</f>
        <v>0.010079768258</v>
      </c>
      <c r="U920" s="71">
        <f t="shared" si="216"/>
        <v>6.0478609548</v>
      </c>
      <c r="V920" s="12"/>
    </row>
    <row r="921" s="1" customFormat="1" ht="29.1" customHeight="1" spans="1:22">
      <c r="A921" s="62">
        <v>46266</v>
      </c>
      <c r="B921" s="63" t="s">
        <v>40</v>
      </c>
      <c r="C921" s="79" t="s">
        <v>2232</v>
      </c>
      <c r="D921" s="66" t="s">
        <v>2233</v>
      </c>
      <c r="E921" s="67" t="s">
        <v>2234</v>
      </c>
      <c r="F921" s="66" t="s">
        <v>179</v>
      </c>
      <c r="G921" s="67" t="str">
        <f>VLOOKUP(F921,[6]装箱单!$A:$C,3,0)</f>
        <v>搪胶小鸭</v>
      </c>
      <c r="H921" s="67">
        <v>450</v>
      </c>
      <c r="I921" s="68">
        <f t="shared" ref="I921:I923" si="219">+L921*24</f>
        <v>10800</v>
      </c>
      <c r="J921" s="68" t="s">
        <v>32</v>
      </c>
      <c r="K921" s="68" t="s">
        <v>33</v>
      </c>
      <c r="L921" s="69">
        <v>450</v>
      </c>
      <c r="M921" s="104">
        <f t="shared" si="215"/>
        <v>5.98455</v>
      </c>
      <c r="N921" s="69" t="s">
        <v>57</v>
      </c>
      <c r="O921" s="67" t="s">
        <v>2235</v>
      </c>
      <c r="P921" s="74"/>
      <c r="Q921" s="71">
        <f>VLOOKUP($F921,[6]装箱单!$A:$E,5,0)</f>
        <v>31</v>
      </c>
      <c r="R921" s="71">
        <f>VLOOKUP($F921,[6]装箱单!$A:$F,6,0)</f>
        <v>22</v>
      </c>
      <c r="S921" s="71">
        <f>VLOOKUP($F921,[6]装箱单!$A:$G,7,0)</f>
        <v>19.5</v>
      </c>
      <c r="T921" s="105">
        <f>VLOOKUP($F921,[6]装箱单!$A:$J,10,0)</f>
        <v>0.013299</v>
      </c>
      <c r="U921" s="71">
        <f t="shared" si="216"/>
        <v>5.98455</v>
      </c>
      <c r="V921" s="12"/>
    </row>
    <row r="922" s="1" customFormat="1" ht="29.1" customHeight="1" spans="1:22">
      <c r="A922" s="62">
        <v>46266</v>
      </c>
      <c r="B922" s="63" t="s">
        <v>40</v>
      </c>
      <c r="C922" s="79" t="s">
        <v>2236</v>
      </c>
      <c r="D922" s="66" t="s">
        <v>2237</v>
      </c>
      <c r="E922" s="67" t="s">
        <v>2238</v>
      </c>
      <c r="F922" s="66" t="s">
        <v>179</v>
      </c>
      <c r="G922" s="67" t="str">
        <f>VLOOKUP(F922,[6]装箱单!$A:$C,3,0)</f>
        <v>搪胶小鸭</v>
      </c>
      <c r="H922" s="67">
        <v>360</v>
      </c>
      <c r="I922" s="68">
        <f t="shared" si="219"/>
        <v>8640</v>
      </c>
      <c r="J922" s="68" t="s">
        <v>32</v>
      </c>
      <c r="K922" s="68" t="s">
        <v>33</v>
      </c>
      <c r="L922" s="69">
        <v>360</v>
      </c>
      <c r="M922" s="104">
        <f t="shared" si="215"/>
        <v>4.78764</v>
      </c>
      <c r="N922" s="69" t="s">
        <v>57</v>
      </c>
      <c r="O922" s="67" t="s">
        <v>2235</v>
      </c>
      <c r="P922" s="74"/>
      <c r="Q922" s="71">
        <f>VLOOKUP($F922,[6]装箱单!$A:$E,5,0)</f>
        <v>31</v>
      </c>
      <c r="R922" s="71">
        <f>VLOOKUP($F922,[6]装箱单!$A:$F,6,0)</f>
        <v>22</v>
      </c>
      <c r="S922" s="71">
        <f>VLOOKUP($F922,[6]装箱单!$A:$G,7,0)</f>
        <v>19.5</v>
      </c>
      <c r="T922" s="105">
        <f>VLOOKUP($F922,[6]装箱单!$A:$J,10,0)</f>
        <v>0.013299</v>
      </c>
      <c r="U922" s="71">
        <f t="shared" si="216"/>
        <v>4.78764</v>
      </c>
      <c r="V922" s="12"/>
    </row>
    <row r="923" s="1" customFormat="1" ht="29.1" customHeight="1" spans="1:22">
      <c r="A923" s="62">
        <v>46266</v>
      </c>
      <c r="B923" s="63" t="s">
        <v>1782</v>
      </c>
      <c r="C923" s="79" t="s">
        <v>2239</v>
      </c>
      <c r="D923" s="66" t="s">
        <v>2240</v>
      </c>
      <c r="E923" s="66">
        <v>999648407</v>
      </c>
      <c r="F923" s="66" t="s">
        <v>179</v>
      </c>
      <c r="G923" s="67" t="str">
        <f>VLOOKUP(F923,[6]装箱单!$A:$C,3,0)</f>
        <v>搪胶小鸭</v>
      </c>
      <c r="H923" s="67">
        <v>45</v>
      </c>
      <c r="I923" s="68">
        <f t="shared" si="219"/>
        <v>1080</v>
      </c>
      <c r="J923" s="68" t="s">
        <v>32</v>
      </c>
      <c r="K923" s="68" t="s">
        <v>33</v>
      </c>
      <c r="L923" s="69">
        <v>45</v>
      </c>
      <c r="M923" s="104">
        <f t="shared" si="215"/>
        <v>0.598455</v>
      </c>
      <c r="N923" s="69" t="s">
        <v>57</v>
      </c>
      <c r="O923" s="67" t="s">
        <v>2235</v>
      </c>
      <c r="P923" s="74"/>
      <c r="Q923" s="71">
        <f>VLOOKUP($F923,[6]装箱单!$A:$E,5,0)</f>
        <v>31</v>
      </c>
      <c r="R923" s="71">
        <f>VLOOKUP($F923,[6]装箱单!$A:$F,6,0)</f>
        <v>22</v>
      </c>
      <c r="S923" s="71">
        <f>VLOOKUP($F923,[6]装箱单!$A:$G,7,0)</f>
        <v>19.5</v>
      </c>
      <c r="T923" s="105">
        <f>VLOOKUP($F923,[6]装箱单!$A:$J,10,0)</f>
        <v>0.013299</v>
      </c>
      <c r="U923" s="71">
        <f t="shared" si="216"/>
        <v>0.598455</v>
      </c>
      <c r="V923" s="12"/>
    </row>
    <row r="924" s="1" customFormat="1" ht="29.1" customHeight="1" spans="1:22">
      <c r="A924" s="62">
        <v>46266</v>
      </c>
      <c r="B924" s="63" t="s">
        <v>40</v>
      </c>
      <c r="C924" s="64" t="s">
        <v>2136</v>
      </c>
      <c r="D924" s="66" t="s">
        <v>2137</v>
      </c>
      <c r="E924" s="66">
        <v>999523239</v>
      </c>
      <c r="F924" s="66">
        <v>28483</v>
      </c>
      <c r="G924" s="67" t="str">
        <f>VLOOKUP(F924,[6]装箱单!$A:$C,3,0)</f>
        <v>振动球</v>
      </c>
      <c r="H924" s="67">
        <f t="shared" ref="H924:H929" si="220">+I924</f>
        <v>1800</v>
      </c>
      <c r="I924" s="103">
        <f t="shared" ref="I924:I933" si="221">+L924</f>
        <v>1800</v>
      </c>
      <c r="J924" s="68" t="s">
        <v>32</v>
      </c>
      <c r="K924" s="68" t="s">
        <v>33</v>
      </c>
      <c r="L924" s="103">
        <v>1800</v>
      </c>
      <c r="M924" s="104">
        <f t="shared" si="215"/>
        <v>10.390842</v>
      </c>
      <c r="N924" s="69" t="s">
        <v>34</v>
      </c>
      <c r="O924" s="67"/>
      <c r="P924" s="74"/>
      <c r="Q924" s="71">
        <f>VLOOKUP($F924,[6]装箱单!$A:$E,5,0)</f>
        <v>16.83</v>
      </c>
      <c r="R924" s="71">
        <f>VLOOKUP($F924,[6]装箱单!$A:$F,6,0)</f>
        <v>17.15</v>
      </c>
      <c r="S924" s="71">
        <f>VLOOKUP($F924,[6]装箱单!$A:$G,7,0)</f>
        <v>20</v>
      </c>
      <c r="T924" s="105">
        <f>VLOOKUP($F924,[6]装箱单!$A:$J,10,0)</f>
        <v>0.00577269</v>
      </c>
      <c r="U924" s="71">
        <f t="shared" si="216"/>
        <v>10.390842</v>
      </c>
      <c r="V924" s="12"/>
    </row>
    <row r="925" s="1" customFormat="1" ht="29.1" customHeight="1" spans="1:22">
      <c r="A925" s="62">
        <v>46266</v>
      </c>
      <c r="B925" s="63" t="s">
        <v>40</v>
      </c>
      <c r="C925" s="64" t="s">
        <v>2207</v>
      </c>
      <c r="D925" s="66" t="s">
        <v>2208</v>
      </c>
      <c r="E925" s="140" t="s">
        <v>2209</v>
      </c>
      <c r="F925" s="66">
        <v>28483</v>
      </c>
      <c r="G925" s="67" t="str">
        <f>VLOOKUP(F925,[6]装箱单!$A:$C,3,0)</f>
        <v>振动球</v>
      </c>
      <c r="H925" s="67">
        <f t="shared" si="220"/>
        <v>720</v>
      </c>
      <c r="I925" s="103">
        <f t="shared" si="221"/>
        <v>720</v>
      </c>
      <c r="J925" s="68" t="s">
        <v>32</v>
      </c>
      <c r="K925" s="68" t="s">
        <v>33</v>
      </c>
      <c r="L925" s="103">
        <f>1800-1080</f>
        <v>720</v>
      </c>
      <c r="M925" s="104">
        <f t="shared" si="215"/>
        <v>4.1563368</v>
      </c>
      <c r="N925" s="69" t="s">
        <v>34</v>
      </c>
      <c r="O925" s="67"/>
      <c r="P925" s="74"/>
      <c r="Q925" s="71">
        <f>VLOOKUP($F925,[6]装箱单!$A:$E,5,0)</f>
        <v>16.83</v>
      </c>
      <c r="R925" s="71">
        <f>VLOOKUP($F925,[6]装箱单!$A:$F,6,0)</f>
        <v>17.15</v>
      </c>
      <c r="S925" s="71">
        <f>VLOOKUP($F925,[6]装箱单!$A:$G,7,0)</f>
        <v>20</v>
      </c>
      <c r="T925" s="105">
        <f>VLOOKUP($F925,[6]装箱单!$A:$J,10,0)</f>
        <v>0.00577269</v>
      </c>
      <c r="U925" s="71">
        <f t="shared" si="216"/>
        <v>4.1563368</v>
      </c>
      <c r="V925" s="12"/>
    </row>
    <row r="926" s="1" customFormat="1" ht="29.1" customHeight="1" spans="1:22">
      <c r="A926" s="62"/>
      <c r="B926" s="63"/>
      <c r="C926" s="64"/>
      <c r="D926" s="66"/>
      <c r="E926" s="67"/>
      <c r="F926" s="66"/>
      <c r="G926" s="67"/>
      <c r="H926" s="67"/>
      <c r="I926" s="103"/>
      <c r="J926" s="68"/>
      <c r="K926" s="68"/>
      <c r="L926" s="103"/>
      <c r="M926" s="104">
        <f>SUM(M909:M925)</f>
        <v>106.79920293354</v>
      </c>
      <c r="N926" s="69"/>
      <c r="O926" s="67"/>
      <c r="P926" s="75"/>
      <c r="Q926" s="71"/>
      <c r="R926" s="71"/>
      <c r="S926" s="71"/>
      <c r="T926" s="105"/>
      <c r="U926" s="71"/>
      <c r="V926" s="12"/>
    </row>
    <row r="927" s="1" customFormat="1" ht="29.1" customHeight="1" spans="1:22">
      <c r="A927" s="62">
        <v>46267</v>
      </c>
      <c r="B927" s="63" t="s">
        <v>2241</v>
      </c>
      <c r="C927" s="64" t="s">
        <v>2242</v>
      </c>
      <c r="D927" s="66" t="s">
        <v>2243</v>
      </c>
      <c r="E927" s="67"/>
      <c r="F927" s="66">
        <v>470764</v>
      </c>
      <c r="G927" s="67" t="str">
        <f>VLOOKUP(F927,[6]装箱单!$A:$C,3,0)</f>
        <v>大型自卸车</v>
      </c>
      <c r="H927" s="67">
        <v>1320</v>
      </c>
      <c r="I927" s="103">
        <f t="shared" si="221"/>
        <v>1320</v>
      </c>
      <c r="J927" s="68" t="s">
        <v>32</v>
      </c>
      <c r="K927" s="68" t="s">
        <v>33</v>
      </c>
      <c r="L927" s="103">
        <v>1320</v>
      </c>
      <c r="M927" s="104">
        <f t="shared" ref="M927:M934" si="222">+U927</f>
        <v>35.37072</v>
      </c>
      <c r="N927" s="69" t="s">
        <v>34</v>
      </c>
      <c r="O927" s="67"/>
      <c r="P927" s="74" t="s">
        <v>424</v>
      </c>
      <c r="Q927" s="71">
        <f>VLOOKUP($F927,[6]装箱单!$A:$E,5,0)</f>
        <v>42</v>
      </c>
      <c r="R927" s="71">
        <f>VLOOKUP($F927,[6]装箱单!$A:$F,6,0)</f>
        <v>22</v>
      </c>
      <c r="S927" s="71">
        <f>VLOOKUP($F927,[6]装箱单!$A:$G,7,0)</f>
        <v>29</v>
      </c>
      <c r="T927" s="105">
        <f>VLOOKUP($F927,[6]装箱单!$A:$J,10,0)</f>
        <v>0.026796</v>
      </c>
      <c r="U927" s="71">
        <f t="shared" ref="U927:U934" si="223">+T927*L927</f>
        <v>35.37072</v>
      </c>
      <c r="V927" s="12"/>
    </row>
    <row r="928" s="1" customFormat="1" ht="29.1" customHeight="1" spans="1:22">
      <c r="A928" s="62">
        <v>46267</v>
      </c>
      <c r="B928" s="63" t="s">
        <v>40</v>
      </c>
      <c r="C928" s="64" t="s">
        <v>2244</v>
      </c>
      <c r="D928" s="66" t="s">
        <v>2245</v>
      </c>
      <c r="E928" s="140" t="s">
        <v>2246</v>
      </c>
      <c r="F928" s="66">
        <v>28483</v>
      </c>
      <c r="G928" s="67" t="str">
        <f>VLOOKUP(F928,[6]装箱单!$A:$C,3,0)</f>
        <v>振动球</v>
      </c>
      <c r="H928" s="67">
        <f t="shared" si="220"/>
        <v>4320</v>
      </c>
      <c r="I928" s="103">
        <f t="shared" si="221"/>
        <v>4320</v>
      </c>
      <c r="J928" s="68" t="s">
        <v>32</v>
      </c>
      <c r="K928" s="68" t="s">
        <v>33</v>
      </c>
      <c r="L928" s="103">
        <v>4320</v>
      </c>
      <c r="M928" s="104">
        <f t="shared" si="222"/>
        <v>24.9380208</v>
      </c>
      <c r="N928" s="69" t="s">
        <v>34</v>
      </c>
      <c r="O928" s="67"/>
      <c r="P928" s="74"/>
      <c r="Q928" s="71">
        <f>VLOOKUP($F928,[6]装箱单!$A:$E,5,0)</f>
        <v>16.83</v>
      </c>
      <c r="R928" s="71">
        <f>VLOOKUP($F928,[6]装箱单!$A:$F,6,0)</f>
        <v>17.15</v>
      </c>
      <c r="S928" s="71">
        <f>VLOOKUP($F928,[6]装箱单!$A:$G,7,0)</f>
        <v>20</v>
      </c>
      <c r="T928" s="105">
        <f>VLOOKUP($F928,[6]装箱单!$A:$J,10,0)</f>
        <v>0.00577269</v>
      </c>
      <c r="U928" s="71">
        <f t="shared" si="223"/>
        <v>24.9380208</v>
      </c>
      <c r="V928" s="12"/>
    </row>
    <row r="929" s="1" customFormat="1" ht="29.1" customHeight="1" spans="1:22">
      <c r="A929" s="62">
        <v>46267</v>
      </c>
      <c r="B929" s="63" t="s">
        <v>40</v>
      </c>
      <c r="C929" s="64" t="s">
        <v>2247</v>
      </c>
      <c r="D929" s="66" t="s">
        <v>2248</v>
      </c>
      <c r="E929" s="140" t="s">
        <v>2249</v>
      </c>
      <c r="F929" s="66">
        <v>28483</v>
      </c>
      <c r="G929" s="67" t="str">
        <f>VLOOKUP(F929,[6]装箱单!$A:$C,3,0)</f>
        <v>振动球</v>
      </c>
      <c r="H929" s="67">
        <f t="shared" si="220"/>
        <v>2340</v>
      </c>
      <c r="I929" s="103">
        <f t="shared" si="221"/>
        <v>2340</v>
      </c>
      <c r="J929" s="68" t="s">
        <v>32</v>
      </c>
      <c r="K929" s="68" t="s">
        <v>33</v>
      </c>
      <c r="L929" s="103">
        <v>2340</v>
      </c>
      <c r="M929" s="104">
        <f t="shared" si="222"/>
        <v>13.5080946</v>
      </c>
      <c r="N929" s="69" t="s">
        <v>34</v>
      </c>
      <c r="O929" s="67"/>
      <c r="P929" s="74"/>
      <c r="Q929" s="71">
        <f>VLOOKUP($F929,[6]装箱单!$A:$E,5,0)</f>
        <v>16.83</v>
      </c>
      <c r="R929" s="71">
        <f>VLOOKUP($F929,[6]装箱单!$A:$F,6,0)</f>
        <v>17.15</v>
      </c>
      <c r="S929" s="71">
        <f>VLOOKUP($F929,[6]装箱单!$A:$G,7,0)</f>
        <v>20</v>
      </c>
      <c r="T929" s="105">
        <f>VLOOKUP($F929,[6]装箱单!$A:$J,10,0)</f>
        <v>0.00577269</v>
      </c>
      <c r="U929" s="71">
        <f t="shared" si="223"/>
        <v>13.5080946</v>
      </c>
      <c r="V929" s="12"/>
    </row>
    <row r="930" s="1" customFormat="1" ht="29.1" customHeight="1" spans="1:22">
      <c r="A930" s="62">
        <v>46267</v>
      </c>
      <c r="B930" s="63" t="s">
        <v>40</v>
      </c>
      <c r="C930" s="64" t="s">
        <v>2250</v>
      </c>
      <c r="D930" s="66" t="s">
        <v>2251</v>
      </c>
      <c r="E930" s="67">
        <v>1003448804</v>
      </c>
      <c r="F930" s="66">
        <v>28483</v>
      </c>
      <c r="G930" s="67" t="str">
        <f>VLOOKUP(F930,[6]装箱单!$A:$C,3,0)</f>
        <v>振动球</v>
      </c>
      <c r="H930" s="67">
        <v>1800</v>
      </c>
      <c r="I930" s="68">
        <f t="shared" si="221"/>
        <v>1800</v>
      </c>
      <c r="J930" s="68" t="s">
        <v>32</v>
      </c>
      <c r="K930" s="68" t="s">
        <v>33</v>
      </c>
      <c r="L930" s="69">
        <v>1800</v>
      </c>
      <c r="M930" s="104">
        <f t="shared" si="222"/>
        <v>10.390842</v>
      </c>
      <c r="N930" s="69" t="s">
        <v>34</v>
      </c>
      <c r="O930" s="67"/>
      <c r="P930" s="74"/>
      <c r="Q930" s="71">
        <f>VLOOKUP($F930,[6]装箱单!$A:$E,5,0)</f>
        <v>16.83</v>
      </c>
      <c r="R930" s="71">
        <f>VLOOKUP($F930,[6]装箱单!$A:$F,6,0)</f>
        <v>17.15</v>
      </c>
      <c r="S930" s="71">
        <f>VLOOKUP($F930,[6]装箱单!$A:$G,7,0)</f>
        <v>20</v>
      </c>
      <c r="T930" s="105">
        <f>VLOOKUP($F930,[6]装箱单!$A:$J,10,0)</f>
        <v>0.00577269</v>
      </c>
      <c r="U930" s="71">
        <f t="shared" si="223"/>
        <v>10.390842</v>
      </c>
      <c r="V930" s="12"/>
    </row>
    <row r="931" s="1" customFormat="1" ht="29.1" customHeight="1" spans="1:22">
      <c r="A931" s="62">
        <v>46267</v>
      </c>
      <c r="B931" s="63" t="s">
        <v>40</v>
      </c>
      <c r="C931" s="64" t="s">
        <v>2252</v>
      </c>
      <c r="D931" s="66" t="s">
        <v>2253</v>
      </c>
      <c r="E931" s="67">
        <v>1003449394</v>
      </c>
      <c r="F931" s="66">
        <v>28483</v>
      </c>
      <c r="G931" s="67" t="str">
        <f>VLOOKUP(F931,[6]装箱单!$A:$C,3,0)</f>
        <v>振动球</v>
      </c>
      <c r="H931" s="67">
        <v>1800</v>
      </c>
      <c r="I931" s="68">
        <f t="shared" si="221"/>
        <v>1800</v>
      </c>
      <c r="J931" s="68" t="s">
        <v>32</v>
      </c>
      <c r="K931" s="68" t="s">
        <v>33</v>
      </c>
      <c r="L931" s="69">
        <v>1800</v>
      </c>
      <c r="M931" s="104">
        <f t="shared" si="222"/>
        <v>10.390842</v>
      </c>
      <c r="N931" s="69" t="s">
        <v>34</v>
      </c>
      <c r="O931" s="67"/>
      <c r="P931" s="74"/>
      <c r="Q931" s="71">
        <f>VLOOKUP($F931,[6]装箱单!$A:$E,5,0)</f>
        <v>16.83</v>
      </c>
      <c r="R931" s="71">
        <f>VLOOKUP($F931,[6]装箱单!$A:$F,6,0)</f>
        <v>17.15</v>
      </c>
      <c r="S931" s="71">
        <f>VLOOKUP($F931,[6]装箱单!$A:$G,7,0)</f>
        <v>20</v>
      </c>
      <c r="T931" s="105">
        <f>VLOOKUP($F931,[6]装箱单!$A:$J,10,0)</f>
        <v>0.00577269</v>
      </c>
      <c r="U931" s="71">
        <f t="shared" si="223"/>
        <v>10.390842</v>
      </c>
      <c r="V931" s="12"/>
    </row>
    <row r="932" s="1" customFormat="1" ht="29.1" customHeight="1" spans="1:22">
      <c r="A932" s="62">
        <v>46267</v>
      </c>
      <c r="B932" s="63" t="s">
        <v>40</v>
      </c>
      <c r="C932" s="64" t="s">
        <v>2254</v>
      </c>
      <c r="D932" s="66" t="s">
        <v>2255</v>
      </c>
      <c r="E932" s="67">
        <v>1003449412</v>
      </c>
      <c r="F932" s="66">
        <v>28483</v>
      </c>
      <c r="G932" s="67" t="str">
        <f>VLOOKUP(F932,[6]装箱单!$A:$C,3,0)</f>
        <v>振动球</v>
      </c>
      <c r="H932" s="67">
        <v>2880</v>
      </c>
      <c r="I932" s="68">
        <f t="shared" si="221"/>
        <v>2880</v>
      </c>
      <c r="J932" s="68" t="s">
        <v>32</v>
      </c>
      <c r="K932" s="68" t="s">
        <v>33</v>
      </c>
      <c r="L932" s="69">
        <v>2880</v>
      </c>
      <c r="M932" s="104">
        <f t="shared" si="222"/>
        <v>16.6253472</v>
      </c>
      <c r="N932" s="69" t="s">
        <v>34</v>
      </c>
      <c r="O932" s="67"/>
      <c r="P932" s="74"/>
      <c r="Q932" s="71">
        <f>VLOOKUP($F932,[6]装箱单!$A:$E,5,0)</f>
        <v>16.83</v>
      </c>
      <c r="R932" s="71">
        <f>VLOOKUP($F932,[6]装箱单!$A:$F,6,0)</f>
        <v>17.15</v>
      </c>
      <c r="S932" s="71">
        <f>VLOOKUP($F932,[6]装箱单!$A:$G,7,0)</f>
        <v>20</v>
      </c>
      <c r="T932" s="105">
        <f>VLOOKUP($F932,[6]装箱单!$A:$J,10,0)</f>
        <v>0.00577269</v>
      </c>
      <c r="U932" s="71">
        <f t="shared" si="223"/>
        <v>16.6253472</v>
      </c>
      <c r="V932" s="12"/>
    </row>
    <row r="933" s="1" customFormat="1" ht="29.1" customHeight="1" spans="1:22">
      <c r="A933" s="62">
        <v>46267</v>
      </c>
      <c r="B933" s="63" t="s">
        <v>40</v>
      </c>
      <c r="C933" s="64" t="s">
        <v>2256</v>
      </c>
      <c r="D933" s="66" t="s">
        <v>2257</v>
      </c>
      <c r="E933" s="67">
        <v>1003449455</v>
      </c>
      <c r="F933" s="66">
        <v>28483</v>
      </c>
      <c r="G933" s="67" t="str">
        <f>VLOOKUP(F933,[6]装箱单!$A:$C,3,0)</f>
        <v>振动球</v>
      </c>
      <c r="H933" s="67">
        <v>1800</v>
      </c>
      <c r="I933" s="68">
        <f t="shared" si="221"/>
        <v>1440</v>
      </c>
      <c r="J933" s="68" t="s">
        <v>32</v>
      </c>
      <c r="K933" s="68" t="s">
        <v>33</v>
      </c>
      <c r="L933" s="69">
        <v>1440</v>
      </c>
      <c r="M933" s="104">
        <f t="shared" si="222"/>
        <v>8.3126736</v>
      </c>
      <c r="N933" s="69" t="s">
        <v>34</v>
      </c>
      <c r="O933" s="67"/>
      <c r="P933" s="74"/>
      <c r="Q933" s="71">
        <f>VLOOKUP($F933,[6]装箱单!$A:$E,5,0)</f>
        <v>16.83</v>
      </c>
      <c r="R933" s="71">
        <f>VLOOKUP($F933,[6]装箱单!$A:$F,6,0)</f>
        <v>17.15</v>
      </c>
      <c r="S933" s="71">
        <f>VLOOKUP($F933,[6]装箱单!$A:$G,7,0)</f>
        <v>20</v>
      </c>
      <c r="T933" s="105">
        <f>VLOOKUP($F933,[6]装箱单!$A:$J,10,0)</f>
        <v>0.00577269</v>
      </c>
      <c r="U933" s="71">
        <f t="shared" si="223"/>
        <v>8.3126736</v>
      </c>
      <c r="V933" s="12"/>
    </row>
    <row r="934" s="1" customFormat="1" ht="29.1" customHeight="1" spans="1:22">
      <c r="A934" s="62">
        <v>46267</v>
      </c>
      <c r="B934" s="63" t="s">
        <v>40</v>
      </c>
      <c r="C934" s="64" t="s">
        <v>2258</v>
      </c>
      <c r="D934" s="66" t="s">
        <v>2259</v>
      </c>
      <c r="E934" s="67" t="s">
        <v>2260</v>
      </c>
      <c r="F934" s="66" t="s">
        <v>179</v>
      </c>
      <c r="G934" s="67" t="str">
        <f>VLOOKUP(F934,[6]装箱单!$A:$C,3,0)</f>
        <v>搪胶小鸭</v>
      </c>
      <c r="H934" s="67">
        <v>450</v>
      </c>
      <c r="I934" s="68">
        <f>+L934*24</f>
        <v>10800</v>
      </c>
      <c r="J934" s="68" t="s">
        <v>32</v>
      </c>
      <c r="K934" s="68" t="s">
        <v>33</v>
      </c>
      <c r="L934" s="69">
        <v>450</v>
      </c>
      <c r="M934" s="104">
        <f t="shared" si="222"/>
        <v>5.98455</v>
      </c>
      <c r="N934" s="69" t="s">
        <v>34</v>
      </c>
      <c r="O934" s="67"/>
      <c r="P934" s="74"/>
      <c r="Q934" s="71">
        <f>VLOOKUP($F934,[6]装箱单!$A:$E,5,0)</f>
        <v>31</v>
      </c>
      <c r="R934" s="71">
        <f>VLOOKUP($F934,[6]装箱单!$A:$F,6,0)</f>
        <v>22</v>
      </c>
      <c r="S934" s="71">
        <f>VLOOKUP($F934,[6]装箱单!$A:$G,7,0)</f>
        <v>19.5</v>
      </c>
      <c r="T934" s="105">
        <f>VLOOKUP($F934,[6]装箱单!$A:$J,10,0)</f>
        <v>0.013299</v>
      </c>
      <c r="U934" s="71">
        <f t="shared" si="223"/>
        <v>5.98455</v>
      </c>
      <c r="V934" s="12"/>
    </row>
    <row r="935" s="1" customFormat="1" ht="29.1" customHeight="1" spans="1:22">
      <c r="A935" s="62"/>
      <c r="B935" s="63"/>
      <c r="C935" s="64"/>
      <c r="D935" s="66"/>
      <c r="E935" s="67"/>
      <c r="F935" s="66"/>
      <c r="G935" s="67"/>
      <c r="H935" s="67"/>
      <c r="I935" s="68"/>
      <c r="J935" s="68"/>
      <c r="K935" s="68"/>
      <c r="L935" s="69"/>
      <c r="M935" s="104">
        <f>SUM(M927:M934)</f>
        <v>125.5210902</v>
      </c>
      <c r="N935" s="69"/>
      <c r="O935" s="67"/>
      <c r="P935" s="75"/>
      <c r="Q935" s="71"/>
      <c r="R935" s="71"/>
      <c r="S935" s="71"/>
      <c r="T935" s="105"/>
      <c r="U935" s="71"/>
      <c r="V935" s="12"/>
    </row>
    <row r="936" s="1" customFormat="1" ht="29.1" customHeight="1" spans="1:22">
      <c r="A936" s="62">
        <v>46269</v>
      </c>
      <c r="B936" s="63" t="s">
        <v>40</v>
      </c>
      <c r="C936" s="64" t="s">
        <v>2256</v>
      </c>
      <c r="D936" s="66" t="s">
        <v>2257</v>
      </c>
      <c r="E936" s="67">
        <v>1003449455</v>
      </c>
      <c r="F936" s="66">
        <v>28483</v>
      </c>
      <c r="G936" s="67" t="str">
        <f>VLOOKUP(F936,[6]装箱单!$A:$C,3,0)</f>
        <v>振动球</v>
      </c>
      <c r="H936" s="67">
        <v>1800</v>
      </c>
      <c r="I936" s="68">
        <f>+L936</f>
        <v>360</v>
      </c>
      <c r="J936" s="68" t="s">
        <v>32</v>
      </c>
      <c r="K936" s="68" t="s">
        <v>33</v>
      </c>
      <c r="L936" s="69">
        <f>1800-1440</f>
        <v>360</v>
      </c>
      <c r="M936" s="104">
        <f t="shared" ref="M936:M940" si="224">+U936</f>
        <v>2.0781684</v>
      </c>
      <c r="N936" s="69" t="s">
        <v>34</v>
      </c>
      <c r="O936" s="67"/>
      <c r="P936" s="70" t="s">
        <v>2261</v>
      </c>
      <c r="Q936" s="71">
        <f>VLOOKUP($F936,[6]装箱单!$A:$E,5,0)</f>
        <v>16.83</v>
      </c>
      <c r="R936" s="71">
        <f>VLOOKUP($F936,[6]装箱单!$A:$F,6,0)</f>
        <v>17.15</v>
      </c>
      <c r="S936" s="71">
        <f>VLOOKUP($F936,[6]装箱单!$A:$G,7,0)</f>
        <v>20</v>
      </c>
      <c r="T936" s="105">
        <f>VLOOKUP($F936,[6]装箱单!$A:$J,10,0)</f>
        <v>0.00577269</v>
      </c>
      <c r="U936" s="71">
        <f t="shared" ref="U936:U940" si="225">+T936*L936</f>
        <v>2.0781684</v>
      </c>
      <c r="V936" s="12"/>
    </row>
    <row r="937" s="1" customFormat="1" ht="29.1" customHeight="1" spans="1:22">
      <c r="A937" s="62">
        <v>46269</v>
      </c>
      <c r="B937" s="63" t="s">
        <v>52</v>
      </c>
      <c r="C937" s="64">
        <v>47196</v>
      </c>
      <c r="D937" s="66" t="s">
        <v>2051</v>
      </c>
      <c r="E937" s="67"/>
      <c r="F937" s="66">
        <v>320398</v>
      </c>
      <c r="G937" s="67" t="str">
        <f>VLOOKUP(F937,[6]装箱单!$A:$C,3,0)</f>
        <v>兔子家族</v>
      </c>
      <c r="H937" s="67">
        <v>7105</v>
      </c>
      <c r="I937" s="68">
        <f t="shared" ref="I937:I939" si="226">+L937*4</f>
        <v>14212</v>
      </c>
      <c r="J937" s="68" t="s">
        <v>32</v>
      </c>
      <c r="K937" s="68" t="s">
        <v>33</v>
      </c>
      <c r="L937" s="69">
        <v>3553</v>
      </c>
      <c r="M937" s="104">
        <f t="shared" si="224"/>
        <v>36.56037</v>
      </c>
      <c r="N937" s="69" t="s">
        <v>34</v>
      </c>
      <c r="O937" s="67"/>
      <c r="P937" s="74"/>
      <c r="Q937" s="71">
        <f>VLOOKUP($F937,[6]装箱单!$A:$E,5,0)</f>
        <v>24.5</v>
      </c>
      <c r="R937" s="71">
        <f>VLOOKUP($F937,[6]装箱单!$A:$F,6,0)</f>
        <v>21</v>
      </c>
      <c r="S937" s="71">
        <f>VLOOKUP($F937,[6]装箱单!$A:$G,7,0)</f>
        <v>20</v>
      </c>
      <c r="T937" s="105">
        <f>VLOOKUP($F937,[6]装箱单!$A:$J,10,0)</f>
        <v>0.01029</v>
      </c>
      <c r="U937" s="71">
        <f t="shared" si="225"/>
        <v>36.56037</v>
      </c>
      <c r="V937" s="12"/>
    </row>
    <row r="938" s="1" customFormat="1" ht="29.1" customHeight="1" spans="1:22">
      <c r="A938" s="62">
        <v>46269</v>
      </c>
      <c r="B938" s="63" t="s">
        <v>52</v>
      </c>
      <c r="C938" s="64">
        <v>47196</v>
      </c>
      <c r="D938" s="66" t="s">
        <v>2051</v>
      </c>
      <c r="E938" s="67"/>
      <c r="F938" s="66">
        <v>470725</v>
      </c>
      <c r="G938" s="67" t="str">
        <f>VLOOKUP(F938,[6]装箱单!$A:$C,3,0)</f>
        <v>独角兽家族</v>
      </c>
      <c r="H938" s="67">
        <v>6069</v>
      </c>
      <c r="I938" s="68">
        <f t="shared" si="226"/>
        <v>14356</v>
      </c>
      <c r="J938" s="68" t="s">
        <v>32</v>
      </c>
      <c r="K938" s="68" t="s">
        <v>33</v>
      </c>
      <c r="L938" s="76">
        <v>3589</v>
      </c>
      <c r="M938" s="104">
        <f t="shared" si="224"/>
        <v>38.43819</v>
      </c>
      <c r="N938" s="69" t="s">
        <v>34</v>
      </c>
      <c r="O938" s="67"/>
      <c r="P938" s="74"/>
      <c r="Q938" s="71">
        <f>VLOOKUP($F938,[6]装箱单!$A:$E,5,0)</f>
        <v>25.5</v>
      </c>
      <c r="R938" s="71">
        <f>VLOOKUP($F938,[6]装箱单!$A:$F,6,0)</f>
        <v>21</v>
      </c>
      <c r="S938" s="71">
        <f>VLOOKUP($F938,[6]装箱单!$A:$G,7,0)</f>
        <v>20</v>
      </c>
      <c r="T938" s="105">
        <f>VLOOKUP($F938,[6]装箱单!$A:$J,10,0)</f>
        <v>0.01071</v>
      </c>
      <c r="U938" s="71">
        <f t="shared" si="225"/>
        <v>38.43819</v>
      </c>
      <c r="V938" s="12"/>
    </row>
    <row r="939" s="1" customFormat="1" ht="29.1" customHeight="1" spans="1:22">
      <c r="A939" s="62">
        <v>46269</v>
      </c>
      <c r="B939" s="63" t="s">
        <v>52</v>
      </c>
      <c r="C939" s="64">
        <v>47196</v>
      </c>
      <c r="D939" s="66" t="s">
        <v>2051</v>
      </c>
      <c r="E939" s="67"/>
      <c r="F939" s="66">
        <v>320399</v>
      </c>
      <c r="G939" s="67" t="str">
        <f>VLOOKUP(F939,[6]装箱单!$A:$C,3,0)</f>
        <v>猫家族</v>
      </c>
      <c r="H939" s="67">
        <v>7105</v>
      </c>
      <c r="I939" s="68">
        <f t="shared" si="226"/>
        <v>12220</v>
      </c>
      <c r="J939" s="68" t="s">
        <v>32</v>
      </c>
      <c r="K939" s="68" t="s">
        <v>33</v>
      </c>
      <c r="L939" s="76">
        <v>3055</v>
      </c>
      <c r="M939" s="104">
        <f t="shared" si="224"/>
        <v>31.43595</v>
      </c>
      <c r="N939" s="69" t="s">
        <v>34</v>
      </c>
      <c r="O939" s="67"/>
      <c r="P939" s="74"/>
      <c r="Q939" s="71">
        <f>VLOOKUP($F939,[6]装箱单!$A:$E,5,0)</f>
        <v>24.5</v>
      </c>
      <c r="R939" s="71">
        <f>VLOOKUP($F939,[6]装箱单!$A:$F,6,0)</f>
        <v>21</v>
      </c>
      <c r="S939" s="71">
        <f>VLOOKUP($F939,[6]装箱单!$A:$G,7,0)</f>
        <v>20</v>
      </c>
      <c r="T939" s="105">
        <f>VLOOKUP($F939,[6]装箱单!$A:$J,10,0)</f>
        <v>0.01029</v>
      </c>
      <c r="U939" s="71">
        <f t="shared" si="225"/>
        <v>31.43595</v>
      </c>
      <c r="V939" s="12"/>
    </row>
    <row r="940" s="1" customFormat="1" ht="29.1" customHeight="1" spans="1:22">
      <c r="A940" s="62">
        <v>46269</v>
      </c>
      <c r="B940" s="63" t="s">
        <v>52</v>
      </c>
      <c r="C940" s="64">
        <v>47470</v>
      </c>
      <c r="D940" s="66" t="s">
        <v>2052</v>
      </c>
      <c r="E940" s="67"/>
      <c r="F940" s="66">
        <v>470764</v>
      </c>
      <c r="G940" s="67" t="str">
        <f>VLOOKUP(F940,[6]装箱单!$A:$C,3,0)</f>
        <v>大型自卸车</v>
      </c>
      <c r="H940" s="67">
        <v>7000</v>
      </c>
      <c r="I940" s="103">
        <f t="shared" ref="I940:I947" si="227">+L940</f>
        <v>1058</v>
      </c>
      <c r="J940" s="68" t="s">
        <v>32</v>
      </c>
      <c r="K940" s="68" t="s">
        <v>33</v>
      </c>
      <c r="L940" s="103">
        <v>1058</v>
      </c>
      <c r="M940" s="104">
        <f t="shared" si="224"/>
        <v>28.350168</v>
      </c>
      <c r="N940" s="69" t="s">
        <v>34</v>
      </c>
      <c r="O940" s="67"/>
      <c r="P940" s="74"/>
      <c r="Q940" s="71">
        <f>VLOOKUP($F940,[6]装箱单!$A:$E,5,0)</f>
        <v>42</v>
      </c>
      <c r="R940" s="71">
        <f>VLOOKUP($F940,[6]装箱单!$A:$F,6,0)</f>
        <v>22</v>
      </c>
      <c r="S940" s="71">
        <f>VLOOKUP($F940,[6]装箱单!$A:$G,7,0)</f>
        <v>29</v>
      </c>
      <c r="T940" s="105">
        <f>VLOOKUP($F940,[6]装箱单!$A:$J,10,0)</f>
        <v>0.026796</v>
      </c>
      <c r="U940" s="71">
        <f t="shared" si="225"/>
        <v>28.350168</v>
      </c>
      <c r="V940" s="12"/>
    </row>
    <row r="941" s="1" customFormat="1" ht="29.1" customHeight="1" spans="1:22">
      <c r="A941" s="62"/>
      <c r="B941" s="63"/>
      <c r="C941" s="64"/>
      <c r="D941" s="66"/>
      <c r="E941" s="67"/>
      <c r="F941" s="66"/>
      <c r="G941" s="67"/>
      <c r="H941" s="67"/>
      <c r="I941" s="103"/>
      <c r="J941" s="68"/>
      <c r="K941" s="68"/>
      <c r="L941" s="103"/>
      <c r="M941" s="104">
        <f>SUM(M936:M940)</f>
        <v>136.8628464</v>
      </c>
      <c r="N941" s="69"/>
      <c r="O941" s="67"/>
      <c r="P941" s="75"/>
      <c r="Q941" s="71"/>
      <c r="R941" s="71"/>
      <c r="S941" s="71"/>
      <c r="T941" s="105"/>
      <c r="U941" s="71"/>
      <c r="V941" s="12"/>
    </row>
    <row r="942" s="1" customFormat="1" ht="29.1" customHeight="1" spans="1:22">
      <c r="A942" s="62">
        <v>46270</v>
      </c>
      <c r="B942" s="63" t="s">
        <v>52</v>
      </c>
      <c r="C942" s="64">
        <v>47470</v>
      </c>
      <c r="D942" s="66" t="s">
        <v>2052</v>
      </c>
      <c r="E942" s="67"/>
      <c r="F942" s="66">
        <v>470764</v>
      </c>
      <c r="G942" s="67" t="str">
        <f>VLOOKUP(F942,[6]装箱单!$A:$C,3,0)</f>
        <v>大型自卸车</v>
      </c>
      <c r="H942" s="67">
        <v>7000</v>
      </c>
      <c r="I942" s="103">
        <f t="shared" si="227"/>
        <v>5872</v>
      </c>
      <c r="J942" s="68" t="s">
        <v>32</v>
      </c>
      <c r="K942" s="68" t="s">
        <v>33</v>
      </c>
      <c r="L942" s="103">
        <f>7000-1058-70</f>
        <v>5872</v>
      </c>
      <c r="M942" s="104">
        <f t="shared" ref="M942:M952" si="228">+U942</f>
        <v>157.346112</v>
      </c>
      <c r="N942" s="69" t="s">
        <v>34</v>
      </c>
      <c r="O942" s="67"/>
      <c r="P942" s="70" t="s">
        <v>2262</v>
      </c>
      <c r="Q942" s="71">
        <f>VLOOKUP($F942,[6]装箱单!$A:$E,5,0)</f>
        <v>42</v>
      </c>
      <c r="R942" s="71">
        <f>VLOOKUP($F942,[6]装箱单!$A:$F,6,0)</f>
        <v>22</v>
      </c>
      <c r="S942" s="71">
        <f>VLOOKUP($F942,[6]装箱单!$A:$G,7,0)</f>
        <v>29</v>
      </c>
      <c r="T942" s="105">
        <f>VLOOKUP($F942,[6]装箱单!$A:$J,10,0)</f>
        <v>0.026796</v>
      </c>
      <c r="U942" s="71">
        <f>+T942*L942</f>
        <v>157.346112</v>
      </c>
      <c r="V942" s="12"/>
    </row>
    <row r="943" s="1" customFormat="1" ht="29.1" customHeight="1" spans="1:22">
      <c r="A943" s="62"/>
      <c r="B943" s="63"/>
      <c r="C943" s="64"/>
      <c r="D943" s="66"/>
      <c r="E943" s="67"/>
      <c r="F943" s="66"/>
      <c r="G943" s="67"/>
      <c r="H943" s="67"/>
      <c r="I943" s="103"/>
      <c r="J943" s="68"/>
      <c r="K943" s="68"/>
      <c r="L943" s="103"/>
      <c r="M943" s="104">
        <f>+M942</f>
        <v>157.346112</v>
      </c>
      <c r="N943" s="69"/>
      <c r="O943" s="67"/>
      <c r="P943" s="75"/>
      <c r="Q943" s="71"/>
      <c r="R943" s="71"/>
      <c r="S943" s="71"/>
      <c r="T943" s="105"/>
      <c r="U943" s="71"/>
      <c r="V943" s="12"/>
    </row>
    <row r="944" s="1" customFormat="1" ht="29.1" customHeight="1" spans="1:22">
      <c r="A944" s="62">
        <v>46272</v>
      </c>
      <c r="B944" s="63" t="s">
        <v>415</v>
      </c>
      <c r="C944" s="64" t="s">
        <v>2263</v>
      </c>
      <c r="D944" s="66" t="s">
        <v>1823</v>
      </c>
      <c r="E944" s="67"/>
      <c r="F944" s="66">
        <v>470764</v>
      </c>
      <c r="G944" s="67" t="str">
        <f>VLOOKUP(F944,[6]装箱单!$A:$C,3,0)</f>
        <v>大型自卸车</v>
      </c>
      <c r="H944" s="67">
        <v>3506</v>
      </c>
      <c r="I944" s="68">
        <f t="shared" si="227"/>
        <v>3506</v>
      </c>
      <c r="J944" s="68" t="s">
        <v>32</v>
      </c>
      <c r="K944" s="68" t="s">
        <v>33</v>
      </c>
      <c r="L944" s="69">
        <v>3506</v>
      </c>
      <c r="M944" s="104">
        <f t="shared" si="228"/>
        <v>93.946776</v>
      </c>
      <c r="N944" s="69" t="s">
        <v>34</v>
      </c>
      <c r="O944" s="67"/>
      <c r="P944" s="70" t="s">
        <v>2264</v>
      </c>
      <c r="Q944" s="71">
        <f>VLOOKUP($F944,[6]装箱单!$A:$E,5,0)</f>
        <v>42</v>
      </c>
      <c r="R944" s="71">
        <f>VLOOKUP($F944,[6]装箱单!$A:$F,6,0)</f>
        <v>22</v>
      </c>
      <c r="S944" s="71">
        <f>VLOOKUP($F944,[6]装箱单!$A:$G,7,0)</f>
        <v>29</v>
      </c>
      <c r="T944" s="105">
        <f>VLOOKUP($F944,[6]装箱单!$A:$J,10,0)</f>
        <v>0.026796</v>
      </c>
      <c r="U944" s="71">
        <f t="shared" ref="U944:U952" si="229">+T944*L944</f>
        <v>93.946776</v>
      </c>
      <c r="V944" s="12"/>
    </row>
    <row r="945" s="1" customFormat="1" ht="29.1" customHeight="1" spans="1:22">
      <c r="A945" s="62">
        <v>46272</v>
      </c>
      <c r="B945" s="63" t="s">
        <v>40</v>
      </c>
      <c r="C945" s="64" t="s">
        <v>2265</v>
      </c>
      <c r="D945" s="66" t="s">
        <v>2266</v>
      </c>
      <c r="E945" s="67">
        <v>1003449484</v>
      </c>
      <c r="F945" s="66">
        <v>28483</v>
      </c>
      <c r="G945" s="67" t="str">
        <f>VLOOKUP(F945,[6]装箱单!$A:$C,3,0)</f>
        <v>振动球</v>
      </c>
      <c r="H945" s="67">
        <v>1800</v>
      </c>
      <c r="I945" s="68">
        <f t="shared" si="227"/>
        <v>1800</v>
      </c>
      <c r="J945" s="68" t="s">
        <v>32</v>
      </c>
      <c r="K945" s="68" t="s">
        <v>33</v>
      </c>
      <c r="L945" s="69">
        <v>1800</v>
      </c>
      <c r="M945" s="104">
        <f t="shared" si="228"/>
        <v>10.390842</v>
      </c>
      <c r="N945" s="69" t="s">
        <v>34</v>
      </c>
      <c r="O945" s="67"/>
      <c r="P945" s="74"/>
      <c r="Q945" s="71">
        <f>VLOOKUP($F945,[6]装箱单!$A:$E,5,0)</f>
        <v>16.83</v>
      </c>
      <c r="R945" s="71">
        <f>VLOOKUP($F945,[6]装箱单!$A:$F,6,0)</f>
        <v>17.15</v>
      </c>
      <c r="S945" s="71">
        <f>VLOOKUP($F945,[6]装箱单!$A:$G,7,0)</f>
        <v>20</v>
      </c>
      <c r="T945" s="105">
        <f>VLOOKUP($F945,[6]装箱单!$A:$J,10,0)</f>
        <v>0.00577269</v>
      </c>
      <c r="U945" s="71">
        <f t="shared" si="229"/>
        <v>10.390842</v>
      </c>
      <c r="V945" s="12"/>
    </row>
    <row r="946" s="1" customFormat="1" ht="29.1" customHeight="1" spans="1:22">
      <c r="A946" s="62">
        <v>46272</v>
      </c>
      <c r="B946" s="63" t="s">
        <v>40</v>
      </c>
      <c r="C946" s="64" t="s">
        <v>2267</v>
      </c>
      <c r="D946" s="66" t="s">
        <v>2268</v>
      </c>
      <c r="E946" s="67">
        <v>1003449485</v>
      </c>
      <c r="F946" s="66">
        <v>28483</v>
      </c>
      <c r="G946" s="67" t="str">
        <f>VLOOKUP(F946,[6]装箱单!$A:$C,3,0)</f>
        <v>振动球</v>
      </c>
      <c r="H946" s="67">
        <v>1800</v>
      </c>
      <c r="I946" s="68">
        <f t="shared" si="227"/>
        <v>1800</v>
      </c>
      <c r="J946" s="68" t="s">
        <v>32</v>
      </c>
      <c r="K946" s="68" t="s">
        <v>33</v>
      </c>
      <c r="L946" s="69">
        <v>1800</v>
      </c>
      <c r="M946" s="104">
        <f t="shared" si="228"/>
        <v>10.390842</v>
      </c>
      <c r="N946" s="69" t="s">
        <v>34</v>
      </c>
      <c r="O946" s="67"/>
      <c r="P946" s="74"/>
      <c r="Q946" s="71">
        <f>VLOOKUP($F946,[6]装箱单!$A:$E,5,0)</f>
        <v>16.83</v>
      </c>
      <c r="R946" s="71">
        <f>VLOOKUP($F946,[6]装箱单!$A:$F,6,0)</f>
        <v>17.15</v>
      </c>
      <c r="S946" s="71">
        <f>VLOOKUP($F946,[6]装箱单!$A:$G,7,0)</f>
        <v>20</v>
      </c>
      <c r="T946" s="105">
        <f>VLOOKUP($F946,[6]装箱单!$A:$J,10,0)</f>
        <v>0.00577269</v>
      </c>
      <c r="U946" s="71">
        <f t="shared" si="229"/>
        <v>10.390842</v>
      </c>
      <c r="V946" s="12"/>
    </row>
    <row r="947" s="1" customFormat="1" ht="29.1" customHeight="1" spans="1:22">
      <c r="A947" s="62">
        <v>46272</v>
      </c>
      <c r="B947" s="63" t="s">
        <v>40</v>
      </c>
      <c r="C947" s="64" t="s">
        <v>2193</v>
      </c>
      <c r="D947" s="66" t="s">
        <v>2194</v>
      </c>
      <c r="E947" s="140" t="s">
        <v>2195</v>
      </c>
      <c r="F947" s="66">
        <v>28483</v>
      </c>
      <c r="G947" s="67" t="str">
        <f>VLOOKUP(F947,[6]装箱单!$A:$C,3,0)</f>
        <v>振动球</v>
      </c>
      <c r="H947" s="67">
        <v>1800</v>
      </c>
      <c r="I947" s="68">
        <f t="shared" si="227"/>
        <v>1800</v>
      </c>
      <c r="J947" s="68" t="s">
        <v>32</v>
      </c>
      <c r="K947" s="68" t="s">
        <v>33</v>
      </c>
      <c r="L947" s="69">
        <v>1800</v>
      </c>
      <c r="M947" s="104">
        <f t="shared" si="228"/>
        <v>10.390842</v>
      </c>
      <c r="N947" s="69" t="s">
        <v>34</v>
      </c>
      <c r="O947" s="67"/>
      <c r="P947" s="74"/>
      <c r="Q947" s="71">
        <f>VLOOKUP($F947,[6]装箱单!$A:$E,5,0)</f>
        <v>16.83</v>
      </c>
      <c r="R947" s="71">
        <f>VLOOKUP($F947,[6]装箱单!$A:$F,6,0)</f>
        <v>17.15</v>
      </c>
      <c r="S947" s="71">
        <f>VLOOKUP($F947,[6]装箱单!$A:$G,7,0)</f>
        <v>20</v>
      </c>
      <c r="T947" s="105">
        <f>VLOOKUP($F947,[6]装箱单!$A:$J,10,0)</f>
        <v>0.00577269</v>
      </c>
      <c r="U947" s="71">
        <f t="shared" si="229"/>
        <v>10.390842</v>
      </c>
      <c r="V947" s="12"/>
    </row>
    <row r="948" s="1" customFormat="1" ht="29.1" customHeight="1" spans="1:22">
      <c r="A948" s="62">
        <v>46272</v>
      </c>
      <c r="B948" s="63" t="s">
        <v>1782</v>
      </c>
      <c r="C948" s="64" t="s">
        <v>2254</v>
      </c>
      <c r="D948" s="66" t="s">
        <v>2255</v>
      </c>
      <c r="E948" s="66">
        <v>1003449412</v>
      </c>
      <c r="F948" s="66">
        <v>28481</v>
      </c>
      <c r="G948" s="67" t="str">
        <f>VLOOKUP(F948,[6]装箱单!$A:$C,3,0)</f>
        <v>骰子</v>
      </c>
      <c r="H948" s="67">
        <v>480</v>
      </c>
      <c r="I948" s="68">
        <f>+L948*4</f>
        <v>1920</v>
      </c>
      <c r="J948" s="68" t="s">
        <v>32</v>
      </c>
      <c r="K948" s="68" t="s">
        <v>33</v>
      </c>
      <c r="L948" s="69">
        <v>480</v>
      </c>
      <c r="M948" s="104">
        <f t="shared" si="228"/>
        <v>4.83828876384</v>
      </c>
      <c r="N948" s="69" t="s">
        <v>34</v>
      </c>
      <c r="O948" s="67"/>
      <c r="P948" s="74"/>
      <c r="Q948" s="71">
        <f>VLOOKUP($F948,[6]装箱单!$A:$E,5,0)</f>
        <v>23.81</v>
      </c>
      <c r="R948" s="71">
        <f>VLOOKUP($F948,[6]装箱单!$A:$F,6,0)</f>
        <v>17.78</v>
      </c>
      <c r="S948" s="71">
        <f>VLOOKUP($F948,[6]装箱单!$A:$G,7,0)</f>
        <v>23.81</v>
      </c>
      <c r="T948" s="105">
        <f>VLOOKUP($F948,[6]装箱单!$A:$J,10,0)</f>
        <v>0.010079768258</v>
      </c>
      <c r="U948" s="71">
        <f t="shared" si="229"/>
        <v>4.83828876384</v>
      </c>
      <c r="V948" s="12"/>
    </row>
    <row r="949" s="1" customFormat="1" ht="29.1" customHeight="1" spans="1:22">
      <c r="A949" s="62">
        <v>46272</v>
      </c>
      <c r="B949" s="63" t="s">
        <v>1722</v>
      </c>
      <c r="C949" s="64" t="s">
        <v>2269</v>
      </c>
      <c r="D949" s="66" t="s">
        <v>2270</v>
      </c>
      <c r="E949" s="67" t="s">
        <v>945</v>
      </c>
      <c r="F949" s="66">
        <v>33807</v>
      </c>
      <c r="G949" s="67" t="str">
        <f>VLOOKUP(F949,[6]装箱单!$A:$C,3,0)</f>
        <v>搪胶小鸭</v>
      </c>
      <c r="H949" s="67">
        <v>57</v>
      </c>
      <c r="I949" s="68">
        <f>+L949*96</f>
        <v>5472</v>
      </c>
      <c r="J949" s="68" t="s">
        <v>32</v>
      </c>
      <c r="K949" s="68" t="s">
        <v>33</v>
      </c>
      <c r="L949" s="69">
        <v>57</v>
      </c>
      <c r="M949" s="104">
        <f t="shared" si="228"/>
        <v>1.26544275</v>
      </c>
      <c r="N949" s="69" t="s">
        <v>34</v>
      </c>
      <c r="O949" s="67" t="s">
        <v>1758</v>
      </c>
      <c r="P949" s="74"/>
      <c r="Q949" s="71">
        <f>VLOOKUP($F949,[6]装箱单!$A:$E,5,0)</f>
        <v>32.5</v>
      </c>
      <c r="R949" s="71">
        <f>VLOOKUP($F949,[6]装箱单!$A:$F,6,0)</f>
        <v>20.7</v>
      </c>
      <c r="S949" s="71">
        <f>VLOOKUP($F949,[6]装箱单!$A:$G,7,0)</f>
        <v>33</v>
      </c>
      <c r="T949" s="105">
        <f>VLOOKUP($F949,[6]装箱单!$A:$J,10,0)</f>
        <v>0.02220075</v>
      </c>
      <c r="U949" s="71">
        <f t="shared" si="229"/>
        <v>1.26544275</v>
      </c>
      <c r="V949" s="12"/>
    </row>
    <row r="950" s="1" customFormat="1" ht="29.1" customHeight="1" spans="1:22">
      <c r="A950" s="62">
        <v>46272</v>
      </c>
      <c r="B950" s="63" t="s">
        <v>1722</v>
      </c>
      <c r="C950" s="64" t="s">
        <v>2269</v>
      </c>
      <c r="D950" s="66" t="s">
        <v>2270</v>
      </c>
      <c r="E950" s="67" t="s">
        <v>945</v>
      </c>
      <c r="F950" s="66">
        <v>33808</v>
      </c>
      <c r="G950" s="67" t="str">
        <f>VLOOKUP(F950,[6]装箱单!$A:$C,3,0)</f>
        <v>搪胶小鸭</v>
      </c>
      <c r="H950" s="67">
        <v>204</v>
      </c>
      <c r="I950" s="68">
        <f>+L950*96</f>
        <v>19584</v>
      </c>
      <c r="J950" s="68" t="s">
        <v>32</v>
      </c>
      <c r="K950" s="68" t="s">
        <v>33</v>
      </c>
      <c r="L950" s="69">
        <v>204</v>
      </c>
      <c r="M950" s="104">
        <f t="shared" si="228"/>
        <v>4.528953</v>
      </c>
      <c r="N950" s="69" t="s">
        <v>34</v>
      </c>
      <c r="O950" s="67" t="s">
        <v>1758</v>
      </c>
      <c r="P950" s="74"/>
      <c r="Q950" s="71">
        <f>VLOOKUP($F950,[6]装箱单!$A:$E,5,0)</f>
        <v>32.5</v>
      </c>
      <c r="R950" s="71">
        <f>VLOOKUP($F950,[6]装箱单!$A:$F,6,0)</f>
        <v>20.7</v>
      </c>
      <c r="S950" s="71">
        <f>VLOOKUP($F950,[6]装箱单!$A:$G,7,0)</f>
        <v>33</v>
      </c>
      <c r="T950" s="105">
        <f>VLOOKUP($F950,[6]装箱单!$A:$J,10,0)</f>
        <v>0.02220075</v>
      </c>
      <c r="U950" s="71">
        <f t="shared" si="229"/>
        <v>4.528953</v>
      </c>
      <c r="V950" s="12"/>
    </row>
    <row r="951" s="1" customFormat="1" ht="29.1" customHeight="1" spans="1:22">
      <c r="A951" s="62">
        <v>46272</v>
      </c>
      <c r="B951" s="63" t="s">
        <v>1722</v>
      </c>
      <c r="C951" s="64" t="s">
        <v>2269</v>
      </c>
      <c r="D951" s="66" t="s">
        <v>2270</v>
      </c>
      <c r="E951" s="67" t="s">
        <v>945</v>
      </c>
      <c r="F951" s="66">
        <v>33812</v>
      </c>
      <c r="G951" s="67" t="str">
        <f>VLOOKUP(F951,[6]装箱单!$A:$C,3,0)</f>
        <v>搪胶小鸭</v>
      </c>
      <c r="H951" s="67">
        <v>228</v>
      </c>
      <c r="I951" s="68">
        <f>+L951*60</f>
        <v>13680</v>
      </c>
      <c r="J951" s="68" t="s">
        <v>32</v>
      </c>
      <c r="K951" s="68" t="s">
        <v>33</v>
      </c>
      <c r="L951" s="69">
        <v>228</v>
      </c>
      <c r="M951" s="104">
        <f t="shared" si="228"/>
        <v>3.469346496</v>
      </c>
      <c r="N951" s="69" t="s">
        <v>34</v>
      </c>
      <c r="O951" s="67" t="s">
        <v>1758</v>
      </c>
      <c r="P951" s="74"/>
      <c r="Q951" s="71">
        <f>VLOOKUP($F951,[6]装箱单!$A:$E,5,0)</f>
        <v>32.2</v>
      </c>
      <c r="R951" s="71">
        <f>VLOOKUP($F951,[6]装箱单!$A:$F,6,0)</f>
        <v>26.4</v>
      </c>
      <c r="S951" s="71">
        <f>VLOOKUP($F951,[6]装箱单!$A:$G,7,0)</f>
        <v>17.9</v>
      </c>
      <c r="T951" s="105">
        <f>VLOOKUP($F951,[6]装箱单!$A:$J,10,0)</f>
        <v>0.015216432</v>
      </c>
      <c r="U951" s="71">
        <f t="shared" si="229"/>
        <v>3.469346496</v>
      </c>
      <c r="V951" s="12"/>
    </row>
    <row r="952" s="1" customFormat="1" ht="29.1" customHeight="1" spans="1:22">
      <c r="A952" s="62">
        <v>46272</v>
      </c>
      <c r="B952" s="63" t="s">
        <v>1722</v>
      </c>
      <c r="C952" s="64" t="s">
        <v>2269</v>
      </c>
      <c r="D952" s="66" t="s">
        <v>2270</v>
      </c>
      <c r="E952" s="67" t="s">
        <v>945</v>
      </c>
      <c r="F952" s="66">
        <v>33813</v>
      </c>
      <c r="G952" s="67" t="str">
        <f>VLOOKUP(F952,[6]装箱单!$A:$C,3,0)</f>
        <v>搪胶小鸭</v>
      </c>
      <c r="H952" s="67">
        <v>57</v>
      </c>
      <c r="I952" s="68">
        <f>+L952*84</f>
        <v>4788</v>
      </c>
      <c r="J952" s="68" t="s">
        <v>32</v>
      </c>
      <c r="K952" s="68" t="s">
        <v>33</v>
      </c>
      <c r="L952" s="69">
        <v>57</v>
      </c>
      <c r="M952" s="104">
        <f t="shared" si="228"/>
        <v>1.082237568</v>
      </c>
      <c r="N952" s="69" t="s">
        <v>34</v>
      </c>
      <c r="O952" s="67" t="s">
        <v>1758</v>
      </c>
      <c r="P952" s="74"/>
      <c r="Q952" s="71">
        <f>VLOOKUP($F952,[6]装箱单!$A:$E,5,0)</f>
        <v>29.6</v>
      </c>
      <c r="R952" s="71">
        <f>VLOOKUP($F952,[6]装箱单!$A:$F,6,0)</f>
        <v>21.1</v>
      </c>
      <c r="S952" s="71">
        <f>VLOOKUP($F952,[6]装箱单!$A:$G,7,0)</f>
        <v>30.4</v>
      </c>
      <c r="T952" s="105">
        <f>VLOOKUP($F952,[6]装箱单!$A:$J,10,0)</f>
        <v>0.018986624</v>
      </c>
      <c r="U952" s="71">
        <f t="shared" si="229"/>
        <v>1.082237568</v>
      </c>
      <c r="V952" s="12"/>
    </row>
    <row r="953" s="1" customFormat="1" ht="29.1" customHeight="1" spans="1:22">
      <c r="A953" s="62">
        <v>46272</v>
      </c>
      <c r="B953" s="63"/>
      <c r="C953" s="64"/>
      <c r="D953" s="66"/>
      <c r="E953" s="67"/>
      <c r="F953" s="66" t="s">
        <v>2271</v>
      </c>
      <c r="G953" s="67" t="s">
        <v>2272</v>
      </c>
      <c r="H953" s="67">
        <v>10</v>
      </c>
      <c r="I953" s="68">
        <v>10</v>
      </c>
      <c r="J953" s="68" t="s">
        <v>2273</v>
      </c>
      <c r="K953" s="68" t="s">
        <v>218</v>
      </c>
      <c r="L953" s="69">
        <v>10</v>
      </c>
      <c r="M953" s="104"/>
      <c r="N953" s="69"/>
      <c r="O953" s="67"/>
      <c r="P953" s="74"/>
      <c r="Q953" s="71"/>
      <c r="R953" s="71"/>
      <c r="S953" s="71"/>
      <c r="T953" s="105"/>
      <c r="U953" s="71"/>
      <c r="V953" s="12"/>
    </row>
    <row r="954" s="1" customFormat="1" ht="29.1" customHeight="1" spans="1:22">
      <c r="A954" s="62"/>
      <c r="B954" s="63"/>
      <c r="C954" s="64"/>
      <c r="D954" s="66"/>
      <c r="E954" s="67"/>
      <c r="F954" s="66"/>
      <c r="G954" s="67"/>
      <c r="H954" s="67"/>
      <c r="I954" s="68"/>
      <c r="J954" s="68"/>
      <c r="K954" s="68"/>
      <c r="L954" s="69"/>
      <c r="M954" s="104">
        <f>SUM(M944:M952)</f>
        <v>140.30357057784</v>
      </c>
      <c r="N954" s="69"/>
      <c r="O954" s="67"/>
      <c r="P954" s="75"/>
      <c r="Q954" s="71"/>
      <c r="R954" s="71"/>
      <c r="S954" s="71"/>
      <c r="T954" s="105"/>
      <c r="U954" s="71"/>
      <c r="V954" s="12"/>
    </row>
    <row r="955" s="1" customFormat="1" ht="29.1" customHeight="1" spans="1:22">
      <c r="A955" s="62">
        <v>46273</v>
      </c>
      <c r="B955" s="63" t="s">
        <v>415</v>
      </c>
      <c r="C955" s="64" t="s">
        <v>2274</v>
      </c>
      <c r="D955" s="66" t="s">
        <v>1823</v>
      </c>
      <c r="E955" s="67"/>
      <c r="F955" s="66">
        <v>470764</v>
      </c>
      <c r="G955" s="67" t="str">
        <f>VLOOKUP(F955,[6]装箱单!$A:$C,3,0)</f>
        <v>大型自卸车</v>
      </c>
      <c r="H955" s="67">
        <v>3326</v>
      </c>
      <c r="I955" s="68">
        <f t="shared" ref="I955:I960" si="230">+L955</f>
        <v>3326</v>
      </c>
      <c r="J955" s="68" t="s">
        <v>32</v>
      </c>
      <c r="K955" s="68" t="s">
        <v>33</v>
      </c>
      <c r="L955" s="69">
        <v>3326</v>
      </c>
      <c r="M955" s="104">
        <f t="shared" ref="M955:M962" si="231">+U955</f>
        <v>89.123496</v>
      </c>
      <c r="N955" s="69" t="s">
        <v>34</v>
      </c>
      <c r="O955" s="67"/>
      <c r="P955" s="70" t="s">
        <v>137</v>
      </c>
      <c r="Q955" s="71">
        <f>VLOOKUP($F955,[6]装箱单!$A:$E,5,0)</f>
        <v>42</v>
      </c>
      <c r="R955" s="71">
        <f>VLOOKUP($F955,[6]装箱单!$A:$F,6,0)</f>
        <v>22</v>
      </c>
      <c r="S955" s="71">
        <f>VLOOKUP($F955,[6]装箱单!$A:$G,7,0)</f>
        <v>29</v>
      </c>
      <c r="T955" s="105">
        <f>VLOOKUP($F955,[6]装箱单!$A:$J,10,0)</f>
        <v>0.026796</v>
      </c>
      <c r="U955" s="71">
        <f t="shared" ref="U955:U963" si="232">+T955*L955</f>
        <v>89.123496</v>
      </c>
      <c r="V955" s="12"/>
    </row>
    <row r="956" s="1" customFormat="1" ht="29.1" customHeight="1" spans="1:22">
      <c r="A956" s="62">
        <v>46273</v>
      </c>
      <c r="B956" s="63" t="s">
        <v>1816</v>
      </c>
      <c r="C956" s="64" t="s">
        <v>2275</v>
      </c>
      <c r="D956" s="66" t="s">
        <v>2276</v>
      </c>
      <c r="E956" s="67" t="s">
        <v>2277</v>
      </c>
      <c r="F956" s="66" t="s">
        <v>175</v>
      </c>
      <c r="G956" s="67" t="str">
        <f>VLOOKUP(F956,[6]装箱单!$A:$C,3,0)</f>
        <v>投影米奇</v>
      </c>
      <c r="H956" s="67">
        <v>25</v>
      </c>
      <c r="I956" s="68">
        <f>+L956*4</f>
        <v>100</v>
      </c>
      <c r="J956" s="68" t="s">
        <v>32</v>
      </c>
      <c r="K956" s="68" t="s">
        <v>33</v>
      </c>
      <c r="L956" s="69">
        <v>25</v>
      </c>
      <c r="M956" s="104">
        <f t="shared" si="231"/>
        <v>2.51238015668125</v>
      </c>
      <c r="N956" s="69" t="s">
        <v>34</v>
      </c>
      <c r="O956" s="67"/>
      <c r="P956" s="74"/>
      <c r="Q956" s="71">
        <f>VLOOKUP($F956,[6]装箱单!$A:$E,5,0)</f>
        <v>64.135</v>
      </c>
      <c r="R956" s="71">
        <f>VLOOKUP($F956,[6]装箱单!$A:$F,6,0)</f>
        <v>36.83</v>
      </c>
      <c r="S956" s="71">
        <f>VLOOKUP($F956,[6]装箱单!$A:$G,7,0)</f>
        <v>42.545</v>
      </c>
      <c r="T956" s="105">
        <f>VLOOKUP($F956,[6]装箱单!$A:$J,10,0)</f>
        <v>0.10049520626725</v>
      </c>
      <c r="U956" s="71">
        <f t="shared" si="232"/>
        <v>2.51238015668125</v>
      </c>
      <c r="V956" s="12"/>
    </row>
    <row r="957" s="1" customFormat="1" ht="29.1" customHeight="1" spans="1:22">
      <c r="A957" s="62">
        <v>46273</v>
      </c>
      <c r="B957" s="63" t="s">
        <v>2278</v>
      </c>
      <c r="C957" s="64" t="s">
        <v>2279</v>
      </c>
      <c r="D957" s="66" t="s">
        <v>2280</v>
      </c>
      <c r="E957" s="67" t="s">
        <v>2281</v>
      </c>
      <c r="F957" s="66">
        <v>82165</v>
      </c>
      <c r="G957" s="67" t="s">
        <v>2282</v>
      </c>
      <c r="H957" s="67">
        <v>50</v>
      </c>
      <c r="I957" s="68">
        <f>+L957*6</f>
        <v>300</v>
      </c>
      <c r="J957" s="68" t="s">
        <v>32</v>
      </c>
      <c r="K957" s="68" t="s">
        <v>33</v>
      </c>
      <c r="L957" s="69">
        <v>50</v>
      </c>
      <c r="M957" s="104">
        <f t="shared" si="231"/>
        <v>0.7155810684</v>
      </c>
      <c r="N957" s="69" t="s">
        <v>34</v>
      </c>
      <c r="O957" s="67"/>
      <c r="P957" s="74"/>
      <c r="Q957" s="71">
        <f>VLOOKUP($F957,[6]装箱单!$A:$E,5,0)</f>
        <v>25.72</v>
      </c>
      <c r="R957" s="71">
        <f>VLOOKUP($F957,[6]装箱单!$A:$F,6,0)</f>
        <v>19.69</v>
      </c>
      <c r="S957" s="71">
        <f>VLOOKUP($F957,[6]装箱单!$A:$G,7,0)</f>
        <v>28.26</v>
      </c>
      <c r="T957" s="105">
        <f>VLOOKUP($F957,[6]装箱单!$A:$J,10,0)</f>
        <v>0.014311621368</v>
      </c>
      <c r="U957" s="71">
        <f t="shared" si="232"/>
        <v>0.7155810684</v>
      </c>
      <c r="V957" s="12"/>
    </row>
    <row r="958" s="1" customFormat="1" ht="29.1" customHeight="1" spans="1:22">
      <c r="A958" s="62">
        <v>46273</v>
      </c>
      <c r="B958" s="63" t="s">
        <v>1782</v>
      </c>
      <c r="C958" s="64" t="s">
        <v>2223</v>
      </c>
      <c r="D958" s="66" t="s">
        <v>2224</v>
      </c>
      <c r="E958" s="66">
        <v>999523013</v>
      </c>
      <c r="F958" s="66">
        <v>28483</v>
      </c>
      <c r="G958" s="67" t="str">
        <f>VLOOKUP(F958,[6]装箱单!$A:$C,3,0)</f>
        <v>振动球</v>
      </c>
      <c r="H958" s="67">
        <v>1800</v>
      </c>
      <c r="I958" s="68">
        <f t="shared" si="230"/>
        <v>900</v>
      </c>
      <c r="J958" s="68" t="s">
        <v>32</v>
      </c>
      <c r="K958" s="68" t="s">
        <v>33</v>
      </c>
      <c r="L958" s="69">
        <v>900</v>
      </c>
      <c r="M958" s="104">
        <f t="shared" si="231"/>
        <v>5.195421</v>
      </c>
      <c r="N958" s="69" t="s">
        <v>34</v>
      </c>
      <c r="O958" s="67"/>
      <c r="P958" s="74"/>
      <c r="Q958" s="71">
        <f>VLOOKUP($F958,[6]装箱单!$A:$E,5,0)</f>
        <v>16.83</v>
      </c>
      <c r="R958" s="71">
        <f>VLOOKUP($F958,[6]装箱单!$A:$F,6,0)</f>
        <v>17.15</v>
      </c>
      <c r="S958" s="71">
        <f>VLOOKUP($F958,[6]装箱单!$A:$G,7,0)</f>
        <v>20</v>
      </c>
      <c r="T958" s="105">
        <f>VLOOKUP($F958,[6]装箱单!$A:$J,10,0)</f>
        <v>0.00577269</v>
      </c>
      <c r="U958" s="71">
        <f t="shared" si="232"/>
        <v>5.195421</v>
      </c>
      <c r="V958" s="12"/>
    </row>
    <row r="959" s="1" customFormat="1" ht="29.1" customHeight="1" spans="1:22">
      <c r="A959" s="62">
        <v>46273</v>
      </c>
      <c r="B959" s="63" t="s">
        <v>1782</v>
      </c>
      <c r="C959" s="64" t="s">
        <v>2214</v>
      </c>
      <c r="D959" s="66" t="s">
        <v>2215</v>
      </c>
      <c r="E959" s="66">
        <v>999522925</v>
      </c>
      <c r="F959" s="66">
        <v>28483</v>
      </c>
      <c r="G959" s="67" t="str">
        <f>VLOOKUP(F959,[6]装箱单!$A:$C,3,0)</f>
        <v>振动球</v>
      </c>
      <c r="H959" s="67">
        <v>1800</v>
      </c>
      <c r="I959" s="68">
        <f t="shared" si="230"/>
        <v>1800</v>
      </c>
      <c r="J959" s="68" t="s">
        <v>32</v>
      </c>
      <c r="K959" s="68" t="s">
        <v>33</v>
      </c>
      <c r="L959" s="69">
        <v>1800</v>
      </c>
      <c r="M959" s="104">
        <f t="shared" si="231"/>
        <v>10.390842</v>
      </c>
      <c r="N959" s="69" t="s">
        <v>34</v>
      </c>
      <c r="O959" s="67"/>
      <c r="P959" s="74"/>
      <c r="Q959" s="71">
        <f>VLOOKUP($F959,[6]装箱单!$A:$E,5,0)</f>
        <v>16.83</v>
      </c>
      <c r="R959" s="71">
        <f>VLOOKUP($F959,[6]装箱单!$A:$F,6,0)</f>
        <v>17.15</v>
      </c>
      <c r="S959" s="71">
        <f>VLOOKUP($F959,[6]装箱单!$A:$G,7,0)</f>
        <v>20</v>
      </c>
      <c r="T959" s="105">
        <f>VLOOKUP($F959,[6]装箱单!$A:$J,10,0)</f>
        <v>0.00577269</v>
      </c>
      <c r="U959" s="71">
        <f t="shared" si="232"/>
        <v>10.390842</v>
      </c>
      <c r="V959" s="12"/>
    </row>
    <row r="960" s="1" customFormat="1" ht="29.1" customHeight="1" spans="1:22">
      <c r="A960" s="62">
        <v>46273</v>
      </c>
      <c r="B960" s="63" t="s">
        <v>1782</v>
      </c>
      <c r="C960" s="64" t="s">
        <v>2217</v>
      </c>
      <c r="D960" s="66" t="s">
        <v>2218</v>
      </c>
      <c r="E960" s="66">
        <v>999522968</v>
      </c>
      <c r="F960" s="66">
        <v>28483</v>
      </c>
      <c r="G960" s="67" t="str">
        <f>VLOOKUP(F960,[6]装箱单!$A:$C,3,0)</f>
        <v>振动球</v>
      </c>
      <c r="H960" s="67">
        <v>1980</v>
      </c>
      <c r="I960" s="68">
        <f t="shared" si="230"/>
        <v>1980</v>
      </c>
      <c r="J960" s="68" t="s">
        <v>32</v>
      </c>
      <c r="K960" s="68" t="s">
        <v>33</v>
      </c>
      <c r="L960" s="69">
        <v>1980</v>
      </c>
      <c r="M960" s="104">
        <f t="shared" si="231"/>
        <v>11.4299262</v>
      </c>
      <c r="N960" s="69" t="s">
        <v>34</v>
      </c>
      <c r="O960" s="67" t="s">
        <v>2283</v>
      </c>
      <c r="P960" s="74"/>
      <c r="Q960" s="71">
        <f>VLOOKUP($F960,[6]装箱单!$A:$E,5,0)</f>
        <v>16.83</v>
      </c>
      <c r="R960" s="71">
        <f>VLOOKUP($F960,[6]装箱单!$A:$F,6,0)</f>
        <v>17.15</v>
      </c>
      <c r="S960" s="71">
        <f>VLOOKUP($F960,[6]装箱单!$A:$G,7,0)</f>
        <v>20</v>
      </c>
      <c r="T960" s="105">
        <f>VLOOKUP($F960,[6]装箱单!$A:$J,10,0)</f>
        <v>0.00577269</v>
      </c>
      <c r="U960" s="71">
        <f t="shared" si="232"/>
        <v>11.4299262</v>
      </c>
      <c r="V960" s="12"/>
    </row>
    <row r="961" s="1" customFormat="1" ht="29.1" customHeight="1" spans="1:22">
      <c r="A961" s="62">
        <v>46273</v>
      </c>
      <c r="B961" s="63" t="s">
        <v>1782</v>
      </c>
      <c r="C961" s="64" t="s">
        <v>2284</v>
      </c>
      <c r="D961" s="66" t="s">
        <v>2285</v>
      </c>
      <c r="E961" s="66">
        <v>999648268</v>
      </c>
      <c r="F961" s="66" t="s">
        <v>179</v>
      </c>
      <c r="G961" s="67" t="str">
        <f>VLOOKUP(F961,[6]装箱单!$A:$C,3,0)</f>
        <v>搪胶小鸭</v>
      </c>
      <c r="H961" s="67">
        <v>90</v>
      </c>
      <c r="I961" s="68">
        <f>+L961*24</f>
        <v>2160</v>
      </c>
      <c r="J961" s="68" t="s">
        <v>32</v>
      </c>
      <c r="K961" s="68" t="s">
        <v>33</v>
      </c>
      <c r="L961" s="69">
        <v>90</v>
      </c>
      <c r="M961" s="104">
        <f t="shared" si="231"/>
        <v>1.19691</v>
      </c>
      <c r="N961" s="69" t="s">
        <v>34</v>
      </c>
      <c r="O961" s="67" t="s">
        <v>2283</v>
      </c>
      <c r="P961" s="74"/>
      <c r="Q961" s="71">
        <f>VLOOKUP($F961,[6]装箱单!$A:$E,5,0)</f>
        <v>31</v>
      </c>
      <c r="R961" s="71">
        <f>VLOOKUP($F961,[6]装箱单!$A:$F,6,0)</f>
        <v>22</v>
      </c>
      <c r="S961" s="71">
        <f>VLOOKUP($F961,[6]装箱单!$A:$G,7,0)</f>
        <v>19.5</v>
      </c>
      <c r="T961" s="105">
        <f>VLOOKUP($F961,[6]装箱单!$A:$J,10,0)</f>
        <v>0.013299</v>
      </c>
      <c r="U961" s="71">
        <f t="shared" si="232"/>
        <v>1.19691</v>
      </c>
      <c r="V961" s="12"/>
    </row>
    <row r="962" s="1" customFormat="1" ht="29.1" customHeight="1" spans="1:22">
      <c r="A962" s="62">
        <v>46273</v>
      </c>
      <c r="B962" s="63" t="s">
        <v>1782</v>
      </c>
      <c r="C962" s="64" t="s">
        <v>2286</v>
      </c>
      <c r="D962" s="66" t="s">
        <v>2287</v>
      </c>
      <c r="E962" s="66">
        <v>1003587455</v>
      </c>
      <c r="F962" s="66" t="s">
        <v>179</v>
      </c>
      <c r="G962" s="67" t="str">
        <f>VLOOKUP(F962,[6]装箱单!$A:$C,3,0)</f>
        <v>搪胶小鸭</v>
      </c>
      <c r="H962" s="67">
        <v>810</v>
      </c>
      <c r="I962" s="68">
        <f>+L962*24</f>
        <v>19440</v>
      </c>
      <c r="J962" s="68" t="s">
        <v>32</v>
      </c>
      <c r="K962" s="68" t="s">
        <v>33</v>
      </c>
      <c r="L962" s="69">
        <v>810</v>
      </c>
      <c r="M962" s="104">
        <f t="shared" si="231"/>
        <v>10.77219</v>
      </c>
      <c r="N962" s="69" t="s">
        <v>34</v>
      </c>
      <c r="O962" s="67" t="s">
        <v>2283</v>
      </c>
      <c r="P962" s="74"/>
      <c r="Q962" s="71">
        <f>VLOOKUP($F962,[6]装箱单!$A:$E,5,0)</f>
        <v>31</v>
      </c>
      <c r="R962" s="71">
        <f>VLOOKUP($F962,[6]装箱单!$A:$F,6,0)</f>
        <v>22</v>
      </c>
      <c r="S962" s="71">
        <f>VLOOKUP($F962,[6]装箱单!$A:$G,7,0)</f>
        <v>19.5</v>
      </c>
      <c r="T962" s="105">
        <f>VLOOKUP($F962,[6]装箱单!$A:$J,10,0)</f>
        <v>0.013299</v>
      </c>
      <c r="U962" s="71">
        <f t="shared" si="232"/>
        <v>10.77219</v>
      </c>
      <c r="V962" s="12"/>
    </row>
    <row r="963" s="1" customFormat="1" ht="29.1" customHeight="1" spans="1:22">
      <c r="A963" s="62">
        <v>46273</v>
      </c>
      <c r="B963" s="63" t="s">
        <v>52</v>
      </c>
      <c r="C963" s="64">
        <v>47196</v>
      </c>
      <c r="D963" s="66" t="s">
        <v>2051</v>
      </c>
      <c r="E963" s="67"/>
      <c r="F963" s="66">
        <v>470725</v>
      </c>
      <c r="G963" s="67" t="str">
        <f>VLOOKUP(F963,[6]装箱单!$A:$C,3,0)</f>
        <v>独角兽家族</v>
      </c>
      <c r="H963" s="67">
        <v>6069</v>
      </c>
      <c r="I963" s="68">
        <v>4</v>
      </c>
      <c r="J963" s="68" t="s">
        <v>32</v>
      </c>
      <c r="K963" s="68" t="s">
        <v>33</v>
      </c>
      <c r="L963" s="69">
        <v>1</v>
      </c>
      <c r="M963" s="108">
        <v>1</v>
      </c>
      <c r="N963" s="69" t="s">
        <v>34</v>
      </c>
      <c r="O963" s="67"/>
      <c r="P963" s="74"/>
      <c r="Q963" s="71">
        <f>VLOOKUP($F963,[6]装箱单!$A:$E,5,0)</f>
        <v>25.5</v>
      </c>
      <c r="R963" s="71">
        <f>VLOOKUP($F963,[6]装箱单!$A:$F,6,0)</f>
        <v>21</v>
      </c>
      <c r="S963" s="71">
        <f>VLOOKUP($F963,[6]装箱单!$A:$G,7,0)</f>
        <v>20</v>
      </c>
      <c r="T963" s="105">
        <f>VLOOKUP($F963,[6]装箱单!$A:$J,10,0)</f>
        <v>0.01071</v>
      </c>
      <c r="U963" s="71">
        <f t="shared" si="232"/>
        <v>0.01071</v>
      </c>
      <c r="V963" s="12"/>
    </row>
    <row r="964" s="1" customFormat="1" ht="29.1" customHeight="1" spans="1:22">
      <c r="A964" s="62">
        <v>46273</v>
      </c>
      <c r="B964" s="63" t="s">
        <v>2005</v>
      </c>
      <c r="C964" s="64" t="s">
        <v>1711</v>
      </c>
      <c r="D964" s="66"/>
      <c r="E964" s="66"/>
      <c r="F964" s="66">
        <v>11369</v>
      </c>
      <c r="G964" s="67" t="s">
        <v>1711</v>
      </c>
      <c r="H964" s="67">
        <v>2</v>
      </c>
      <c r="I964" s="68">
        <v>2</v>
      </c>
      <c r="J964" s="68" t="s">
        <v>270</v>
      </c>
      <c r="K964" s="68" t="s">
        <v>1713</v>
      </c>
      <c r="L964" s="69">
        <v>2</v>
      </c>
      <c r="M964" s="110"/>
      <c r="N964" s="69"/>
      <c r="O964" s="67"/>
      <c r="P964" s="74"/>
      <c r="Q964" s="71"/>
      <c r="R964" s="71"/>
      <c r="S964" s="71"/>
      <c r="T964" s="105"/>
      <c r="U964" s="71"/>
      <c r="V964" s="12"/>
    </row>
    <row r="965" s="1" customFormat="1" ht="29.1" customHeight="1" spans="1:22">
      <c r="A965" s="62">
        <v>46273</v>
      </c>
      <c r="B965" s="63" t="s">
        <v>2005</v>
      </c>
      <c r="C965" s="64" t="s">
        <v>2288</v>
      </c>
      <c r="D965" s="66"/>
      <c r="E965" s="66"/>
      <c r="F965" s="66">
        <v>269060</v>
      </c>
      <c r="G965" s="67" t="s">
        <v>2203</v>
      </c>
      <c r="H965" s="67">
        <v>500</v>
      </c>
      <c r="I965" s="103">
        <f>+L965*27</f>
        <v>405</v>
      </c>
      <c r="J965" s="68" t="s">
        <v>32</v>
      </c>
      <c r="K965" s="68" t="s">
        <v>33</v>
      </c>
      <c r="L965" s="69">
        <v>15</v>
      </c>
      <c r="M965" s="110"/>
      <c r="N965" s="69"/>
      <c r="O965" s="67"/>
      <c r="P965" s="74"/>
      <c r="Q965" s="71"/>
      <c r="R965" s="71"/>
      <c r="S965" s="71"/>
      <c r="T965" s="105"/>
      <c r="U965" s="71"/>
      <c r="V965" s="12"/>
    </row>
    <row r="966" s="1" customFormat="1" ht="29.1" customHeight="1" spans="1:22">
      <c r="A966" s="62">
        <v>46273</v>
      </c>
      <c r="B966" s="63" t="s">
        <v>2005</v>
      </c>
      <c r="C966" s="64" t="s">
        <v>2289</v>
      </c>
      <c r="D966" s="66"/>
      <c r="E966" s="66"/>
      <c r="F966" s="66">
        <v>266710</v>
      </c>
      <c r="G966" s="67" t="str">
        <f>VLOOKUP(F966,[6]装箱单!$A:$C,3,0)</f>
        <v>Q BABY</v>
      </c>
      <c r="H966" s="67">
        <v>100</v>
      </c>
      <c r="I966" s="103">
        <f>+L966*27</f>
        <v>270</v>
      </c>
      <c r="J966" s="68" t="s">
        <v>32</v>
      </c>
      <c r="K966" s="68" t="s">
        <v>33</v>
      </c>
      <c r="L966" s="69">
        <v>10</v>
      </c>
      <c r="M966" s="112"/>
      <c r="N966" s="69"/>
      <c r="O966" s="67"/>
      <c r="P966" s="74"/>
      <c r="Q966" s="71"/>
      <c r="R966" s="71"/>
      <c r="S966" s="71"/>
      <c r="T966" s="105"/>
      <c r="U966" s="71"/>
      <c r="V966" s="12"/>
    </row>
    <row r="967" s="1" customFormat="1" ht="29.1" customHeight="1" spans="1:22">
      <c r="A967" s="62"/>
      <c r="B967" s="63"/>
      <c r="C967" s="64"/>
      <c r="D967" s="66"/>
      <c r="E967" s="66"/>
      <c r="F967" s="66"/>
      <c r="G967" s="67"/>
      <c r="H967" s="67"/>
      <c r="I967" s="68"/>
      <c r="J967" s="68"/>
      <c r="K967" s="68"/>
      <c r="L967" s="69"/>
      <c r="M967" s="104">
        <f>SUM(M955:M966)</f>
        <v>132.336746425081</v>
      </c>
      <c r="N967" s="69"/>
      <c r="O967" s="67"/>
      <c r="P967" s="75"/>
      <c r="Q967" s="71"/>
      <c r="R967" s="71"/>
      <c r="S967" s="71"/>
      <c r="T967" s="105"/>
      <c r="U967" s="71"/>
      <c r="V967" s="12"/>
    </row>
    <row r="968" s="1" customFormat="1" ht="29.1" customHeight="1" spans="1:22">
      <c r="A968" s="62">
        <v>46274</v>
      </c>
      <c r="B968" s="63" t="s">
        <v>27</v>
      </c>
      <c r="C968" s="64" t="s">
        <v>1275</v>
      </c>
      <c r="D968" s="66" t="s">
        <v>1276</v>
      </c>
      <c r="E968" s="67" t="s">
        <v>945</v>
      </c>
      <c r="F968" s="66">
        <v>33813</v>
      </c>
      <c r="G968" s="67" t="str">
        <f>VLOOKUP(F968,[6]装箱单!$A:$C,3,0)</f>
        <v>搪胶小鸭</v>
      </c>
      <c r="H968" s="67">
        <v>116</v>
      </c>
      <c r="I968" s="68">
        <v>9744</v>
      </c>
      <c r="J968" s="68" t="s">
        <v>32</v>
      </c>
      <c r="K968" s="68" t="s">
        <v>33</v>
      </c>
      <c r="L968" s="69">
        <v>116</v>
      </c>
      <c r="M968" s="104">
        <f t="shared" ref="M968:M971" si="233">+U968</f>
        <v>2.202448384</v>
      </c>
      <c r="N968" s="69" t="s">
        <v>34</v>
      </c>
      <c r="O968" s="67"/>
      <c r="P968" s="70" t="s">
        <v>2290</v>
      </c>
      <c r="Q968" s="71">
        <f>VLOOKUP($F968,[6]装箱单!$A:$E,5,0)</f>
        <v>29.6</v>
      </c>
      <c r="R968" s="71">
        <f>VLOOKUP($F968,[6]装箱单!$A:$F,6,0)</f>
        <v>21.1</v>
      </c>
      <c r="S968" s="71">
        <f>VLOOKUP($F968,[6]装箱单!$A:$G,7,0)</f>
        <v>30.4</v>
      </c>
      <c r="T968" s="105">
        <f>VLOOKUP($F968,[6]装箱单!$A:$J,10,0)</f>
        <v>0.018986624</v>
      </c>
      <c r="U968" s="71">
        <f t="shared" ref="U968:U971" si="234">+T968*L968</f>
        <v>2.202448384</v>
      </c>
      <c r="V968" s="12"/>
    </row>
    <row r="969" s="1" customFormat="1" ht="29.1" customHeight="1" spans="1:22">
      <c r="A969" s="62">
        <v>46274</v>
      </c>
      <c r="B969" s="63" t="s">
        <v>27</v>
      </c>
      <c r="C969" s="64" t="s">
        <v>1275</v>
      </c>
      <c r="D969" s="66" t="s">
        <v>1276</v>
      </c>
      <c r="E969" s="67" t="s">
        <v>945</v>
      </c>
      <c r="F969" s="66">
        <v>33812</v>
      </c>
      <c r="G969" s="67" t="str">
        <f>VLOOKUP(F969,[6]装箱单!$A:$C,3,0)</f>
        <v>搪胶小鸭</v>
      </c>
      <c r="H969" s="67">
        <v>457</v>
      </c>
      <c r="I969" s="68">
        <v>27420</v>
      </c>
      <c r="J969" s="68" t="s">
        <v>32</v>
      </c>
      <c r="K969" s="68" t="s">
        <v>33</v>
      </c>
      <c r="L969" s="69">
        <v>457</v>
      </c>
      <c r="M969" s="104">
        <f t="shared" si="233"/>
        <v>6.953909424</v>
      </c>
      <c r="N969" s="69" t="s">
        <v>34</v>
      </c>
      <c r="O969" s="67"/>
      <c r="P969" s="74"/>
      <c r="Q969" s="71">
        <f>VLOOKUP($F969,[6]装箱单!$A:$E,5,0)</f>
        <v>32.2</v>
      </c>
      <c r="R969" s="71">
        <f>VLOOKUP($F969,[6]装箱单!$A:$F,6,0)</f>
        <v>26.4</v>
      </c>
      <c r="S969" s="71">
        <f>VLOOKUP($F969,[6]装箱单!$A:$G,7,0)</f>
        <v>17.9</v>
      </c>
      <c r="T969" s="105">
        <f>VLOOKUP($F969,[6]装箱单!$A:$J,10,0)</f>
        <v>0.015216432</v>
      </c>
      <c r="U969" s="71">
        <f t="shared" si="234"/>
        <v>6.953909424</v>
      </c>
      <c r="V969" s="12"/>
    </row>
    <row r="970" s="1" customFormat="1" ht="29.1" customHeight="1" spans="1:22">
      <c r="A970" s="62">
        <v>46274</v>
      </c>
      <c r="B970" s="63" t="s">
        <v>27</v>
      </c>
      <c r="C970" s="64" t="s">
        <v>1275</v>
      </c>
      <c r="D970" s="66" t="s">
        <v>1276</v>
      </c>
      <c r="E970" s="67" t="s">
        <v>945</v>
      </c>
      <c r="F970" s="66">
        <v>33808</v>
      </c>
      <c r="G970" s="67" t="str">
        <f>VLOOKUP(F970,[6]装箱单!$A:$C,3,0)</f>
        <v>搪胶小鸭</v>
      </c>
      <c r="H970" s="67">
        <v>408</v>
      </c>
      <c r="I970" s="68">
        <v>39168</v>
      </c>
      <c r="J970" s="68" t="s">
        <v>32</v>
      </c>
      <c r="K970" s="68" t="s">
        <v>33</v>
      </c>
      <c r="L970" s="69">
        <v>408</v>
      </c>
      <c r="M970" s="104">
        <f t="shared" si="233"/>
        <v>9.057906</v>
      </c>
      <c r="N970" s="69" t="s">
        <v>34</v>
      </c>
      <c r="O970" s="67"/>
      <c r="P970" s="74"/>
      <c r="Q970" s="71">
        <f>VLOOKUP($F970,[6]装箱单!$A:$E,5,0)</f>
        <v>32.5</v>
      </c>
      <c r="R970" s="71">
        <f>VLOOKUP($F970,[6]装箱单!$A:$F,6,0)</f>
        <v>20.7</v>
      </c>
      <c r="S970" s="71">
        <f>VLOOKUP($F970,[6]装箱单!$A:$G,7,0)</f>
        <v>33</v>
      </c>
      <c r="T970" s="105">
        <f>VLOOKUP($F970,[6]装箱单!$A:$J,10,0)</f>
        <v>0.02220075</v>
      </c>
      <c r="U970" s="71">
        <f t="shared" si="234"/>
        <v>9.057906</v>
      </c>
      <c r="V970" s="12"/>
    </row>
    <row r="971" s="1" customFormat="1" ht="29.1" customHeight="1" spans="1:22">
      <c r="A971" s="62">
        <v>46274</v>
      </c>
      <c r="B971" s="63" t="s">
        <v>27</v>
      </c>
      <c r="C971" s="64" t="s">
        <v>1275</v>
      </c>
      <c r="D971" s="66" t="s">
        <v>1276</v>
      </c>
      <c r="E971" s="67" t="s">
        <v>945</v>
      </c>
      <c r="F971" s="66">
        <v>33807</v>
      </c>
      <c r="G971" s="67" t="str">
        <f>VLOOKUP(F971,[6]装箱单!$A:$C,3,0)</f>
        <v>搪胶小鸭</v>
      </c>
      <c r="H971" s="67">
        <v>116</v>
      </c>
      <c r="I971" s="68">
        <v>11136</v>
      </c>
      <c r="J971" s="68" t="s">
        <v>32</v>
      </c>
      <c r="K971" s="68" t="s">
        <v>33</v>
      </c>
      <c r="L971" s="69">
        <v>116</v>
      </c>
      <c r="M971" s="104">
        <f t="shared" si="233"/>
        <v>2.575287</v>
      </c>
      <c r="N971" s="69" t="s">
        <v>34</v>
      </c>
      <c r="O971" s="67"/>
      <c r="P971" s="75"/>
      <c r="Q971" s="71">
        <f>VLOOKUP($F971,[6]装箱单!$A:$E,5,0)</f>
        <v>32.5</v>
      </c>
      <c r="R971" s="71">
        <f>VLOOKUP($F971,[6]装箱单!$A:$F,6,0)</f>
        <v>20.7</v>
      </c>
      <c r="S971" s="71">
        <f>VLOOKUP($F971,[6]装箱单!$A:$G,7,0)</f>
        <v>33</v>
      </c>
      <c r="T971" s="105">
        <f>VLOOKUP($F971,[6]装箱单!$A:$J,10,0)</f>
        <v>0.02220075</v>
      </c>
      <c r="U971" s="71">
        <f t="shared" si="234"/>
        <v>2.575287</v>
      </c>
      <c r="V971" s="12"/>
    </row>
    <row r="972" s="1" customFormat="1" ht="29.1" customHeight="1" spans="1:22">
      <c r="A972" s="62"/>
      <c r="B972" s="63"/>
      <c r="C972" s="64"/>
      <c r="D972" s="66"/>
      <c r="E972" s="67"/>
      <c r="F972" s="66"/>
      <c r="G972" s="67"/>
      <c r="H972" s="67"/>
      <c r="I972" s="68"/>
      <c r="J972" s="68"/>
      <c r="K972" s="68"/>
      <c r="L972" s="69"/>
      <c r="M972" s="65">
        <f>SUM(M968:M971)</f>
        <v>20.789550808</v>
      </c>
      <c r="N972" s="69"/>
      <c r="O972" s="67"/>
      <c r="P972" s="94"/>
      <c r="Q972" s="71"/>
      <c r="R972" s="71"/>
      <c r="S972" s="71"/>
      <c r="T972" s="105"/>
      <c r="U972" s="71"/>
      <c r="V972" s="12"/>
    </row>
    <row r="973" s="1" customFormat="1" ht="29.1" customHeight="1" spans="1:22">
      <c r="A973" s="62">
        <v>46274</v>
      </c>
      <c r="B973" s="63" t="s">
        <v>2291</v>
      </c>
      <c r="C973" s="64" t="s">
        <v>2292</v>
      </c>
      <c r="D973" s="66" t="s">
        <v>2293</v>
      </c>
      <c r="E973" s="66">
        <v>4504245053</v>
      </c>
      <c r="F973" s="66" t="s">
        <v>45</v>
      </c>
      <c r="G973" s="67" t="str">
        <f>VLOOKUP(F973,[6]装箱单!$A:$C,3,0)</f>
        <v>鸭子</v>
      </c>
      <c r="H973" s="67">
        <v>20</v>
      </c>
      <c r="I973" s="68">
        <f>+L973*18</f>
        <v>360</v>
      </c>
      <c r="J973" s="68" t="s">
        <v>32</v>
      </c>
      <c r="K973" s="68" t="s">
        <v>33</v>
      </c>
      <c r="L973" s="69">
        <v>20</v>
      </c>
      <c r="M973" s="104">
        <f t="shared" ref="M973:M982" si="235">+U973</f>
        <v>0.11586025215</v>
      </c>
      <c r="N973" s="69" t="s">
        <v>34</v>
      </c>
      <c r="O973" s="114" t="s">
        <v>1141</v>
      </c>
      <c r="P973" s="94" t="s">
        <v>1105</v>
      </c>
      <c r="Q973" s="71">
        <f>VLOOKUP($F973,[6]装箱单!$A:$E,5,0)</f>
        <v>32.385</v>
      </c>
      <c r="R973" s="71">
        <f>VLOOKUP($F973,[6]装箱单!$A:$F,6,0)</f>
        <v>18.78</v>
      </c>
      <c r="S973" s="71">
        <f>VLOOKUP($F973,[6]装箱单!$A:$G,7,0)</f>
        <v>9.525</v>
      </c>
      <c r="T973" s="105">
        <f>VLOOKUP($F973,[6]装箱单!$A:$J,10,0)</f>
        <v>0.0057930126075</v>
      </c>
      <c r="U973" s="71">
        <f t="shared" ref="U973:U982" si="236">+T973*L973</f>
        <v>0.11586025215</v>
      </c>
      <c r="V973" s="12"/>
    </row>
    <row r="974" s="1" customFormat="1" ht="29.1" customHeight="1" spans="1:22">
      <c r="A974" s="62"/>
      <c r="B974" s="63"/>
      <c r="C974" s="64"/>
      <c r="D974" s="66"/>
      <c r="E974" s="66"/>
      <c r="F974" s="66"/>
      <c r="G974" s="67"/>
      <c r="H974" s="67"/>
      <c r="I974" s="68"/>
      <c r="J974" s="68"/>
      <c r="K974" s="68"/>
      <c r="L974" s="69"/>
      <c r="M974" s="104">
        <f>+M973</f>
        <v>0.11586025215</v>
      </c>
      <c r="N974" s="69"/>
      <c r="O974" s="114"/>
      <c r="P974" s="94"/>
      <c r="Q974" s="71"/>
      <c r="R974" s="71"/>
      <c r="S974" s="71"/>
      <c r="T974" s="105"/>
      <c r="U974" s="71"/>
      <c r="V974" s="12"/>
    </row>
    <row r="975" s="1" customFormat="1" ht="29.1" customHeight="1" spans="1:22">
      <c r="A975" s="62">
        <v>46274</v>
      </c>
      <c r="B975" s="63" t="s">
        <v>52</v>
      </c>
      <c r="C975" s="64" t="s">
        <v>2294</v>
      </c>
      <c r="D975" s="66" t="s">
        <v>2052</v>
      </c>
      <c r="E975" s="67"/>
      <c r="F975" s="66">
        <v>571299</v>
      </c>
      <c r="G975" s="67" t="str">
        <f>VLOOKUP(F975,[6]装箱单!$A:$C,3,0)</f>
        <v>自卸车</v>
      </c>
      <c r="H975" s="67">
        <v>5000</v>
      </c>
      <c r="I975" s="68">
        <f t="shared" ref="I975:I979" si="237">+L975</f>
        <v>5000</v>
      </c>
      <c r="J975" s="68" t="s">
        <v>32</v>
      </c>
      <c r="K975" s="68" t="s">
        <v>33</v>
      </c>
      <c r="L975" s="69">
        <v>5000</v>
      </c>
      <c r="M975" s="104">
        <f t="shared" si="235"/>
        <v>133.98</v>
      </c>
      <c r="N975" s="69" t="s">
        <v>57</v>
      </c>
      <c r="O975" s="67"/>
      <c r="P975" s="70" t="s">
        <v>2295</v>
      </c>
      <c r="Q975" s="71">
        <f>VLOOKUP($F975,[6]装箱单!$A:$E,5,0)</f>
        <v>42</v>
      </c>
      <c r="R975" s="71">
        <f>VLOOKUP($F975,[6]装箱单!$A:$F,6,0)</f>
        <v>22</v>
      </c>
      <c r="S975" s="71">
        <f>VLOOKUP($F975,[6]装箱单!$A:$G,7,0)</f>
        <v>29</v>
      </c>
      <c r="T975" s="105">
        <f>VLOOKUP($F975,[6]装箱单!$A:$J,10,0)</f>
        <v>0.026796</v>
      </c>
      <c r="U975" s="71">
        <f t="shared" si="236"/>
        <v>133.98</v>
      </c>
      <c r="V975" s="12"/>
    </row>
    <row r="976" s="1" customFormat="1" ht="29.1" customHeight="1" spans="1:22">
      <c r="A976" s="62">
        <v>46274</v>
      </c>
      <c r="B976" s="63" t="s">
        <v>235</v>
      </c>
      <c r="C976" s="64" t="s">
        <v>2296</v>
      </c>
      <c r="D976" s="66" t="s">
        <v>2297</v>
      </c>
      <c r="E976" s="67" t="s">
        <v>2298</v>
      </c>
      <c r="F976" s="66">
        <v>33920</v>
      </c>
      <c r="G976" s="67" t="str">
        <f>VLOOKUP(F976,[2]装箱单!A:C,3,0)</f>
        <v>搪胶小鸭</v>
      </c>
      <c r="H976" s="67">
        <v>667</v>
      </c>
      <c r="I976" s="68">
        <v>24012</v>
      </c>
      <c r="J976" s="68" t="s">
        <v>32</v>
      </c>
      <c r="K976" s="68" t="s">
        <v>33</v>
      </c>
      <c r="L976" s="69">
        <v>667</v>
      </c>
      <c r="M976" s="104">
        <f t="shared" si="235"/>
        <v>12.93616485</v>
      </c>
      <c r="N976" s="69" t="s">
        <v>34</v>
      </c>
      <c r="O976" s="67"/>
      <c r="P976" s="74"/>
      <c r="Q976" s="71">
        <f>VLOOKUP(F976,[2]装箱单!A:E,5,0)</f>
        <v>39.3</v>
      </c>
      <c r="R976" s="71">
        <f>VLOOKUP(F976,[2]装箱单!A:F,6,0)</f>
        <v>35</v>
      </c>
      <c r="S976" s="71">
        <f>VLOOKUP(F976,[2]装箱单!A:G,7,0)</f>
        <v>14.1</v>
      </c>
      <c r="T976" s="105">
        <f>VLOOKUP(F976,[2]装箱单!A:J,10,0)</f>
        <v>0.01939455</v>
      </c>
      <c r="U976" s="71">
        <f t="shared" si="236"/>
        <v>12.93616485</v>
      </c>
      <c r="V976" s="12"/>
    </row>
    <row r="977" s="1" customFormat="1" ht="29.1" customHeight="1" spans="1:22">
      <c r="A977" s="62">
        <v>46274</v>
      </c>
      <c r="B977" s="63" t="s">
        <v>1782</v>
      </c>
      <c r="C977" s="64" t="s">
        <v>2299</v>
      </c>
      <c r="D977" s="66" t="s">
        <v>2300</v>
      </c>
      <c r="E977" s="66">
        <v>999647621</v>
      </c>
      <c r="F977" s="66" t="s">
        <v>179</v>
      </c>
      <c r="G977" s="67" t="str">
        <f>VLOOKUP(F977,[6]装箱单!$A:$C,3,0)</f>
        <v>搪胶小鸭</v>
      </c>
      <c r="H977" s="67">
        <v>540</v>
      </c>
      <c r="I977" s="68">
        <f>+L977*24</f>
        <v>12960</v>
      </c>
      <c r="J977" s="68" t="s">
        <v>32</v>
      </c>
      <c r="K977" s="68" t="s">
        <v>33</v>
      </c>
      <c r="L977" s="69">
        <v>540</v>
      </c>
      <c r="M977" s="104">
        <f t="shared" si="235"/>
        <v>7.18146</v>
      </c>
      <c r="N977" s="69" t="s">
        <v>57</v>
      </c>
      <c r="O977" s="67" t="s">
        <v>2301</v>
      </c>
      <c r="P977" s="74"/>
      <c r="Q977" s="71">
        <f>VLOOKUP($F977,[6]装箱单!$A:$E,5,0)</f>
        <v>31</v>
      </c>
      <c r="R977" s="71">
        <f>VLOOKUP($F977,[6]装箱单!$A:$F,6,0)</f>
        <v>22</v>
      </c>
      <c r="S977" s="71">
        <f>VLOOKUP($F977,[6]装箱单!$A:$G,7,0)</f>
        <v>19.5</v>
      </c>
      <c r="T977" s="105">
        <f>VLOOKUP($F977,[6]装箱单!$A:$J,10,0)</f>
        <v>0.013299</v>
      </c>
      <c r="U977" s="71">
        <f t="shared" si="236"/>
        <v>7.18146</v>
      </c>
      <c r="V977" s="12"/>
    </row>
    <row r="978" s="1" customFormat="1" ht="29.1" customHeight="1" spans="1:22">
      <c r="A978" s="62">
        <v>46273</v>
      </c>
      <c r="B978" s="63" t="s">
        <v>1782</v>
      </c>
      <c r="C978" s="64" t="s">
        <v>2223</v>
      </c>
      <c r="D978" s="66" t="s">
        <v>2224</v>
      </c>
      <c r="E978" s="66">
        <v>999523013</v>
      </c>
      <c r="F978" s="66">
        <v>28483</v>
      </c>
      <c r="G978" s="67" t="str">
        <f>VLOOKUP(F978,[6]装箱单!$A:$C,3,0)</f>
        <v>振动球</v>
      </c>
      <c r="H978" s="67">
        <v>1800</v>
      </c>
      <c r="I978" s="68">
        <f t="shared" si="237"/>
        <v>900</v>
      </c>
      <c r="J978" s="68" t="s">
        <v>32</v>
      </c>
      <c r="K978" s="68" t="s">
        <v>33</v>
      </c>
      <c r="L978" s="69">
        <v>900</v>
      </c>
      <c r="M978" s="104">
        <f t="shared" si="235"/>
        <v>5.195421</v>
      </c>
      <c r="N978" s="69" t="s">
        <v>34</v>
      </c>
      <c r="O978" s="67"/>
      <c r="P978" s="74"/>
      <c r="Q978" s="71">
        <f>VLOOKUP($F978,[6]装箱单!$A:$E,5,0)</f>
        <v>16.83</v>
      </c>
      <c r="R978" s="71">
        <f>VLOOKUP($F978,[6]装箱单!$A:$F,6,0)</f>
        <v>17.15</v>
      </c>
      <c r="S978" s="71">
        <f>VLOOKUP($F978,[6]装箱单!$A:$G,7,0)</f>
        <v>20</v>
      </c>
      <c r="T978" s="105">
        <f>VLOOKUP($F978,[6]装箱单!$A:$J,10,0)</f>
        <v>0.00577269</v>
      </c>
      <c r="U978" s="71">
        <f t="shared" si="236"/>
        <v>5.195421</v>
      </c>
      <c r="V978" s="12"/>
    </row>
    <row r="979" s="1" customFormat="1" ht="29.1" customHeight="1" spans="1:22">
      <c r="A979" s="62">
        <v>46274</v>
      </c>
      <c r="B979" s="63" t="s">
        <v>1782</v>
      </c>
      <c r="C979" s="64" t="s">
        <v>2220</v>
      </c>
      <c r="D979" s="66" t="s">
        <v>2221</v>
      </c>
      <c r="E979" s="66">
        <v>999523008</v>
      </c>
      <c r="F979" s="66">
        <v>28483</v>
      </c>
      <c r="G979" s="67" t="str">
        <f>VLOOKUP(F979,[6]装箱单!$A:$C,3,0)</f>
        <v>振动球</v>
      </c>
      <c r="H979" s="67">
        <v>3780</v>
      </c>
      <c r="I979" s="68">
        <f t="shared" si="237"/>
        <v>540</v>
      </c>
      <c r="J979" s="68" t="s">
        <v>32</v>
      </c>
      <c r="K979" s="68" t="s">
        <v>33</v>
      </c>
      <c r="L979" s="69">
        <v>540</v>
      </c>
      <c r="M979" s="104">
        <f t="shared" si="235"/>
        <v>3.1172526</v>
      </c>
      <c r="N979" s="69" t="s">
        <v>34</v>
      </c>
      <c r="O979" s="67"/>
      <c r="P979" s="74"/>
      <c r="Q979" s="71">
        <f>VLOOKUP($F979,[6]装箱单!$A:$E,5,0)</f>
        <v>16.83</v>
      </c>
      <c r="R979" s="71">
        <f>VLOOKUP($F979,[6]装箱单!$A:$F,6,0)</f>
        <v>17.15</v>
      </c>
      <c r="S979" s="71">
        <f>VLOOKUP($F979,[6]装箱单!$A:$G,7,0)</f>
        <v>20</v>
      </c>
      <c r="T979" s="105">
        <f>VLOOKUP($F979,[6]装箱单!$A:$J,10,0)</f>
        <v>0.00577269</v>
      </c>
      <c r="U979" s="71">
        <f t="shared" si="236"/>
        <v>3.1172526</v>
      </c>
      <c r="V979" s="12"/>
    </row>
    <row r="980" s="1" customFormat="1" ht="29.1" customHeight="1" spans="1:22">
      <c r="A980" s="62">
        <v>46274</v>
      </c>
      <c r="B980" s="63" t="s">
        <v>2005</v>
      </c>
      <c r="C980" s="64" t="s">
        <v>2302</v>
      </c>
      <c r="D980" s="66"/>
      <c r="E980" s="67"/>
      <c r="F980" s="66">
        <v>260744</v>
      </c>
      <c r="G980" s="67" t="str">
        <f>VLOOKUP(F980,[2]装箱单!A:C,3,0)</f>
        <v>绿波浪</v>
      </c>
      <c r="H980" s="67">
        <v>10</v>
      </c>
      <c r="I980" s="68">
        <v>24</v>
      </c>
      <c r="J980" s="68" t="s">
        <v>32</v>
      </c>
      <c r="K980" s="68" t="s">
        <v>33</v>
      </c>
      <c r="L980" s="69">
        <v>2</v>
      </c>
      <c r="M980" s="104">
        <f t="shared" si="235"/>
        <v>0.04952990094</v>
      </c>
      <c r="N980" s="69" t="s">
        <v>34</v>
      </c>
      <c r="O980" s="67"/>
      <c r="P980" s="74"/>
      <c r="Q980" s="71">
        <f>VLOOKUP(F980,[2]装箱单!A:E,5,0)</f>
        <v>39.37</v>
      </c>
      <c r="R980" s="71">
        <f>VLOOKUP(F980,[2]装箱单!A:F,6,0)</f>
        <v>33.02</v>
      </c>
      <c r="S980" s="71">
        <f>VLOOKUP(F980,[2]装箱单!A:G,7,0)</f>
        <v>19.05</v>
      </c>
      <c r="T980" s="105">
        <f>VLOOKUP(F980,[2]装箱单!A:J,10,0)</f>
        <v>0.02476495047</v>
      </c>
      <c r="U980" s="71">
        <f t="shared" si="236"/>
        <v>0.04952990094</v>
      </c>
      <c r="V980" s="12"/>
    </row>
    <row r="981" s="1" customFormat="1" ht="29.1" customHeight="1" spans="1:22">
      <c r="A981" s="62">
        <v>46274</v>
      </c>
      <c r="B981" s="63" t="s">
        <v>2005</v>
      </c>
      <c r="C981" s="64" t="s">
        <v>2302</v>
      </c>
      <c r="D981" s="66"/>
      <c r="E981" s="67"/>
      <c r="F981" s="66">
        <v>260745</v>
      </c>
      <c r="G981" s="67" t="str">
        <f>VLOOKUP(F981,[2]装箱单!A:C,3,0)</f>
        <v>咖灰波浪</v>
      </c>
      <c r="H981" s="67">
        <v>10</v>
      </c>
      <c r="I981" s="68">
        <v>24</v>
      </c>
      <c r="J981" s="68" t="s">
        <v>32</v>
      </c>
      <c r="K981" s="68" t="s">
        <v>33</v>
      </c>
      <c r="L981" s="69">
        <v>2</v>
      </c>
      <c r="M981" s="104">
        <f t="shared" si="235"/>
        <v>0.04952990094</v>
      </c>
      <c r="N981" s="69" t="s">
        <v>34</v>
      </c>
      <c r="O981" s="67"/>
      <c r="P981" s="74"/>
      <c r="Q981" s="71">
        <f>VLOOKUP(F981,[2]装箱单!A:E,5,0)</f>
        <v>39.37</v>
      </c>
      <c r="R981" s="71">
        <f>VLOOKUP(F981,[2]装箱单!A:F,6,0)</f>
        <v>33.02</v>
      </c>
      <c r="S981" s="71">
        <f>VLOOKUP(F981,[2]装箱单!A:G,7,0)</f>
        <v>19.05</v>
      </c>
      <c r="T981" s="105">
        <f>VLOOKUP(F981,[2]装箱单!A:J,10,0)</f>
        <v>0.02476495047</v>
      </c>
      <c r="U981" s="71">
        <f t="shared" si="236"/>
        <v>0.04952990094</v>
      </c>
      <c r="V981" s="12"/>
    </row>
    <row r="982" s="1" customFormat="1" ht="29.1" customHeight="1" spans="1:22">
      <c r="A982" s="62">
        <v>46274</v>
      </c>
      <c r="B982" s="63" t="s">
        <v>2005</v>
      </c>
      <c r="C982" s="64" t="s">
        <v>2302</v>
      </c>
      <c r="D982" s="66"/>
      <c r="E982" s="67"/>
      <c r="F982" s="66">
        <v>260746</v>
      </c>
      <c r="G982" s="67" t="str">
        <f>VLOOKUP(F982,[2]装箱单!A:C,3,0)</f>
        <v>橙蓝波浪</v>
      </c>
      <c r="H982" s="67">
        <v>10</v>
      </c>
      <c r="I982" s="68">
        <v>24</v>
      </c>
      <c r="J982" s="68" t="s">
        <v>32</v>
      </c>
      <c r="K982" s="68" t="s">
        <v>33</v>
      </c>
      <c r="L982" s="69">
        <v>2</v>
      </c>
      <c r="M982" s="104">
        <f t="shared" si="235"/>
        <v>0.04952990094</v>
      </c>
      <c r="N982" s="69" t="s">
        <v>34</v>
      </c>
      <c r="O982" s="67"/>
      <c r="P982" s="74"/>
      <c r="Q982" s="71">
        <f>VLOOKUP(F982,[2]装箱单!A:E,5,0)</f>
        <v>39.37</v>
      </c>
      <c r="R982" s="71">
        <f>VLOOKUP(F982,[2]装箱单!A:F,6,0)</f>
        <v>33.02</v>
      </c>
      <c r="S982" s="71">
        <f>VLOOKUP(F982,[2]装箱单!A:G,7,0)</f>
        <v>19.05</v>
      </c>
      <c r="T982" s="105">
        <f>VLOOKUP(F982,[2]装箱单!A:J,10,0)</f>
        <v>0.02476495047</v>
      </c>
      <c r="U982" s="71">
        <f t="shared" si="236"/>
        <v>0.04952990094</v>
      </c>
      <c r="V982" s="12"/>
    </row>
    <row r="983" s="1" customFormat="1" ht="29.1" customHeight="1" spans="1:22">
      <c r="A983" s="62">
        <v>46274</v>
      </c>
      <c r="B983" s="63"/>
      <c r="C983" s="64"/>
      <c r="D983" s="66"/>
      <c r="E983" s="67"/>
      <c r="F983" s="66">
        <v>571299</v>
      </c>
      <c r="G983" s="67" t="s">
        <v>2303</v>
      </c>
      <c r="H983" s="67">
        <v>1</v>
      </c>
      <c r="I983" s="68">
        <v>1</v>
      </c>
      <c r="J983" s="68" t="s">
        <v>32</v>
      </c>
      <c r="K983" s="68" t="s">
        <v>1713</v>
      </c>
      <c r="L983" s="69">
        <v>1</v>
      </c>
      <c r="M983" s="104">
        <v>0</v>
      </c>
      <c r="N983" s="69"/>
      <c r="O983" s="67"/>
      <c r="P983" s="74"/>
      <c r="Q983" s="71"/>
      <c r="R983" s="71"/>
      <c r="S983" s="71"/>
      <c r="T983" s="105"/>
      <c r="U983" s="71"/>
      <c r="V983" s="12"/>
    </row>
    <row r="984" s="1" customFormat="1" ht="29.1" customHeight="1" spans="1:22">
      <c r="A984" s="62"/>
      <c r="B984" s="63"/>
      <c r="C984" s="64"/>
      <c r="D984" s="66"/>
      <c r="E984" s="67"/>
      <c r="F984" s="66"/>
      <c r="G984" s="67"/>
      <c r="H984" s="67"/>
      <c r="I984" s="68"/>
      <c r="J984" s="68"/>
      <c r="K984" s="68"/>
      <c r="L984" s="69"/>
      <c r="M984" s="104">
        <f>SUM(M975:M983)</f>
        <v>162.55888815282</v>
      </c>
      <c r="N984" s="69"/>
      <c r="O984" s="67"/>
      <c r="P984" s="75"/>
      <c r="Q984" s="71"/>
      <c r="R984" s="71"/>
      <c r="S984" s="71"/>
      <c r="T984" s="105"/>
      <c r="U984" s="71"/>
      <c r="V984" s="12"/>
    </row>
    <row r="985" s="1" customFormat="1" ht="29.1" customHeight="1" spans="1:22">
      <c r="A985" s="62">
        <v>46275</v>
      </c>
      <c r="B985" s="63" t="s">
        <v>173</v>
      </c>
      <c r="C985" s="64" t="s">
        <v>2304</v>
      </c>
      <c r="D985" s="66" t="s">
        <v>2305</v>
      </c>
      <c r="E985" s="66">
        <v>16297004</v>
      </c>
      <c r="F985" s="66" t="s">
        <v>45</v>
      </c>
      <c r="G985" s="67" t="str">
        <f>VLOOKUP(F985,[6]装箱单!$A:$C,3,0)</f>
        <v>鸭子</v>
      </c>
      <c r="H985" s="67">
        <v>167</v>
      </c>
      <c r="I985" s="68">
        <f>+L985*18</f>
        <v>3006</v>
      </c>
      <c r="J985" s="68" t="s">
        <v>32</v>
      </c>
      <c r="K985" s="68" t="s">
        <v>33</v>
      </c>
      <c r="L985" s="69">
        <v>167</v>
      </c>
      <c r="M985" s="104">
        <f t="shared" ref="M985:M999" si="238">+U985</f>
        <v>0.9674331054525</v>
      </c>
      <c r="N985" s="69" t="s">
        <v>34</v>
      </c>
      <c r="O985" s="114" t="s">
        <v>1141</v>
      </c>
      <c r="P985" s="70" t="s">
        <v>2090</v>
      </c>
      <c r="Q985" s="71">
        <f>VLOOKUP($F985,[6]装箱单!$A:$E,5,0)</f>
        <v>32.385</v>
      </c>
      <c r="R985" s="71">
        <f>VLOOKUP($F985,[6]装箱单!$A:$F,6,0)</f>
        <v>18.78</v>
      </c>
      <c r="S985" s="71">
        <f>VLOOKUP($F985,[6]装箱单!$A:$G,7,0)</f>
        <v>9.525</v>
      </c>
      <c r="T985" s="105">
        <f>VLOOKUP($F985,[6]装箱单!$A:$J,10,0)</f>
        <v>0.0057930126075</v>
      </c>
      <c r="U985" s="71">
        <f t="shared" ref="U985:U999" si="239">+T985*L985</f>
        <v>0.9674331054525</v>
      </c>
      <c r="V985" s="12"/>
    </row>
    <row r="986" s="1" customFormat="1" ht="29.1" customHeight="1" spans="1:22">
      <c r="A986" s="62">
        <v>46275</v>
      </c>
      <c r="B986" s="63" t="s">
        <v>1782</v>
      </c>
      <c r="C986" s="64" t="s">
        <v>2306</v>
      </c>
      <c r="D986" s="66" t="s">
        <v>2307</v>
      </c>
      <c r="E986" s="66">
        <v>1003448839</v>
      </c>
      <c r="F986" s="66" t="s">
        <v>306</v>
      </c>
      <c r="G986" s="67" t="str">
        <f>VLOOKUP(F986,[6]装箱单!$A:$C,3,0)</f>
        <v>背包狗</v>
      </c>
      <c r="H986" s="67">
        <v>573</v>
      </c>
      <c r="I986" s="68">
        <f>+L986</f>
        <v>573</v>
      </c>
      <c r="J986" s="68" t="s">
        <v>32</v>
      </c>
      <c r="K986" s="68" t="s">
        <v>33</v>
      </c>
      <c r="L986" s="69">
        <v>573</v>
      </c>
      <c r="M986" s="104">
        <f t="shared" si="238"/>
        <v>9.031802017005</v>
      </c>
      <c r="N986" s="69" t="s">
        <v>34</v>
      </c>
      <c r="O986" s="67"/>
      <c r="P986" s="74"/>
      <c r="Q986" s="71">
        <f>VLOOKUP($F986,[6]装箱单!$A:$E,5,0)</f>
        <v>24.13</v>
      </c>
      <c r="R986" s="71">
        <f>VLOOKUP($F986,[6]装箱单!$A:$F,6,0)</f>
        <v>19.05</v>
      </c>
      <c r="S986" s="71">
        <f>VLOOKUP($F986,[6]装箱单!$A:$G,7,0)</f>
        <v>34.29</v>
      </c>
      <c r="T986" s="105">
        <f>VLOOKUP($F986,[6]装箱单!$A:$J,10,0)</f>
        <v>0.015762307185</v>
      </c>
      <c r="U986" s="71">
        <f t="shared" si="239"/>
        <v>9.031802017005</v>
      </c>
      <c r="V986" s="12"/>
    </row>
    <row r="987" s="1" customFormat="1" ht="29.1" customHeight="1" spans="1:22">
      <c r="A987" s="62">
        <v>46275</v>
      </c>
      <c r="B987" s="63" t="s">
        <v>1782</v>
      </c>
      <c r="C987" s="64" t="s">
        <v>2252</v>
      </c>
      <c r="D987" s="66" t="s">
        <v>2253</v>
      </c>
      <c r="E987" s="66">
        <v>1003449394</v>
      </c>
      <c r="F987" s="66">
        <v>28481</v>
      </c>
      <c r="G987" s="67" t="str">
        <f>VLOOKUP(F987,[6]装箱单!$A:$C,3,0)</f>
        <v>骰子</v>
      </c>
      <c r="H987" s="67">
        <v>480</v>
      </c>
      <c r="I987" s="68">
        <f t="shared" ref="I987:I989" si="240">+L987*4</f>
        <v>1920</v>
      </c>
      <c r="J987" s="68" t="s">
        <v>32</v>
      </c>
      <c r="K987" s="68" t="s">
        <v>33</v>
      </c>
      <c r="L987" s="69">
        <v>480</v>
      </c>
      <c r="M987" s="104">
        <f t="shared" si="238"/>
        <v>4.83828876384</v>
      </c>
      <c r="N987" s="69" t="s">
        <v>34</v>
      </c>
      <c r="O987" s="67"/>
      <c r="P987" s="74"/>
      <c r="Q987" s="71">
        <f>VLOOKUP($F987,[6]装箱单!$A:$E,5,0)</f>
        <v>23.81</v>
      </c>
      <c r="R987" s="71">
        <f>VLOOKUP($F987,[6]装箱单!$A:$F,6,0)</f>
        <v>17.78</v>
      </c>
      <c r="S987" s="71">
        <f>VLOOKUP($F987,[6]装箱单!$A:$G,7,0)</f>
        <v>23.81</v>
      </c>
      <c r="T987" s="105">
        <f>VLOOKUP($F987,[6]装箱单!$A:$J,10,0)</f>
        <v>0.010079768258</v>
      </c>
      <c r="U987" s="71">
        <f t="shared" si="239"/>
        <v>4.83828876384</v>
      </c>
      <c r="V987" s="12"/>
    </row>
    <row r="988" s="1" customFormat="1" ht="29.1" customHeight="1" spans="1:22">
      <c r="A988" s="62">
        <v>46275</v>
      </c>
      <c r="B988" s="63" t="s">
        <v>1782</v>
      </c>
      <c r="C988" s="64" t="s">
        <v>2267</v>
      </c>
      <c r="D988" s="66" t="s">
        <v>2268</v>
      </c>
      <c r="E988" s="66">
        <v>1003449485</v>
      </c>
      <c r="F988" s="66">
        <v>28481</v>
      </c>
      <c r="G988" s="67" t="str">
        <f>VLOOKUP(F988,[6]装箱单!$A:$C,3,0)</f>
        <v>骰子</v>
      </c>
      <c r="H988" s="67">
        <v>480</v>
      </c>
      <c r="I988" s="68">
        <f t="shared" si="240"/>
        <v>1920</v>
      </c>
      <c r="J988" s="68" t="s">
        <v>32</v>
      </c>
      <c r="K988" s="68" t="s">
        <v>33</v>
      </c>
      <c r="L988" s="69">
        <v>480</v>
      </c>
      <c r="M988" s="104">
        <f t="shared" si="238"/>
        <v>4.83828876384</v>
      </c>
      <c r="N988" s="69" t="s">
        <v>34</v>
      </c>
      <c r="O988" s="67"/>
      <c r="P988" s="74"/>
      <c r="Q988" s="71">
        <f>VLOOKUP($F988,[6]装箱单!$A:$E,5,0)</f>
        <v>23.81</v>
      </c>
      <c r="R988" s="71">
        <f>VLOOKUP($F988,[6]装箱单!$A:$F,6,0)</f>
        <v>17.78</v>
      </c>
      <c r="S988" s="71">
        <f>VLOOKUP($F988,[6]装箱单!$A:$G,7,0)</f>
        <v>23.81</v>
      </c>
      <c r="T988" s="105">
        <f>VLOOKUP($F988,[6]装箱单!$A:$J,10,0)</f>
        <v>0.010079768258</v>
      </c>
      <c r="U988" s="71">
        <f t="shared" si="239"/>
        <v>4.83828876384</v>
      </c>
      <c r="V988" s="12"/>
    </row>
    <row r="989" s="1" customFormat="1" ht="29.1" customHeight="1" spans="1:22">
      <c r="A989" s="62">
        <v>46275</v>
      </c>
      <c r="B989" s="63" t="s">
        <v>1782</v>
      </c>
      <c r="C989" s="64" t="s">
        <v>2256</v>
      </c>
      <c r="D989" s="66" t="s">
        <v>2257</v>
      </c>
      <c r="E989" s="66">
        <v>1003449455</v>
      </c>
      <c r="F989" s="66">
        <v>28481</v>
      </c>
      <c r="G989" s="67" t="str">
        <f>VLOOKUP(F989,[6]装箱单!$A:$C,3,0)</f>
        <v>骰子</v>
      </c>
      <c r="H989" s="67">
        <v>480</v>
      </c>
      <c r="I989" s="68">
        <f t="shared" si="240"/>
        <v>1920</v>
      </c>
      <c r="J989" s="68" t="s">
        <v>32</v>
      </c>
      <c r="K989" s="68" t="s">
        <v>33</v>
      </c>
      <c r="L989" s="69">
        <v>480</v>
      </c>
      <c r="M989" s="104">
        <f t="shared" si="238"/>
        <v>4.83828876384</v>
      </c>
      <c r="N989" s="69" t="s">
        <v>34</v>
      </c>
      <c r="O989" s="67"/>
      <c r="P989" s="74"/>
      <c r="Q989" s="71">
        <f>VLOOKUP($F989,[6]装箱单!$A:$E,5,0)</f>
        <v>23.81</v>
      </c>
      <c r="R989" s="71">
        <f>VLOOKUP($F989,[6]装箱单!$A:$F,6,0)</f>
        <v>17.78</v>
      </c>
      <c r="S989" s="71">
        <f>VLOOKUP($F989,[6]装箱单!$A:$G,7,0)</f>
        <v>23.81</v>
      </c>
      <c r="T989" s="105">
        <f>VLOOKUP($F989,[6]装箱单!$A:$J,10,0)</f>
        <v>0.010079768258</v>
      </c>
      <c r="U989" s="71">
        <f t="shared" si="239"/>
        <v>4.83828876384</v>
      </c>
      <c r="V989" s="12"/>
    </row>
    <row r="990" s="1" customFormat="1" ht="29.1" customHeight="1" spans="1:22">
      <c r="A990" s="62">
        <v>46275</v>
      </c>
      <c r="B990" s="63" t="s">
        <v>40</v>
      </c>
      <c r="C990" s="64" t="s">
        <v>2308</v>
      </c>
      <c r="D990" s="66" t="s">
        <v>2309</v>
      </c>
      <c r="E990" s="66">
        <v>999644028</v>
      </c>
      <c r="F990" s="66" t="s">
        <v>179</v>
      </c>
      <c r="G990" s="67" t="str">
        <f>VLOOKUP(F990,[6]装箱单!$A:$C,3,0)</f>
        <v>搪胶小鸭</v>
      </c>
      <c r="H990" s="67">
        <v>360</v>
      </c>
      <c r="I990" s="68">
        <f t="shared" ref="I990:I995" si="241">+L990*24</f>
        <v>8640</v>
      </c>
      <c r="J990" s="68" t="s">
        <v>32</v>
      </c>
      <c r="K990" s="68" t="s">
        <v>33</v>
      </c>
      <c r="L990" s="69">
        <v>360</v>
      </c>
      <c r="M990" s="104">
        <f t="shared" si="238"/>
        <v>4.78764</v>
      </c>
      <c r="N990" s="69" t="s">
        <v>34</v>
      </c>
      <c r="O990" s="67"/>
      <c r="P990" s="74"/>
      <c r="Q990" s="71">
        <f>VLOOKUP($F990,[6]装箱单!$A:$E,5,0)</f>
        <v>31</v>
      </c>
      <c r="R990" s="71">
        <f>VLOOKUP($F990,[6]装箱单!$A:$F,6,0)</f>
        <v>22</v>
      </c>
      <c r="S990" s="71">
        <f>VLOOKUP($F990,[6]装箱单!$A:$G,7,0)</f>
        <v>19.5</v>
      </c>
      <c r="T990" s="105">
        <f>VLOOKUP($F990,[6]装箱单!$A:$J,10,0)</f>
        <v>0.013299</v>
      </c>
      <c r="U990" s="71">
        <f t="shared" si="239"/>
        <v>4.78764</v>
      </c>
      <c r="V990" s="12"/>
    </row>
    <row r="991" s="1" customFormat="1" ht="29.1" customHeight="1" spans="1:22">
      <c r="A991" s="62">
        <v>46275</v>
      </c>
      <c r="B991" s="63" t="s">
        <v>40</v>
      </c>
      <c r="C991" s="64" t="s">
        <v>2310</v>
      </c>
      <c r="D991" s="66" t="s">
        <v>2311</v>
      </c>
      <c r="E991" s="66">
        <v>999648005</v>
      </c>
      <c r="F991" s="66" t="s">
        <v>179</v>
      </c>
      <c r="G991" s="67" t="str">
        <f>VLOOKUP(F991,[6]装箱单!$A:$C,3,0)</f>
        <v>搪胶小鸭</v>
      </c>
      <c r="H991" s="67">
        <v>90</v>
      </c>
      <c r="I991" s="68">
        <f t="shared" si="241"/>
        <v>2160</v>
      </c>
      <c r="J991" s="68" t="s">
        <v>32</v>
      </c>
      <c r="K991" s="68" t="s">
        <v>33</v>
      </c>
      <c r="L991" s="69">
        <v>90</v>
      </c>
      <c r="M991" s="104">
        <f t="shared" si="238"/>
        <v>1.19691</v>
      </c>
      <c r="N991" s="69" t="s">
        <v>34</v>
      </c>
      <c r="O991" s="67"/>
      <c r="P991" s="74"/>
      <c r="Q991" s="71">
        <f>VLOOKUP($F991,[6]装箱单!$A:$E,5,0)</f>
        <v>31</v>
      </c>
      <c r="R991" s="71">
        <f>VLOOKUP($F991,[6]装箱单!$A:$F,6,0)</f>
        <v>22</v>
      </c>
      <c r="S991" s="71">
        <f>VLOOKUP($F991,[6]装箱单!$A:$G,7,0)</f>
        <v>19.5</v>
      </c>
      <c r="T991" s="105">
        <f>VLOOKUP($F991,[6]装箱单!$A:$J,10,0)</f>
        <v>0.013299</v>
      </c>
      <c r="U991" s="71">
        <f t="shared" si="239"/>
        <v>1.19691</v>
      </c>
      <c r="V991" s="12"/>
    </row>
    <row r="992" s="1" customFormat="1" ht="29.1" customHeight="1" spans="1:22">
      <c r="A992" s="62">
        <v>46275</v>
      </c>
      <c r="B992" s="63" t="s">
        <v>40</v>
      </c>
      <c r="C992" s="64" t="s">
        <v>2312</v>
      </c>
      <c r="D992" s="66" t="s">
        <v>2313</v>
      </c>
      <c r="E992" s="66">
        <v>999643905</v>
      </c>
      <c r="F992" s="66" t="s">
        <v>179</v>
      </c>
      <c r="G992" s="67" t="str">
        <f>VLOOKUP(F992,[6]装箱单!$A:$C,3,0)</f>
        <v>搪胶小鸭</v>
      </c>
      <c r="H992" s="67">
        <v>360</v>
      </c>
      <c r="I992" s="68">
        <f t="shared" si="241"/>
        <v>8640</v>
      </c>
      <c r="J992" s="68" t="s">
        <v>32</v>
      </c>
      <c r="K992" s="68" t="s">
        <v>33</v>
      </c>
      <c r="L992" s="69">
        <v>360</v>
      </c>
      <c r="M992" s="104">
        <f t="shared" si="238"/>
        <v>4.78764</v>
      </c>
      <c r="N992" s="69" t="s">
        <v>34</v>
      </c>
      <c r="O992" s="67"/>
      <c r="P992" s="74"/>
      <c r="Q992" s="71">
        <f>VLOOKUP($F992,[6]装箱单!$A:$E,5,0)</f>
        <v>31</v>
      </c>
      <c r="R992" s="71">
        <f>VLOOKUP($F992,[6]装箱单!$A:$F,6,0)</f>
        <v>22</v>
      </c>
      <c r="S992" s="71">
        <f>VLOOKUP($F992,[6]装箱单!$A:$G,7,0)</f>
        <v>19.5</v>
      </c>
      <c r="T992" s="105">
        <f>VLOOKUP($F992,[6]装箱单!$A:$J,10,0)</f>
        <v>0.013299</v>
      </c>
      <c r="U992" s="71">
        <f t="shared" si="239"/>
        <v>4.78764</v>
      </c>
      <c r="V992" s="12"/>
    </row>
    <row r="993" s="1" customFormat="1" ht="29.1" customHeight="1" spans="1:22">
      <c r="A993" s="62">
        <v>46275</v>
      </c>
      <c r="B993" s="63" t="s">
        <v>40</v>
      </c>
      <c r="C993" s="64" t="s">
        <v>2314</v>
      </c>
      <c r="D993" s="66" t="s">
        <v>2315</v>
      </c>
      <c r="E993" s="66">
        <v>999644238</v>
      </c>
      <c r="F993" s="66" t="s">
        <v>179</v>
      </c>
      <c r="G993" s="67" t="str">
        <f>VLOOKUP(F993,[6]装箱单!$A:$C,3,0)</f>
        <v>搪胶小鸭</v>
      </c>
      <c r="H993" s="67">
        <v>360</v>
      </c>
      <c r="I993" s="68">
        <f t="shared" si="241"/>
        <v>8640</v>
      </c>
      <c r="J993" s="68" t="s">
        <v>32</v>
      </c>
      <c r="K993" s="68" t="s">
        <v>33</v>
      </c>
      <c r="L993" s="69">
        <v>360</v>
      </c>
      <c r="M993" s="104">
        <f t="shared" si="238"/>
        <v>4.78764</v>
      </c>
      <c r="N993" s="69" t="s">
        <v>34</v>
      </c>
      <c r="O993" s="67"/>
      <c r="P993" s="74"/>
      <c r="Q993" s="71">
        <f>VLOOKUP($F993,[6]装箱单!$A:$E,5,0)</f>
        <v>31</v>
      </c>
      <c r="R993" s="71">
        <f>VLOOKUP($F993,[6]装箱单!$A:$F,6,0)</f>
        <v>22</v>
      </c>
      <c r="S993" s="71">
        <f>VLOOKUP($F993,[6]装箱单!$A:$G,7,0)</f>
        <v>19.5</v>
      </c>
      <c r="T993" s="105">
        <f>VLOOKUP($F993,[6]装箱单!$A:$J,10,0)</f>
        <v>0.013299</v>
      </c>
      <c r="U993" s="71">
        <f t="shared" si="239"/>
        <v>4.78764</v>
      </c>
      <c r="V993" s="12"/>
    </row>
    <row r="994" s="1" customFormat="1" ht="29.1" customHeight="1" spans="1:22">
      <c r="A994" s="62">
        <v>46275</v>
      </c>
      <c r="B994" s="63" t="s">
        <v>40</v>
      </c>
      <c r="C994" s="64" t="s">
        <v>2316</v>
      </c>
      <c r="D994" s="66" t="s">
        <v>2317</v>
      </c>
      <c r="E994" s="66">
        <v>999644159</v>
      </c>
      <c r="F994" s="66" t="s">
        <v>179</v>
      </c>
      <c r="G994" s="67" t="str">
        <f>VLOOKUP(F994,[6]装箱单!$A:$C,3,0)</f>
        <v>搪胶小鸭</v>
      </c>
      <c r="H994" s="67">
        <v>360</v>
      </c>
      <c r="I994" s="68">
        <f t="shared" si="241"/>
        <v>8640</v>
      </c>
      <c r="J994" s="68" t="s">
        <v>32</v>
      </c>
      <c r="K994" s="68" t="s">
        <v>33</v>
      </c>
      <c r="L994" s="69">
        <v>360</v>
      </c>
      <c r="M994" s="104">
        <f t="shared" si="238"/>
        <v>4.78764</v>
      </c>
      <c r="N994" s="69" t="s">
        <v>34</v>
      </c>
      <c r="O994" s="67"/>
      <c r="P994" s="74"/>
      <c r="Q994" s="71">
        <f>VLOOKUP($F994,[6]装箱单!$A:$E,5,0)</f>
        <v>31</v>
      </c>
      <c r="R994" s="71">
        <f>VLOOKUP($F994,[6]装箱单!$A:$F,6,0)</f>
        <v>22</v>
      </c>
      <c r="S994" s="71">
        <f>VLOOKUP($F994,[6]装箱单!$A:$G,7,0)</f>
        <v>19.5</v>
      </c>
      <c r="T994" s="105">
        <f>VLOOKUP($F994,[6]装箱单!$A:$J,10,0)</f>
        <v>0.013299</v>
      </c>
      <c r="U994" s="71">
        <f t="shared" si="239"/>
        <v>4.78764</v>
      </c>
      <c r="V994" s="12"/>
    </row>
    <row r="995" s="1" customFormat="1" ht="29.1" customHeight="1" spans="1:22">
      <c r="A995" s="62">
        <v>46275</v>
      </c>
      <c r="B995" s="63" t="s">
        <v>40</v>
      </c>
      <c r="C995" s="64" t="s">
        <v>2318</v>
      </c>
      <c r="D995" s="66" t="s">
        <v>2319</v>
      </c>
      <c r="E995" s="66">
        <v>999643885</v>
      </c>
      <c r="F995" s="66" t="s">
        <v>179</v>
      </c>
      <c r="G995" s="67" t="str">
        <f>VLOOKUP(F995,[6]装箱单!$A:$C,3,0)</f>
        <v>搪胶小鸭</v>
      </c>
      <c r="H995" s="67">
        <v>270</v>
      </c>
      <c r="I995" s="68">
        <f t="shared" si="241"/>
        <v>6480</v>
      </c>
      <c r="J995" s="68" t="s">
        <v>32</v>
      </c>
      <c r="K995" s="68" t="s">
        <v>33</v>
      </c>
      <c r="L995" s="69">
        <v>270</v>
      </c>
      <c r="M995" s="104">
        <f t="shared" si="238"/>
        <v>3.59073</v>
      </c>
      <c r="N995" s="69" t="s">
        <v>34</v>
      </c>
      <c r="O995" s="67"/>
      <c r="P995" s="74"/>
      <c r="Q995" s="71">
        <f>VLOOKUP($F995,[6]装箱单!$A:$E,5,0)</f>
        <v>31</v>
      </c>
      <c r="R995" s="71">
        <f>VLOOKUP($F995,[6]装箱单!$A:$F,6,0)</f>
        <v>22</v>
      </c>
      <c r="S995" s="71">
        <f>VLOOKUP($F995,[6]装箱单!$A:$G,7,0)</f>
        <v>19.5</v>
      </c>
      <c r="T995" s="105">
        <f>VLOOKUP($F995,[6]装箱单!$A:$J,10,0)</f>
        <v>0.013299</v>
      </c>
      <c r="U995" s="71">
        <f t="shared" si="239"/>
        <v>3.59073</v>
      </c>
      <c r="V995" s="12"/>
    </row>
    <row r="996" s="1" customFormat="1" ht="29.1" customHeight="1" spans="1:22">
      <c r="A996" s="62">
        <v>46275</v>
      </c>
      <c r="B996" s="63" t="s">
        <v>1782</v>
      </c>
      <c r="C996" s="64" t="s">
        <v>2220</v>
      </c>
      <c r="D996" s="66" t="s">
        <v>2221</v>
      </c>
      <c r="E996" s="66">
        <v>999523008</v>
      </c>
      <c r="F996" s="66">
        <v>28483</v>
      </c>
      <c r="G996" s="67" t="str">
        <f>VLOOKUP(F996,[6]装箱单!$A:$C,3,0)</f>
        <v>振动球</v>
      </c>
      <c r="H996" s="67">
        <v>3780</v>
      </c>
      <c r="I996" s="68">
        <f>+L996</f>
        <v>3240</v>
      </c>
      <c r="J996" s="68" t="s">
        <v>32</v>
      </c>
      <c r="K996" s="68" t="s">
        <v>33</v>
      </c>
      <c r="L996" s="69">
        <f>3780-540</f>
        <v>3240</v>
      </c>
      <c r="M996" s="104">
        <f t="shared" si="238"/>
        <v>18.7035156</v>
      </c>
      <c r="N996" s="69" t="s">
        <v>34</v>
      </c>
      <c r="O996" s="67"/>
      <c r="P996" s="74"/>
      <c r="Q996" s="71">
        <f>VLOOKUP($F996,[6]装箱单!$A:$E,5,0)</f>
        <v>16.83</v>
      </c>
      <c r="R996" s="71">
        <f>VLOOKUP($F996,[6]装箱单!$A:$F,6,0)</f>
        <v>17.15</v>
      </c>
      <c r="S996" s="71">
        <f>VLOOKUP($F996,[6]装箱单!$A:$G,7,0)</f>
        <v>20</v>
      </c>
      <c r="T996" s="105">
        <f>VLOOKUP($F996,[6]装箱单!$A:$J,10,0)</f>
        <v>0.00577269</v>
      </c>
      <c r="U996" s="71">
        <f t="shared" si="239"/>
        <v>18.7035156</v>
      </c>
      <c r="V996" s="12"/>
    </row>
    <row r="997" s="1" customFormat="1" ht="29.1" customHeight="1" spans="1:22">
      <c r="A997" s="62">
        <v>46275</v>
      </c>
      <c r="B997" s="63" t="s">
        <v>40</v>
      </c>
      <c r="C997" s="64" t="s">
        <v>2320</v>
      </c>
      <c r="D997" s="66" t="s">
        <v>2321</v>
      </c>
      <c r="E997" s="66">
        <v>2569383</v>
      </c>
      <c r="F997" s="66">
        <v>28483</v>
      </c>
      <c r="G997" s="67" t="str">
        <f>VLOOKUP(F997,[6]装箱单!$A:$C,3,0)</f>
        <v>振动球</v>
      </c>
      <c r="H997" s="67">
        <v>2160</v>
      </c>
      <c r="I997" s="83">
        <v>2160</v>
      </c>
      <c r="J997" s="83" t="s">
        <v>32</v>
      </c>
      <c r="K997" s="83" t="s">
        <v>33</v>
      </c>
      <c r="L997" s="76">
        <v>2160</v>
      </c>
      <c r="M997" s="104">
        <f t="shared" si="238"/>
        <v>12.4690104</v>
      </c>
      <c r="N997" s="69" t="s">
        <v>34</v>
      </c>
      <c r="O997" s="67"/>
      <c r="P997" s="74"/>
      <c r="Q997" s="71">
        <f>VLOOKUP($F997,[6]装箱单!$A:$E,5,0)</f>
        <v>16.83</v>
      </c>
      <c r="R997" s="71">
        <f>VLOOKUP($F997,[6]装箱单!$A:$F,6,0)</f>
        <v>17.15</v>
      </c>
      <c r="S997" s="71">
        <f>VLOOKUP($F997,[6]装箱单!$A:$G,7,0)</f>
        <v>20</v>
      </c>
      <c r="T997" s="105">
        <f>VLOOKUP($F997,[6]装箱单!$A:$J,10,0)</f>
        <v>0.00577269</v>
      </c>
      <c r="U997" s="71">
        <f t="shared" si="239"/>
        <v>12.4690104</v>
      </c>
      <c r="V997" s="12"/>
    </row>
    <row r="998" s="1" customFormat="1" ht="29.1" customHeight="1" spans="1:22">
      <c r="A998" s="62">
        <v>46275</v>
      </c>
      <c r="B998" s="63" t="s">
        <v>40</v>
      </c>
      <c r="C998" s="64" t="s">
        <v>2322</v>
      </c>
      <c r="D998" s="66" t="s">
        <v>2323</v>
      </c>
      <c r="E998" s="66">
        <v>2569476</v>
      </c>
      <c r="F998" s="66">
        <v>28483</v>
      </c>
      <c r="G998" s="67" t="str">
        <f>VLOOKUP(F998,[6]装箱单!$A:$C,3,0)</f>
        <v>振动球</v>
      </c>
      <c r="H998" s="67">
        <v>2340</v>
      </c>
      <c r="I998" s="83">
        <v>900</v>
      </c>
      <c r="J998" s="83" t="s">
        <v>32</v>
      </c>
      <c r="K998" s="83" t="s">
        <v>33</v>
      </c>
      <c r="L998" s="76">
        <v>900</v>
      </c>
      <c r="M998" s="104">
        <f t="shared" si="238"/>
        <v>5.195421</v>
      </c>
      <c r="N998" s="69" t="s">
        <v>34</v>
      </c>
      <c r="O998" s="67"/>
      <c r="P998" s="74"/>
      <c r="Q998" s="71">
        <f>VLOOKUP($F998,[6]装箱单!$A:$E,5,0)</f>
        <v>16.83</v>
      </c>
      <c r="R998" s="71">
        <f>VLOOKUP($F998,[6]装箱单!$A:$F,6,0)</f>
        <v>17.15</v>
      </c>
      <c r="S998" s="71">
        <f>VLOOKUP($F998,[6]装箱单!$A:$G,7,0)</f>
        <v>20</v>
      </c>
      <c r="T998" s="105">
        <f>VLOOKUP($F998,[6]装箱单!$A:$J,10,0)</f>
        <v>0.00577269</v>
      </c>
      <c r="U998" s="71">
        <f t="shared" si="239"/>
        <v>5.195421</v>
      </c>
      <c r="V998" s="12"/>
    </row>
    <row r="999" s="1" customFormat="1" ht="29.1" customHeight="1" spans="1:22">
      <c r="A999" s="62">
        <v>46275</v>
      </c>
      <c r="B999" s="63" t="s">
        <v>146</v>
      </c>
      <c r="C999" s="64" t="s">
        <v>2324</v>
      </c>
      <c r="D999" s="66" t="s">
        <v>2325</v>
      </c>
      <c r="E999" s="67">
        <v>2592441</v>
      </c>
      <c r="F999" s="66">
        <v>46092</v>
      </c>
      <c r="G999" s="67" t="str">
        <f>VLOOKUP(F999,[6]装箱单!$A:$C,3,0)</f>
        <v>玩具总动员系列</v>
      </c>
      <c r="H999" s="67">
        <v>3123</v>
      </c>
      <c r="I999" s="68">
        <v>6246</v>
      </c>
      <c r="J999" s="68" t="s">
        <v>32</v>
      </c>
      <c r="K999" s="68" t="s">
        <v>33</v>
      </c>
      <c r="L999" s="69">
        <v>1920</v>
      </c>
      <c r="M999" s="104">
        <f t="shared" si="238"/>
        <v>42.94217862144</v>
      </c>
      <c r="N999" s="69" t="s">
        <v>34</v>
      </c>
      <c r="O999" s="67"/>
      <c r="P999" s="74"/>
      <c r="Q999" s="71">
        <f>VLOOKUP($F999,[6]装箱单!$A:$E,5,0)</f>
        <v>40.01</v>
      </c>
      <c r="R999" s="71">
        <f>VLOOKUP($F999,[6]装箱单!$A:$F,6,0)</f>
        <v>26.67</v>
      </c>
      <c r="S999" s="71">
        <f>VLOOKUP($F999,[6]装箱单!$A:$G,7,0)</f>
        <v>20.96</v>
      </c>
      <c r="T999" s="105">
        <f>VLOOKUP($F999,[6]装箱单!$A:$J,10,0)</f>
        <v>0.022365718032</v>
      </c>
      <c r="U999" s="71">
        <f t="shared" si="239"/>
        <v>42.94217862144</v>
      </c>
      <c r="V999" s="12"/>
    </row>
    <row r="1000" s="1" customFormat="1" ht="29.1" customHeight="1" spans="1:22">
      <c r="A1000" s="62">
        <v>46275</v>
      </c>
      <c r="B1000" s="63" t="s">
        <v>2005</v>
      </c>
      <c r="C1000" s="64" t="s">
        <v>2045</v>
      </c>
      <c r="D1000" s="66"/>
      <c r="E1000" s="67"/>
      <c r="F1000" s="66">
        <v>265752</v>
      </c>
      <c r="G1000" s="67" t="str">
        <f>VLOOKUP(F1000,[2]装箱单!A:C,3,0)</f>
        <v>黄色大头妹</v>
      </c>
      <c r="H1000" s="67">
        <v>5</v>
      </c>
      <c r="I1000" s="83">
        <v>40</v>
      </c>
      <c r="J1000" s="83" t="s">
        <v>32</v>
      </c>
      <c r="K1000" s="83" t="s">
        <v>33</v>
      </c>
      <c r="L1000" s="76">
        <v>1</v>
      </c>
      <c r="M1000" s="108">
        <v>1</v>
      </c>
      <c r="N1000" s="69" t="s">
        <v>34</v>
      </c>
      <c r="O1000" s="67"/>
      <c r="P1000" s="74"/>
      <c r="Q1000" s="71"/>
      <c r="R1000" s="71"/>
      <c r="S1000" s="71"/>
      <c r="T1000" s="105"/>
      <c r="U1000" s="71"/>
      <c r="V1000" s="12"/>
    </row>
    <row r="1001" s="1" customFormat="1" ht="29.1" customHeight="1" spans="1:22">
      <c r="A1001" s="62">
        <v>46275</v>
      </c>
      <c r="B1001" s="63" t="s">
        <v>2005</v>
      </c>
      <c r="C1001" s="64" t="s">
        <v>2045</v>
      </c>
      <c r="D1001" s="66"/>
      <c r="E1001" s="67"/>
      <c r="F1001" s="66">
        <v>265753</v>
      </c>
      <c r="G1001" s="67" t="str">
        <f>VLOOKUP(F1001,[2]装箱单!A:C,3,0)</f>
        <v>紫色大头妹</v>
      </c>
      <c r="H1001" s="67">
        <v>5</v>
      </c>
      <c r="I1001" s="83">
        <f>+L1001*40</f>
        <v>40</v>
      </c>
      <c r="J1001" s="83" t="s">
        <v>32</v>
      </c>
      <c r="K1001" s="83" t="s">
        <v>33</v>
      </c>
      <c r="L1001" s="76">
        <v>1</v>
      </c>
      <c r="M1001" s="110"/>
      <c r="N1001" s="69" t="s">
        <v>34</v>
      </c>
      <c r="O1001" s="67"/>
      <c r="P1001" s="74"/>
      <c r="Q1001" s="71"/>
      <c r="R1001" s="71"/>
      <c r="S1001" s="71"/>
      <c r="T1001" s="105"/>
      <c r="U1001" s="71"/>
      <c r="V1001" s="12"/>
    </row>
    <row r="1002" s="1" customFormat="1" ht="29.1" customHeight="1" spans="1:22">
      <c r="A1002" s="62">
        <v>46275</v>
      </c>
      <c r="B1002" s="63" t="s">
        <v>2005</v>
      </c>
      <c r="C1002" s="64" t="s">
        <v>2010</v>
      </c>
      <c r="D1002" s="66"/>
      <c r="E1002" s="67"/>
      <c r="F1002" s="66">
        <v>263718</v>
      </c>
      <c r="G1002" s="67" t="str">
        <f>VLOOKUP(F1002,[2]装箱单!A:C,3,0)</f>
        <v>浅紫色大眼妹</v>
      </c>
      <c r="H1002" s="67">
        <v>13</v>
      </c>
      <c r="I1002" s="68">
        <f>+L1002*4</f>
        <v>8</v>
      </c>
      <c r="J1002" s="68" t="s">
        <v>32</v>
      </c>
      <c r="K1002" s="68" t="s">
        <v>33</v>
      </c>
      <c r="L1002" s="69">
        <v>2</v>
      </c>
      <c r="M1002" s="110"/>
      <c r="N1002" s="69" t="s">
        <v>34</v>
      </c>
      <c r="O1002" s="67"/>
      <c r="P1002" s="74"/>
      <c r="Q1002" s="71"/>
      <c r="R1002" s="71"/>
      <c r="S1002" s="71"/>
      <c r="T1002" s="105"/>
      <c r="U1002" s="71"/>
      <c r="V1002" s="12"/>
    </row>
    <row r="1003" s="1" customFormat="1" ht="29.1" customHeight="1" spans="1:22">
      <c r="A1003" s="62">
        <v>46275</v>
      </c>
      <c r="B1003" s="63" t="s">
        <v>2005</v>
      </c>
      <c r="C1003" s="64" t="s">
        <v>2010</v>
      </c>
      <c r="D1003" s="66"/>
      <c r="E1003" s="67"/>
      <c r="F1003" s="66">
        <v>263719</v>
      </c>
      <c r="G1003" s="67" t="str">
        <f>VLOOKUP(F1003,[2]装箱单!A:C,3,0)</f>
        <v>深紫色大眼妹</v>
      </c>
      <c r="H1003" s="67">
        <v>13</v>
      </c>
      <c r="I1003" s="68">
        <f>+L1003*4</f>
        <v>8</v>
      </c>
      <c r="J1003" s="68" t="s">
        <v>32</v>
      </c>
      <c r="K1003" s="68" t="s">
        <v>33</v>
      </c>
      <c r="L1003" s="69">
        <v>2</v>
      </c>
      <c r="M1003" s="112"/>
      <c r="N1003" s="69" t="s">
        <v>34</v>
      </c>
      <c r="O1003" s="67"/>
      <c r="P1003" s="74"/>
      <c r="Q1003" s="71"/>
      <c r="R1003" s="71"/>
      <c r="S1003" s="71"/>
      <c r="T1003" s="105"/>
      <c r="U1003" s="71"/>
      <c r="V1003" s="12"/>
    </row>
    <row r="1004" s="1" customFormat="1" ht="29.1" customHeight="1" spans="1:22">
      <c r="A1004" s="62"/>
      <c r="B1004" s="63"/>
      <c r="C1004" s="64"/>
      <c r="D1004" s="66"/>
      <c r="E1004" s="66"/>
      <c r="F1004" s="66"/>
      <c r="G1004" s="67"/>
      <c r="H1004" s="67"/>
      <c r="I1004" s="68"/>
      <c r="J1004" s="68"/>
      <c r="K1004" s="68"/>
      <c r="L1004" s="69"/>
      <c r="M1004" s="104">
        <f>SUM(M985:M1003)</f>
        <v>128.762427035417</v>
      </c>
      <c r="N1004" s="69"/>
      <c r="O1004" s="67"/>
      <c r="P1004" s="75"/>
      <c r="Q1004" s="71"/>
      <c r="R1004" s="71"/>
      <c r="S1004" s="71"/>
      <c r="T1004" s="105"/>
      <c r="U1004" s="71"/>
      <c r="V1004" s="12"/>
    </row>
    <row r="1005" s="1" customFormat="1" ht="29.1" customHeight="1" spans="1:22">
      <c r="A1005" s="62">
        <v>46277</v>
      </c>
      <c r="B1005" s="63" t="s">
        <v>40</v>
      </c>
      <c r="C1005" s="64" t="s">
        <v>2322</v>
      </c>
      <c r="D1005" s="66" t="s">
        <v>2323</v>
      </c>
      <c r="E1005" s="66">
        <v>2569476</v>
      </c>
      <c r="F1005" s="66">
        <v>28483</v>
      </c>
      <c r="G1005" s="67" t="str">
        <f>VLOOKUP(F1005,[6]装箱单!$A:$C,3,0)</f>
        <v>振动球</v>
      </c>
      <c r="H1005" s="67">
        <v>2340</v>
      </c>
      <c r="I1005" s="68">
        <f>+L1005</f>
        <v>1440</v>
      </c>
      <c r="J1005" s="68" t="s">
        <v>32</v>
      </c>
      <c r="K1005" s="68" t="s">
        <v>33</v>
      </c>
      <c r="L1005" s="69">
        <f>2340-900</f>
        <v>1440</v>
      </c>
      <c r="M1005" s="104">
        <f t="shared" ref="M1005:M1015" si="242">+U1005</f>
        <v>8.3126736</v>
      </c>
      <c r="N1005" s="69" t="s">
        <v>34</v>
      </c>
      <c r="O1005" s="67"/>
      <c r="P1005" s="70" t="s">
        <v>271</v>
      </c>
      <c r="Q1005" s="71">
        <f>VLOOKUP($F1005,[6]装箱单!$A:$E,5,0)</f>
        <v>16.83</v>
      </c>
      <c r="R1005" s="71">
        <f>VLOOKUP($F1005,[6]装箱单!$A:$F,6,0)</f>
        <v>17.15</v>
      </c>
      <c r="S1005" s="71">
        <f>VLOOKUP($F1005,[6]装箱单!$A:$G,7,0)</f>
        <v>20</v>
      </c>
      <c r="T1005" s="105">
        <f>VLOOKUP($F1005,[6]装箱单!$A:$J,10,0)</f>
        <v>0.00577269</v>
      </c>
      <c r="U1005" s="71">
        <f t="shared" ref="U1005:U1015" si="243">+T1005*L1005</f>
        <v>8.3126736</v>
      </c>
      <c r="V1005" s="12"/>
    </row>
    <row r="1006" s="1" customFormat="1" ht="29.1" customHeight="1" spans="1:22">
      <c r="A1006" s="62">
        <v>46277</v>
      </c>
      <c r="B1006" s="63" t="s">
        <v>77</v>
      </c>
      <c r="C1006" s="64" t="s">
        <v>2326</v>
      </c>
      <c r="D1006" s="66" t="s">
        <v>2327</v>
      </c>
      <c r="E1006" s="67" t="s">
        <v>2328</v>
      </c>
      <c r="F1006" s="66" t="s">
        <v>120</v>
      </c>
      <c r="G1006" s="67" t="str">
        <f>VLOOKUP(F1006,[6]装箱单!$A:$C,3,0)</f>
        <v>搪胶小鸭</v>
      </c>
      <c r="H1006" s="67">
        <v>153</v>
      </c>
      <c r="I1006" s="68">
        <v>5508</v>
      </c>
      <c r="J1006" s="68" t="s">
        <v>32</v>
      </c>
      <c r="K1006" s="68" t="s">
        <v>33</v>
      </c>
      <c r="L1006" s="69">
        <f t="shared" ref="L1006:L1008" si="244">+I1006/36</f>
        <v>153</v>
      </c>
      <c r="M1006" s="104">
        <f t="shared" si="242"/>
        <v>1.88807101938</v>
      </c>
      <c r="N1006" s="69" t="s">
        <v>34</v>
      </c>
      <c r="O1006" s="67" t="s">
        <v>1729</v>
      </c>
      <c r="P1006" s="74"/>
      <c r="Q1006" s="71">
        <f>VLOOKUP($F1006,[6]装箱单!$A:$E,5,0)</f>
        <v>33.02</v>
      </c>
      <c r="R1006" s="71">
        <f>VLOOKUP($F1006,[6]装箱单!$A:$F,6,0)</f>
        <v>18.41</v>
      </c>
      <c r="S1006" s="71">
        <f>VLOOKUP($F1006,[6]装箱单!$A:$G,7,0)</f>
        <v>20.3</v>
      </c>
      <c r="T1006" s="105">
        <f>VLOOKUP($F1006,[6]装箱单!$A:$J,10,0)</f>
        <v>0.01234033346</v>
      </c>
      <c r="U1006" s="71">
        <f t="shared" si="243"/>
        <v>1.88807101938</v>
      </c>
      <c r="V1006" s="12"/>
    </row>
    <row r="1007" s="1" customFormat="1" ht="29.1" customHeight="1" spans="1:22">
      <c r="A1007" s="62">
        <v>46277</v>
      </c>
      <c r="B1007" s="63" t="s">
        <v>77</v>
      </c>
      <c r="C1007" s="64" t="s">
        <v>2326</v>
      </c>
      <c r="D1007" s="66" t="s">
        <v>2327</v>
      </c>
      <c r="E1007" s="67" t="s">
        <v>2328</v>
      </c>
      <c r="F1007" s="66" t="s">
        <v>120</v>
      </c>
      <c r="G1007" s="67" t="str">
        <f>VLOOKUP(F1007,[6]装箱单!$A:$C,3,0)</f>
        <v>搪胶小鸭</v>
      </c>
      <c r="H1007" s="67">
        <v>167</v>
      </c>
      <c r="I1007" s="68">
        <v>6012</v>
      </c>
      <c r="J1007" s="68" t="s">
        <v>32</v>
      </c>
      <c r="K1007" s="68" t="s">
        <v>33</v>
      </c>
      <c r="L1007" s="69">
        <f t="shared" si="244"/>
        <v>167</v>
      </c>
      <c r="M1007" s="104">
        <f t="shared" si="242"/>
        <v>2.06083568782</v>
      </c>
      <c r="N1007" s="69" t="s">
        <v>34</v>
      </c>
      <c r="O1007" s="67" t="s">
        <v>1730</v>
      </c>
      <c r="P1007" s="74"/>
      <c r="Q1007" s="71">
        <f>VLOOKUP($F1007,[6]装箱单!$A:$E,5,0)</f>
        <v>33.02</v>
      </c>
      <c r="R1007" s="71">
        <f>VLOOKUP($F1007,[6]装箱单!$A:$F,6,0)</f>
        <v>18.41</v>
      </c>
      <c r="S1007" s="71">
        <f>VLOOKUP($F1007,[6]装箱单!$A:$G,7,0)</f>
        <v>20.3</v>
      </c>
      <c r="T1007" s="105">
        <f>VLOOKUP($F1007,[6]装箱单!$A:$J,10,0)</f>
        <v>0.01234033346</v>
      </c>
      <c r="U1007" s="71">
        <f t="shared" si="243"/>
        <v>2.06083568782</v>
      </c>
      <c r="V1007" s="12"/>
    </row>
    <row r="1008" s="1" customFormat="1" ht="29.1" customHeight="1" spans="1:22">
      <c r="A1008" s="62">
        <v>46277</v>
      </c>
      <c r="B1008" s="63" t="s">
        <v>77</v>
      </c>
      <c r="C1008" s="64" t="s">
        <v>2326</v>
      </c>
      <c r="D1008" s="66" t="s">
        <v>2327</v>
      </c>
      <c r="E1008" s="67" t="s">
        <v>2328</v>
      </c>
      <c r="F1008" s="66" t="s">
        <v>120</v>
      </c>
      <c r="G1008" s="67" t="str">
        <f>VLOOKUP(F1008,[6]装箱单!$A:$C,3,0)</f>
        <v>搪胶小鸭</v>
      </c>
      <c r="H1008" s="67">
        <v>139</v>
      </c>
      <c r="I1008" s="68">
        <v>5004</v>
      </c>
      <c r="J1008" s="68" t="s">
        <v>32</v>
      </c>
      <c r="K1008" s="68" t="s">
        <v>33</v>
      </c>
      <c r="L1008" s="69">
        <f t="shared" si="244"/>
        <v>139</v>
      </c>
      <c r="M1008" s="104">
        <f t="shared" si="242"/>
        <v>1.71530635094</v>
      </c>
      <c r="N1008" s="69" t="s">
        <v>34</v>
      </c>
      <c r="O1008" s="67" t="s">
        <v>1731</v>
      </c>
      <c r="P1008" s="74"/>
      <c r="Q1008" s="71">
        <f>VLOOKUP($F1008,[6]装箱单!$A:$E,5,0)</f>
        <v>33.02</v>
      </c>
      <c r="R1008" s="71">
        <f>VLOOKUP($F1008,[6]装箱单!$A:$F,6,0)</f>
        <v>18.41</v>
      </c>
      <c r="S1008" s="71">
        <f>VLOOKUP($F1008,[6]装箱单!$A:$G,7,0)</f>
        <v>20.3</v>
      </c>
      <c r="T1008" s="105">
        <f>VLOOKUP($F1008,[6]装箱单!$A:$J,10,0)</f>
        <v>0.01234033346</v>
      </c>
      <c r="U1008" s="71">
        <f t="shared" si="243"/>
        <v>1.71530635094</v>
      </c>
      <c r="V1008" s="12"/>
    </row>
    <row r="1009" s="1" customFormat="1" ht="29.1" customHeight="1" spans="1:22">
      <c r="A1009" s="62">
        <v>46277</v>
      </c>
      <c r="B1009" s="63" t="s">
        <v>2329</v>
      </c>
      <c r="C1009" s="64" t="s">
        <v>2330</v>
      </c>
      <c r="D1009" s="66" t="s">
        <v>2331</v>
      </c>
      <c r="E1009" s="115" t="s">
        <v>2332</v>
      </c>
      <c r="F1009" s="66" t="s">
        <v>51</v>
      </c>
      <c r="G1009" s="67" t="str">
        <f>VLOOKUP(F1009,[6]装箱单!$A:$C,3,0)</f>
        <v>鸭子</v>
      </c>
      <c r="H1009" s="67">
        <v>337</v>
      </c>
      <c r="I1009" s="68">
        <v>16176</v>
      </c>
      <c r="J1009" s="68" t="s">
        <v>32</v>
      </c>
      <c r="K1009" s="68" t="s">
        <v>33</v>
      </c>
      <c r="L1009" s="69">
        <f>+I1009/48</f>
        <v>337</v>
      </c>
      <c r="M1009" s="104">
        <f t="shared" si="242"/>
        <v>13.774259301</v>
      </c>
      <c r="N1009" s="69" t="s">
        <v>34</v>
      </c>
      <c r="O1009" s="67"/>
      <c r="P1009" s="74"/>
      <c r="Q1009" s="71">
        <f>VLOOKUP($F1009,[6]装箱单!$A:$E,5,0)</f>
        <v>37.15</v>
      </c>
      <c r="R1009" s="71">
        <f>VLOOKUP($F1009,[6]装箱单!$A:$F,6,0)</f>
        <v>33</v>
      </c>
      <c r="S1009" s="71">
        <f>VLOOKUP($F1009,[6]装箱单!$A:$G,7,0)</f>
        <v>33.34</v>
      </c>
      <c r="T1009" s="105">
        <f>VLOOKUP($F1009,[6]装箱单!$A:$J,10,0)</f>
        <v>0.040873173</v>
      </c>
      <c r="U1009" s="71">
        <f t="shared" si="243"/>
        <v>13.774259301</v>
      </c>
      <c r="V1009" s="12"/>
    </row>
    <row r="1010" s="1" customFormat="1" ht="29.1" customHeight="1" spans="1:22">
      <c r="A1010" s="62">
        <v>46277</v>
      </c>
      <c r="B1010" s="63" t="s">
        <v>508</v>
      </c>
      <c r="C1010" s="64" t="s">
        <v>2333</v>
      </c>
      <c r="D1010" s="66" t="s">
        <v>2334</v>
      </c>
      <c r="E1010" s="115" t="s">
        <v>2335</v>
      </c>
      <c r="F1010" s="66" t="s">
        <v>51</v>
      </c>
      <c r="G1010" s="67" t="str">
        <f>VLOOKUP(F1010,[6]装箱单!$A:$C,3,0)</f>
        <v>鸭子</v>
      </c>
      <c r="H1010" s="67">
        <v>413</v>
      </c>
      <c r="I1010" s="68">
        <v>19824</v>
      </c>
      <c r="J1010" s="68" t="s">
        <v>32</v>
      </c>
      <c r="K1010" s="68" t="s">
        <v>33</v>
      </c>
      <c r="L1010" s="69">
        <f>+I1010/48</f>
        <v>413</v>
      </c>
      <c r="M1010" s="104">
        <f t="shared" si="242"/>
        <v>16.880620449</v>
      </c>
      <c r="N1010" s="69" t="s">
        <v>34</v>
      </c>
      <c r="O1010" s="67"/>
      <c r="P1010" s="74"/>
      <c r="Q1010" s="71">
        <f>VLOOKUP($F1010,[6]装箱单!$A:$E,5,0)</f>
        <v>37.15</v>
      </c>
      <c r="R1010" s="71">
        <f>VLOOKUP($F1010,[6]装箱单!$A:$F,6,0)</f>
        <v>33</v>
      </c>
      <c r="S1010" s="71">
        <f>VLOOKUP($F1010,[6]装箱单!$A:$G,7,0)</f>
        <v>33.34</v>
      </c>
      <c r="T1010" s="105">
        <f>VLOOKUP($F1010,[6]装箱单!$A:$J,10,0)</f>
        <v>0.040873173</v>
      </c>
      <c r="U1010" s="71">
        <f t="shared" si="243"/>
        <v>16.880620449</v>
      </c>
      <c r="V1010" s="12"/>
    </row>
    <row r="1011" s="1" customFormat="1" ht="29.1" customHeight="1" spans="1:22">
      <c r="A1011" s="62">
        <v>46277</v>
      </c>
      <c r="B1011" s="63" t="s">
        <v>146</v>
      </c>
      <c r="C1011" s="64" t="s">
        <v>2324</v>
      </c>
      <c r="D1011" s="66" t="s">
        <v>2325</v>
      </c>
      <c r="E1011" s="67">
        <v>2592441</v>
      </c>
      <c r="F1011" s="66">
        <v>46092</v>
      </c>
      <c r="G1011" s="67" t="str">
        <f>VLOOKUP(F1011,[6]装箱单!$A:$C,3,0)</f>
        <v>玩具总动员系列</v>
      </c>
      <c r="H1011" s="67">
        <v>3123</v>
      </c>
      <c r="I1011" s="68">
        <f>+L1011*2</f>
        <v>2406</v>
      </c>
      <c r="J1011" s="68" t="s">
        <v>32</v>
      </c>
      <c r="K1011" s="68" t="s">
        <v>33</v>
      </c>
      <c r="L1011" s="69">
        <f>3123-1920</f>
        <v>1203</v>
      </c>
      <c r="M1011" s="104">
        <f t="shared" si="242"/>
        <v>26.905958792496</v>
      </c>
      <c r="N1011" s="69" t="s">
        <v>34</v>
      </c>
      <c r="O1011" s="67"/>
      <c r="P1011" s="74"/>
      <c r="Q1011" s="71">
        <f>VLOOKUP($F1011,[6]装箱单!$A:$E,5,0)</f>
        <v>40.01</v>
      </c>
      <c r="R1011" s="71">
        <f>VLOOKUP($F1011,[6]装箱单!$A:$F,6,0)</f>
        <v>26.67</v>
      </c>
      <c r="S1011" s="71">
        <f>VLOOKUP($F1011,[6]装箱单!$A:$G,7,0)</f>
        <v>20.96</v>
      </c>
      <c r="T1011" s="105">
        <f>VLOOKUP($F1011,[6]装箱单!$A:$J,10,0)</f>
        <v>0.022365718032</v>
      </c>
      <c r="U1011" s="71">
        <f t="shared" si="243"/>
        <v>26.905958792496</v>
      </c>
      <c r="V1011" s="12"/>
    </row>
    <row r="1012" s="1" customFormat="1" ht="29.1" customHeight="1" spans="1:22">
      <c r="A1012" s="62">
        <v>46277</v>
      </c>
      <c r="B1012" s="63" t="s">
        <v>146</v>
      </c>
      <c r="C1012" s="64" t="s">
        <v>2336</v>
      </c>
      <c r="D1012" s="66" t="s">
        <v>2337</v>
      </c>
      <c r="E1012" s="67">
        <v>2592438</v>
      </c>
      <c r="F1012" s="66">
        <v>46094</v>
      </c>
      <c r="G1012" s="67" t="str">
        <f>VLOOKUP(F1012,[6]装箱单!$A:$C,3,0)</f>
        <v>漫威系列</v>
      </c>
      <c r="H1012" s="67">
        <v>2511</v>
      </c>
      <c r="I1012" s="68">
        <f>+L1012*2</f>
        <v>2960</v>
      </c>
      <c r="J1012" s="68" t="s">
        <v>32</v>
      </c>
      <c r="K1012" s="68" t="s">
        <v>33</v>
      </c>
      <c r="L1012" s="69">
        <v>1480</v>
      </c>
      <c r="M1012" s="104">
        <f t="shared" si="242"/>
        <v>33.10126268736</v>
      </c>
      <c r="N1012" s="69" t="s">
        <v>34</v>
      </c>
      <c r="O1012" s="67"/>
      <c r="P1012" s="74"/>
      <c r="Q1012" s="71">
        <f>VLOOKUP($F1012,[6]装箱单!$A:$E,5,0)</f>
        <v>40.01</v>
      </c>
      <c r="R1012" s="71">
        <f>VLOOKUP($F1012,[6]装箱单!$A:$F,6,0)</f>
        <v>26.67</v>
      </c>
      <c r="S1012" s="71">
        <f>VLOOKUP($F1012,[6]装箱单!$A:$G,7,0)</f>
        <v>20.96</v>
      </c>
      <c r="T1012" s="105">
        <f>VLOOKUP($F1012,[6]装箱单!$A:$J,10,0)</f>
        <v>0.022365718032</v>
      </c>
      <c r="U1012" s="71">
        <f t="shared" si="243"/>
        <v>33.10126268736</v>
      </c>
      <c r="V1012" s="12"/>
    </row>
    <row r="1013" s="1" customFormat="1" ht="29.1" customHeight="1" spans="1:22">
      <c r="A1013" s="62">
        <v>46277</v>
      </c>
      <c r="B1013" s="63" t="s">
        <v>40</v>
      </c>
      <c r="C1013" s="64" t="s">
        <v>2338</v>
      </c>
      <c r="D1013" s="66" t="s">
        <v>2339</v>
      </c>
      <c r="E1013" s="66">
        <v>2569562</v>
      </c>
      <c r="F1013" s="66">
        <v>28483</v>
      </c>
      <c r="G1013" s="67" t="str">
        <f>VLOOKUP(F1013,[6]装箱单!$A:$C,3,0)</f>
        <v>振动球</v>
      </c>
      <c r="H1013" s="67">
        <v>2340</v>
      </c>
      <c r="I1013" s="68">
        <v>2340</v>
      </c>
      <c r="J1013" s="68" t="s">
        <v>32</v>
      </c>
      <c r="K1013" s="68" t="s">
        <v>33</v>
      </c>
      <c r="L1013" s="69">
        <f>+I1013</f>
        <v>2340</v>
      </c>
      <c r="M1013" s="104">
        <f t="shared" si="242"/>
        <v>13.5080946</v>
      </c>
      <c r="N1013" s="69" t="s">
        <v>34</v>
      </c>
      <c r="O1013" s="67" t="s">
        <v>2340</v>
      </c>
      <c r="P1013" s="74"/>
      <c r="Q1013" s="71">
        <f>VLOOKUP($F1013,[6]装箱单!$A:$E,5,0)</f>
        <v>16.83</v>
      </c>
      <c r="R1013" s="71">
        <f>VLOOKUP($F1013,[6]装箱单!$A:$F,6,0)</f>
        <v>17.15</v>
      </c>
      <c r="S1013" s="71">
        <f>VLOOKUP($F1013,[6]装箱单!$A:$G,7,0)</f>
        <v>20</v>
      </c>
      <c r="T1013" s="105">
        <f>VLOOKUP($F1013,[6]装箱单!$A:$J,10,0)</f>
        <v>0.00577269</v>
      </c>
      <c r="U1013" s="71">
        <f t="shared" si="243"/>
        <v>13.5080946</v>
      </c>
      <c r="V1013" s="12"/>
    </row>
    <row r="1014" s="1" customFormat="1" ht="29.1" customHeight="1" spans="1:22">
      <c r="A1014" s="62">
        <v>46277</v>
      </c>
      <c r="B1014" s="63" t="s">
        <v>40</v>
      </c>
      <c r="C1014" s="64" t="s">
        <v>2341</v>
      </c>
      <c r="D1014" s="66" t="s">
        <v>2342</v>
      </c>
      <c r="E1014" s="66">
        <v>2569565</v>
      </c>
      <c r="F1014" s="66">
        <v>28483</v>
      </c>
      <c r="G1014" s="67" t="str">
        <f>VLOOKUP(F1014,[6]装箱单!$A:$C,3,0)</f>
        <v>振动球</v>
      </c>
      <c r="H1014" s="67">
        <v>1800</v>
      </c>
      <c r="I1014" s="68">
        <v>1800</v>
      </c>
      <c r="J1014" s="68" t="s">
        <v>32</v>
      </c>
      <c r="K1014" s="68" t="s">
        <v>33</v>
      </c>
      <c r="L1014" s="69">
        <f>+I1014</f>
        <v>1800</v>
      </c>
      <c r="M1014" s="104">
        <f t="shared" si="242"/>
        <v>10.390842</v>
      </c>
      <c r="N1014" s="69" t="s">
        <v>34</v>
      </c>
      <c r="O1014" s="67"/>
      <c r="P1014" s="74"/>
      <c r="Q1014" s="71">
        <f>VLOOKUP($F1014,[6]装箱单!$A:$E,5,0)</f>
        <v>16.83</v>
      </c>
      <c r="R1014" s="71">
        <f>VLOOKUP($F1014,[6]装箱单!$A:$F,6,0)</f>
        <v>17.15</v>
      </c>
      <c r="S1014" s="71">
        <f>VLOOKUP($F1014,[6]装箱单!$A:$G,7,0)</f>
        <v>20</v>
      </c>
      <c r="T1014" s="105">
        <f>VLOOKUP($F1014,[6]装箱单!$A:$J,10,0)</f>
        <v>0.00577269</v>
      </c>
      <c r="U1014" s="71">
        <f t="shared" si="243"/>
        <v>10.390842</v>
      </c>
      <c r="V1014" s="12"/>
    </row>
    <row r="1015" s="1" customFormat="1" ht="29.1" customHeight="1" spans="1:22">
      <c r="A1015" s="62">
        <v>46277</v>
      </c>
      <c r="B1015" s="63" t="s">
        <v>40</v>
      </c>
      <c r="C1015" s="64" t="s">
        <v>2343</v>
      </c>
      <c r="D1015" s="66" t="s">
        <v>2344</v>
      </c>
      <c r="E1015" s="67">
        <v>1003449393</v>
      </c>
      <c r="F1015" s="66">
        <v>28481</v>
      </c>
      <c r="G1015" s="67" t="str">
        <f>VLOOKUP(F1015,[6]装箱单!$A:$C,3,0)</f>
        <v>骰子</v>
      </c>
      <c r="H1015" s="67">
        <v>480</v>
      </c>
      <c r="I1015" s="68">
        <f>+L1015*4</f>
        <v>1920</v>
      </c>
      <c r="J1015" s="68" t="s">
        <v>32</v>
      </c>
      <c r="K1015" s="68" t="s">
        <v>33</v>
      </c>
      <c r="L1015" s="69">
        <v>480</v>
      </c>
      <c r="M1015" s="104">
        <f t="shared" si="242"/>
        <v>4.83828876384</v>
      </c>
      <c r="N1015" s="69" t="s">
        <v>34</v>
      </c>
      <c r="O1015" s="67" t="s">
        <v>2345</v>
      </c>
      <c r="P1015" s="74"/>
      <c r="Q1015" s="71">
        <f>VLOOKUP($F1015,[6]装箱单!$A:$E,5,0)</f>
        <v>23.81</v>
      </c>
      <c r="R1015" s="71">
        <f>VLOOKUP($F1015,[6]装箱单!$A:$F,6,0)</f>
        <v>17.78</v>
      </c>
      <c r="S1015" s="71">
        <f>VLOOKUP($F1015,[6]装箱单!$A:$G,7,0)</f>
        <v>23.81</v>
      </c>
      <c r="T1015" s="105">
        <f>VLOOKUP($F1015,[6]装箱单!$A:$J,10,0)</f>
        <v>0.010079768258</v>
      </c>
      <c r="U1015" s="71">
        <f t="shared" si="243"/>
        <v>4.83828876384</v>
      </c>
      <c r="V1015" s="12"/>
    </row>
    <row r="1016" s="1" customFormat="1" ht="29.1" customHeight="1" spans="1:22">
      <c r="A1016" s="62"/>
      <c r="B1016" s="63"/>
      <c r="C1016" s="64"/>
      <c r="D1016" s="66"/>
      <c r="E1016" s="67"/>
      <c r="F1016" s="66"/>
      <c r="G1016" s="67"/>
      <c r="H1016" s="67"/>
      <c r="I1016" s="68"/>
      <c r="J1016" s="68"/>
      <c r="K1016" s="68"/>
      <c r="L1016" s="69"/>
      <c r="M1016" s="104">
        <f>SUM(M1005:M1015)</f>
        <v>133.376213251836</v>
      </c>
      <c r="N1016" s="69"/>
      <c r="O1016" s="67"/>
      <c r="P1016" s="75"/>
      <c r="Q1016" s="71"/>
      <c r="R1016" s="71"/>
      <c r="S1016" s="71"/>
      <c r="T1016" s="105"/>
      <c r="U1016" s="71"/>
      <c r="V1016" s="12"/>
    </row>
    <row r="1017" s="1" customFormat="1" ht="29.1" customHeight="1" spans="1:22">
      <c r="A1017" s="62">
        <v>46279</v>
      </c>
      <c r="B1017" s="63" t="s">
        <v>40</v>
      </c>
      <c r="C1017" s="64" t="s">
        <v>2346</v>
      </c>
      <c r="D1017" s="66" t="s">
        <v>2347</v>
      </c>
      <c r="E1017" s="66">
        <v>2569559</v>
      </c>
      <c r="F1017" s="66">
        <v>28483</v>
      </c>
      <c r="G1017" s="67" t="str">
        <f>VLOOKUP(F1017,[6]装箱单!$A:$C,3,0)</f>
        <v>振动球</v>
      </c>
      <c r="H1017" s="67">
        <v>4320</v>
      </c>
      <c r="I1017" s="68">
        <v>4320</v>
      </c>
      <c r="J1017" s="68" t="s">
        <v>32</v>
      </c>
      <c r="K1017" s="68" t="s">
        <v>33</v>
      </c>
      <c r="L1017" s="69">
        <f t="shared" ref="L1017:L1020" si="245">+I1017</f>
        <v>4320</v>
      </c>
      <c r="M1017" s="104">
        <f t="shared" ref="M1017:M1025" si="246">+U1017</f>
        <v>24.9380208</v>
      </c>
      <c r="N1017" s="69" t="s">
        <v>34</v>
      </c>
      <c r="O1017" s="67"/>
      <c r="P1017" s="70" t="s">
        <v>137</v>
      </c>
      <c r="Q1017" s="71">
        <f>VLOOKUP($F1017,[6]装箱单!$A:$E,5,0)</f>
        <v>16.83</v>
      </c>
      <c r="R1017" s="71">
        <f>VLOOKUP($F1017,[6]装箱单!$A:$F,6,0)</f>
        <v>17.15</v>
      </c>
      <c r="S1017" s="71">
        <f>VLOOKUP($F1017,[6]装箱单!$A:$G,7,0)</f>
        <v>20</v>
      </c>
      <c r="T1017" s="105">
        <f>VLOOKUP($F1017,[6]装箱单!$A:$J,10,0)</f>
        <v>0.00577269</v>
      </c>
      <c r="U1017" s="71">
        <f t="shared" ref="U1017:U1025" si="247">+T1017*L1017</f>
        <v>24.9380208</v>
      </c>
      <c r="V1017" s="12"/>
    </row>
    <row r="1018" s="1" customFormat="1" ht="29.1" customHeight="1" spans="1:22">
      <c r="A1018" s="62">
        <v>46279</v>
      </c>
      <c r="B1018" s="63" t="s">
        <v>40</v>
      </c>
      <c r="C1018" s="64" t="s">
        <v>2306</v>
      </c>
      <c r="D1018" s="66" t="s">
        <v>2307</v>
      </c>
      <c r="E1018" s="67">
        <v>1003448839</v>
      </c>
      <c r="F1018" s="66">
        <v>28483</v>
      </c>
      <c r="G1018" s="67" t="str">
        <f>VLOOKUP(F1018,[6]装箱单!$A:$C,3,0)</f>
        <v>振动球</v>
      </c>
      <c r="H1018" s="67">
        <v>2340</v>
      </c>
      <c r="I1018" s="68">
        <v>2340</v>
      </c>
      <c r="J1018" s="68" t="s">
        <v>32</v>
      </c>
      <c r="K1018" s="68" t="s">
        <v>33</v>
      </c>
      <c r="L1018" s="69">
        <f t="shared" si="245"/>
        <v>2340</v>
      </c>
      <c r="M1018" s="104">
        <f t="shared" si="246"/>
        <v>13.5080946</v>
      </c>
      <c r="N1018" s="69" t="s">
        <v>34</v>
      </c>
      <c r="O1018" s="67"/>
      <c r="P1018" s="74"/>
      <c r="Q1018" s="71">
        <f>VLOOKUP($F1018,[6]装箱单!$A:$E,5,0)</f>
        <v>16.83</v>
      </c>
      <c r="R1018" s="71">
        <f>VLOOKUP($F1018,[6]装箱单!$A:$F,6,0)</f>
        <v>17.15</v>
      </c>
      <c r="S1018" s="71">
        <f>VLOOKUP($F1018,[6]装箱单!$A:$G,7,0)</f>
        <v>20</v>
      </c>
      <c r="T1018" s="105">
        <f>VLOOKUP($F1018,[6]装箱单!$A:$J,10,0)</f>
        <v>0.00577269</v>
      </c>
      <c r="U1018" s="71">
        <f t="shared" si="247"/>
        <v>13.5080946</v>
      </c>
      <c r="V1018" s="12"/>
    </row>
    <row r="1019" s="1" customFormat="1" ht="29.1" customHeight="1" spans="1:22">
      <c r="A1019" s="62">
        <v>46279</v>
      </c>
      <c r="B1019" s="63" t="s">
        <v>40</v>
      </c>
      <c r="C1019" s="64" t="s">
        <v>2348</v>
      </c>
      <c r="D1019" s="66" t="s">
        <v>2349</v>
      </c>
      <c r="E1019" s="67">
        <v>1003449136</v>
      </c>
      <c r="F1019" s="66">
        <v>28483</v>
      </c>
      <c r="G1019" s="67" t="str">
        <f>VLOOKUP(F1019,[6]装箱单!$A:$C,3,0)</f>
        <v>振动球</v>
      </c>
      <c r="H1019" s="67">
        <v>1800</v>
      </c>
      <c r="I1019" s="68">
        <v>1800</v>
      </c>
      <c r="J1019" s="68" t="s">
        <v>32</v>
      </c>
      <c r="K1019" s="68" t="s">
        <v>33</v>
      </c>
      <c r="L1019" s="69">
        <f t="shared" si="245"/>
        <v>1800</v>
      </c>
      <c r="M1019" s="104">
        <f t="shared" si="246"/>
        <v>10.390842</v>
      </c>
      <c r="N1019" s="69" t="s">
        <v>34</v>
      </c>
      <c r="O1019" s="67"/>
      <c r="P1019" s="74"/>
      <c r="Q1019" s="71">
        <f>VLOOKUP($F1019,[6]装箱单!$A:$E,5,0)</f>
        <v>16.83</v>
      </c>
      <c r="R1019" s="71">
        <f>VLOOKUP($F1019,[6]装箱单!$A:$F,6,0)</f>
        <v>17.15</v>
      </c>
      <c r="S1019" s="71">
        <f>VLOOKUP($F1019,[6]装箱单!$A:$G,7,0)</f>
        <v>20</v>
      </c>
      <c r="T1019" s="105">
        <f>VLOOKUP($F1019,[6]装箱单!$A:$J,10,0)</f>
        <v>0.00577269</v>
      </c>
      <c r="U1019" s="71">
        <f t="shared" si="247"/>
        <v>10.390842</v>
      </c>
      <c r="V1019" s="12"/>
    </row>
    <row r="1020" s="1" customFormat="1" ht="29.1" customHeight="1" spans="1:22">
      <c r="A1020" s="62">
        <v>46279</v>
      </c>
      <c r="B1020" s="63" t="s">
        <v>40</v>
      </c>
      <c r="C1020" s="64" t="s">
        <v>2350</v>
      </c>
      <c r="D1020" s="66" t="s">
        <v>2351</v>
      </c>
      <c r="E1020" s="67">
        <v>1003449196</v>
      </c>
      <c r="F1020" s="66">
        <v>28483</v>
      </c>
      <c r="G1020" s="67" t="str">
        <f>VLOOKUP(F1020,[6]装箱单!$A:$C,3,0)</f>
        <v>振动球</v>
      </c>
      <c r="H1020" s="67">
        <v>1800</v>
      </c>
      <c r="I1020" s="68">
        <v>1800</v>
      </c>
      <c r="J1020" s="68" t="s">
        <v>32</v>
      </c>
      <c r="K1020" s="68" t="s">
        <v>33</v>
      </c>
      <c r="L1020" s="69">
        <f t="shared" si="245"/>
        <v>1800</v>
      </c>
      <c r="M1020" s="104">
        <f t="shared" si="246"/>
        <v>10.390842</v>
      </c>
      <c r="N1020" s="69" t="s">
        <v>34</v>
      </c>
      <c r="O1020" s="67"/>
      <c r="P1020" s="74"/>
      <c r="Q1020" s="71">
        <f>VLOOKUP($F1020,[6]装箱单!$A:$E,5,0)</f>
        <v>16.83</v>
      </c>
      <c r="R1020" s="71">
        <f>VLOOKUP($F1020,[6]装箱单!$A:$F,6,0)</f>
        <v>17.15</v>
      </c>
      <c r="S1020" s="71">
        <f>VLOOKUP($F1020,[6]装箱单!$A:$G,7,0)</f>
        <v>20</v>
      </c>
      <c r="T1020" s="105">
        <f>VLOOKUP($F1020,[6]装箱单!$A:$J,10,0)</f>
        <v>0.00577269</v>
      </c>
      <c r="U1020" s="71">
        <f t="shared" si="247"/>
        <v>10.390842</v>
      </c>
      <c r="V1020" s="12"/>
    </row>
    <row r="1021" s="1" customFormat="1" ht="29.1" customHeight="1" spans="1:22">
      <c r="A1021" s="62">
        <v>46279</v>
      </c>
      <c r="B1021" s="63" t="s">
        <v>40</v>
      </c>
      <c r="C1021" s="64" t="s">
        <v>2352</v>
      </c>
      <c r="D1021" s="66" t="s">
        <v>2353</v>
      </c>
      <c r="E1021" s="67">
        <v>1003449273</v>
      </c>
      <c r="F1021" s="66">
        <v>28483</v>
      </c>
      <c r="G1021" s="67" t="str">
        <f>VLOOKUP(F1021,[6]装箱单!$A:$C,3,0)</f>
        <v>振动球</v>
      </c>
      <c r="H1021" s="67">
        <v>1800</v>
      </c>
      <c r="I1021" s="68">
        <v>540</v>
      </c>
      <c r="J1021" s="68" t="s">
        <v>32</v>
      </c>
      <c r="K1021" s="68" t="s">
        <v>33</v>
      </c>
      <c r="L1021" s="69">
        <v>540</v>
      </c>
      <c r="M1021" s="104">
        <f t="shared" si="246"/>
        <v>3.1172526</v>
      </c>
      <c r="N1021" s="69" t="s">
        <v>34</v>
      </c>
      <c r="O1021" s="67"/>
      <c r="P1021" s="74"/>
      <c r="Q1021" s="71">
        <f>VLOOKUP($F1021,[6]装箱单!$A:$E,5,0)</f>
        <v>16.83</v>
      </c>
      <c r="R1021" s="71">
        <f>VLOOKUP($F1021,[6]装箱单!$A:$F,6,0)</f>
        <v>17.15</v>
      </c>
      <c r="S1021" s="71">
        <f>VLOOKUP($F1021,[6]装箱单!$A:$G,7,0)</f>
        <v>20</v>
      </c>
      <c r="T1021" s="105">
        <f>VLOOKUP($F1021,[6]装箱单!$A:$J,10,0)</f>
        <v>0.00577269</v>
      </c>
      <c r="U1021" s="71">
        <f t="shared" si="247"/>
        <v>3.1172526</v>
      </c>
      <c r="V1021" s="12"/>
    </row>
    <row r="1022" s="1" customFormat="1" ht="29.1" customHeight="1" spans="1:22">
      <c r="A1022" s="62">
        <v>46279</v>
      </c>
      <c r="B1022" s="63" t="s">
        <v>40</v>
      </c>
      <c r="C1022" s="64" t="s">
        <v>2354</v>
      </c>
      <c r="D1022" s="66" t="s">
        <v>2355</v>
      </c>
      <c r="E1022" s="66">
        <v>2569487</v>
      </c>
      <c r="F1022" s="66">
        <v>28483</v>
      </c>
      <c r="G1022" s="67" t="str">
        <f>VLOOKUP(F1022,[6]装箱单!$A:$C,3,0)</f>
        <v>振动球</v>
      </c>
      <c r="H1022" s="67">
        <v>1800</v>
      </c>
      <c r="I1022" s="68">
        <v>1800</v>
      </c>
      <c r="J1022" s="68" t="s">
        <v>32</v>
      </c>
      <c r="K1022" s="68" t="s">
        <v>33</v>
      </c>
      <c r="L1022" s="69">
        <f>+I1022</f>
        <v>1800</v>
      </c>
      <c r="M1022" s="104">
        <f t="shared" si="246"/>
        <v>10.390842</v>
      </c>
      <c r="N1022" s="69" t="s">
        <v>34</v>
      </c>
      <c r="O1022" s="67" t="s">
        <v>2356</v>
      </c>
      <c r="P1022" s="74"/>
      <c r="Q1022" s="71">
        <f>VLOOKUP($F1022,[6]装箱单!$A:$E,5,0)</f>
        <v>16.83</v>
      </c>
      <c r="R1022" s="71">
        <f>VLOOKUP($F1022,[6]装箱单!$A:$F,6,0)</f>
        <v>17.15</v>
      </c>
      <c r="S1022" s="71">
        <f>VLOOKUP($F1022,[6]装箱单!$A:$G,7,0)</f>
        <v>20</v>
      </c>
      <c r="T1022" s="105">
        <f>VLOOKUP($F1022,[6]装箱单!$A:$J,10,0)</f>
        <v>0.00577269</v>
      </c>
      <c r="U1022" s="71">
        <f t="shared" si="247"/>
        <v>10.390842</v>
      </c>
      <c r="V1022" s="12"/>
    </row>
    <row r="1023" s="1" customFormat="1" ht="29.1" customHeight="1" spans="1:22">
      <c r="A1023" s="62">
        <v>46279</v>
      </c>
      <c r="B1023" s="63" t="s">
        <v>146</v>
      </c>
      <c r="C1023" s="64" t="s">
        <v>2336</v>
      </c>
      <c r="D1023" s="66" t="s">
        <v>2337</v>
      </c>
      <c r="E1023" s="67">
        <v>2592438</v>
      </c>
      <c r="F1023" s="66">
        <v>46094</v>
      </c>
      <c r="G1023" s="67" t="str">
        <f>VLOOKUP(F1023,[6]装箱单!$A:$C,3,0)</f>
        <v>漫威系列</v>
      </c>
      <c r="H1023" s="67">
        <v>2511</v>
      </c>
      <c r="I1023" s="68">
        <f>+L1023*2</f>
        <v>1920</v>
      </c>
      <c r="J1023" s="68" t="s">
        <v>32</v>
      </c>
      <c r="K1023" s="68" t="s">
        <v>33</v>
      </c>
      <c r="L1023" s="69">
        <v>960</v>
      </c>
      <c r="M1023" s="104">
        <f t="shared" si="246"/>
        <v>21.47108931072</v>
      </c>
      <c r="N1023" s="69" t="s">
        <v>34</v>
      </c>
      <c r="O1023" s="67"/>
      <c r="P1023" s="74"/>
      <c r="Q1023" s="71">
        <f>VLOOKUP($F1023,[6]装箱单!$A:$E,5,0)</f>
        <v>40.01</v>
      </c>
      <c r="R1023" s="71">
        <f>VLOOKUP($F1023,[6]装箱单!$A:$F,6,0)</f>
        <v>26.67</v>
      </c>
      <c r="S1023" s="71">
        <f>VLOOKUP($F1023,[6]装箱单!$A:$G,7,0)</f>
        <v>20.96</v>
      </c>
      <c r="T1023" s="105">
        <f>VLOOKUP($F1023,[6]装箱单!$A:$J,10,0)</f>
        <v>0.022365718032</v>
      </c>
      <c r="U1023" s="71">
        <f t="shared" si="247"/>
        <v>21.47108931072</v>
      </c>
      <c r="V1023" s="12"/>
    </row>
    <row r="1024" s="1" customFormat="1" ht="29.1" customHeight="1" spans="1:22">
      <c r="A1024" s="62">
        <v>46279</v>
      </c>
      <c r="B1024" s="63" t="s">
        <v>146</v>
      </c>
      <c r="C1024" s="64" t="s">
        <v>2357</v>
      </c>
      <c r="D1024" s="66" t="s">
        <v>2358</v>
      </c>
      <c r="E1024" s="67">
        <v>2592440</v>
      </c>
      <c r="F1024" s="66">
        <v>46132</v>
      </c>
      <c r="G1024" s="67" t="str">
        <f>VLOOKUP(F1024,[6]装箱单!$A:$C,3,0)</f>
        <v>赛车总动员系列</v>
      </c>
      <c r="H1024" s="67">
        <v>2618</v>
      </c>
      <c r="I1024" s="68">
        <v>5236</v>
      </c>
      <c r="J1024" s="68" t="s">
        <v>32</v>
      </c>
      <c r="K1024" s="68" t="s">
        <v>33</v>
      </c>
      <c r="L1024" s="69">
        <v>771</v>
      </c>
      <c r="M1024" s="104">
        <f t="shared" si="246"/>
        <v>17.243968602672</v>
      </c>
      <c r="N1024" s="69" t="s">
        <v>34</v>
      </c>
      <c r="O1024" s="67"/>
      <c r="P1024" s="74"/>
      <c r="Q1024" s="71">
        <f>VLOOKUP($F1024,[6]装箱单!$A:$E,5,0)</f>
        <v>40.01</v>
      </c>
      <c r="R1024" s="71">
        <f>VLOOKUP($F1024,[6]装箱单!$A:$F,6,0)</f>
        <v>26.67</v>
      </c>
      <c r="S1024" s="71">
        <f>VLOOKUP($F1024,[6]装箱单!$A:$G,7,0)</f>
        <v>20.96</v>
      </c>
      <c r="T1024" s="105">
        <f>VLOOKUP($F1024,[6]装箱单!$A:$J,10,0)</f>
        <v>0.022365718032</v>
      </c>
      <c r="U1024" s="71">
        <f t="shared" si="247"/>
        <v>17.243968602672</v>
      </c>
      <c r="V1024" s="12"/>
    </row>
    <row r="1025" s="1" customFormat="1" ht="29.1" customHeight="1" spans="1:22">
      <c r="A1025" s="62">
        <v>46279</v>
      </c>
      <c r="B1025" s="63" t="s">
        <v>40</v>
      </c>
      <c r="C1025" s="64" t="s">
        <v>2359</v>
      </c>
      <c r="D1025" s="66" t="s">
        <v>2360</v>
      </c>
      <c r="E1025" s="67">
        <v>1003449501</v>
      </c>
      <c r="F1025" s="66" t="s">
        <v>306</v>
      </c>
      <c r="G1025" s="67" t="str">
        <f>VLOOKUP(F1025,[6]装箱单!$A:$C,3,0)</f>
        <v>背包狗</v>
      </c>
      <c r="H1025" s="67">
        <v>573</v>
      </c>
      <c r="I1025" s="68">
        <f t="shared" ref="I1025:I1030" si="248">+L1025</f>
        <v>573</v>
      </c>
      <c r="J1025" s="68" t="s">
        <v>32</v>
      </c>
      <c r="K1025" s="68" t="s">
        <v>33</v>
      </c>
      <c r="L1025" s="69">
        <v>573</v>
      </c>
      <c r="M1025" s="104">
        <f t="shared" si="246"/>
        <v>9.031802017005</v>
      </c>
      <c r="N1025" s="69" t="s">
        <v>34</v>
      </c>
      <c r="O1025" s="67"/>
      <c r="P1025" s="74"/>
      <c r="Q1025" s="71">
        <f>VLOOKUP($F1025,[6]装箱单!$A:$E,5,0)</f>
        <v>24.13</v>
      </c>
      <c r="R1025" s="71">
        <f>VLOOKUP($F1025,[6]装箱单!$A:$F,6,0)</f>
        <v>19.05</v>
      </c>
      <c r="S1025" s="71">
        <f>VLOOKUP($F1025,[6]装箱单!$A:$G,7,0)</f>
        <v>34.29</v>
      </c>
      <c r="T1025" s="105">
        <f>VLOOKUP($F1025,[6]装箱单!$A:$J,10,0)</f>
        <v>0.015762307185</v>
      </c>
      <c r="U1025" s="71">
        <f t="shared" si="247"/>
        <v>9.031802017005</v>
      </c>
      <c r="V1025" s="12"/>
    </row>
    <row r="1026" s="1" customFormat="1" ht="29.1" customHeight="1" spans="1:22">
      <c r="A1026" s="62"/>
      <c r="B1026" s="63"/>
      <c r="C1026" s="64"/>
      <c r="D1026" s="66"/>
      <c r="E1026" s="67"/>
      <c r="F1026" s="66"/>
      <c r="G1026" s="67"/>
      <c r="H1026" s="67"/>
      <c r="I1026" s="68"/>
      <c r="J1026" s="68"/>
      <c r="K1026" s="68"/>
      <c r="L1026" s="69"/>
      <c r="M1026" s="104">
        <f>SUM(M1017:M1025)</f>
        <v>120.482753930397</v>
      </c>
      <c r="N1026" s="69"/>
      <c r="O1026" s="67"/>
      <c r="P1026" s="75"/>
      <c r="Q1026" s="71"/>
      <c r="R1026" s="71"/>
      <c r="S1026" s="71"/>
      <c r="T1026" s="105"/>
      <c r="U1026" s="71"/>
      <c r="V1026" s="12"/>
    </row>
    <row r="1027" s="1" customFormat="1" ht="29.1" customHeight="1" spans="1:22">
      <c r="A1027" s="62">
        <v>46280</v>
      </c>
      <c r="B1027" s="63" t="s">
        <v>40</v>
      </c>
      <c r="C1027" s="64" t="s">
        <v>2352</v>
      </c>
      <c r="D1027" s="66" t="s">
        <v>2353</v>
      </c>
      <c r="E1027" s="67">
        <v>1003449273</v>
      </c>
      <c r="F1027" s="66">
        <v>28483</v>
      </c>
      <c r="G1027" s="67" t="str">
        <f>VLOOKUP(F1027,[6]装箱单!$A:$C,3,0)</f>
        <v>振动球</v>
      </c>
      <c r="H1027" s="67">
        <v>1800</v>
      </c>
      <c r="I1027" s="68">
        <f t="shared" si="248"/>
        <v>1260</v>
      </c>
      <c r="J1027" s="68" t="s">
        <v>32</v>
      </c>
      <c r="K1027" s="68" t="s">
        <v>33</v>
      </c>
      <c r="L1027" s="69">
        <f>1800-540</f>
        <v>1260</v>
      </c>
      <c r="M1027" s="104">
        <f t="shared" ref="M1027:M1040" si="249">+U1027</f>
        <v>7.2735894</v>
      </c>
      <c r="N1027" s="69" t="s">
        <v>34</v>
      </c>
      <c r="O1027" s="67"/>
      <c r="P1027" s="70" t="s">
        <v>1500</v>
      </c>
      <c r="Q1027" s="71">
        <f>VLOOKUP($F1027,[6]装箱单!$A:$E,5,0)</f>
        <v>16.83</v>
      </c>
      <c r="R1027" s="71">
        <f>VLOOKUP($F1027,[6]装箱单!$A:$F,6,0)</f>
        <v>17.15</v>
      </c>
      <c r="S1027" s="71">
        <f>VLOOKUP($F1027,[6]装箱单!$A:$G,7,0)</f>
        <v>20</v>
      </c>
      <c r="T1027" s="105">
        <f>VLOOKUP($F1027,[6]装箱单!$A:$J,10,0)</f>
        <v>0.00577269</v>
      </c>
      <c r="U1027" s="71">
        <f t="shared" ref="U1027:U1040" si="250">+T1027*L1027</f>
        <v>7.2735894</v>
      </c>
      <c r="V1027" s="12"/>
    </row>
    <row r="1028" s="1" customFormat="1" ht="29.1" customHeight="1" spans="1:22">
      <c r="A1028" s="62">
        <v>46280</v>
      </c>
      <c r="B1028" s="63" t="s">
        <v>40</v>
      </c>
      <c r="C1028" s="64" t="s">
        <v>2361</v>
      </c>
      <c r="D1028" s="66" t="s">
        <v>2362</v>
      </c>
      <c r="E1028" s="67">
        <v>1003449352</v>
      </c>
      <c r="F1028" s="66">
        <v>28483</v>
      </c>
      <c r="G1028" s="67" t="str">
        <f>VLOOKUP(F1028,[6]装箱单!$A:$C,3,0)</f>
        <v>振动球</v>
      </c>
      <c r="H1028" s="67">
        <v>1800</v>
      </c>
      <c r="I1028" s="68">
        <v>1800</v>
      </c>
      <c r="J1028" s="68" t="s">
        <v>32</v>
      </c>
      <c r="K1028" s="68" t="s">
        <v>33</v>
      </c>
      <c r="L1028" s="69">
        <f>+I1028</f>
        <v>1800</v>
      </c>
      <c r="M1028" s="104">
        <f t="shared" si="249"/>
        <v>10.390842</v>
      </c>
      <c r="N1028" s="69" t="s">
        <v>34</v>
      </c>
      <c r="O1028" s="67"/>
      <c r="P1028" s="74"/>
      <c r="Q1028" s="71">
        <f>VLOOKUP($F1028,[6]装箱单!$A:$E,5,0)</f>
        <v>16.83</v>
      </c>
      <c r="R1028" s="71">
        <f>VLOOKUP($F1028,[6]装箱单!$A:$F,6,0)</f>
        <v>17.15</v>
      </c>
      <c r="S1028" s="71">
        <f>VLOOKUP($F1028,[6]装箱单!$A:$G,7,0)</f>
        <v>20</v>
      </c>
      <c r="T1028" s="105">
        <f>VLOOKUP($F1028,[6]装箱单!$A:$J,10,0)</f>
        <v>0.00577269</v>
      </c>
      <c r="U1028" s="71">
        <f t="shared" si="250"/>
        <v>10.390842</v>
      </c>
      <c r="V1028" s="12"/>
    </row>
    <row r="1029" s="1" customFormat="1" ht="29.1" customHeight="1" spans="1:22">
      <c r="A1029" s="62">
        <v>46280</v>
      </c>
      <c r="B1029" s="63" t="s">
        <v>40</v>
      </c>
      <c r="C1029" s="64" t="s">
        <v>2343</v>
      </c>
      <c r="D1029" s="66" t="s">
        <v>2344</v>
      </c>
      <c r="E1029" s="67">
        <v>1003449393</v>
      </c>
      <c r="F1029" s="66">
        <v>28483</v>
      </c>
      <c r="G1029" s="67" t="str">
        <f>VLOOKUP(F1029,[6]装箱单!$A:$C,3,0)</f>
        <v>振动球</v>
      </c>
      <c r="H1029" s="67">
        <v>2160</v>
      </c>
      <c r="I1029" s="68">
        <v>2160</v>
      </c>
      <c r="J1029" s="68" t="s">
        <v>32</v>
      </c>
      <c r="K1029" s="68" t="s">
        <v>33</v>
      </c>
      <c r="L1029" s="69">
        <f>+I1029</f>
        <v>2160</v>
      </c>
      <c r="M1029" s="104">
        <f t="shared" si="249"/>
        <v>12.4690104</v>
      </c>
      <c r="N1029" s="69" t="s">
        <v>34</v>
      </c>
      <c r="O1029" s="67"/>
      <c r="P1029" s="74"/>
      <c r="Q1029" s="71">
        <f>VLOOKUP($F1029,[6]装箱单!$A:$E,5,0)</f>
        <v>16.83</v>
      </c>
      <c r="R1029" s="71">
        <f>VLOOKUP($F1029,[6]装箱单!$A:$F,6,0)</f>
        <v>17.15</v>
      </c>
      <c r="S1029" s="71">
        <f>VLOOKUP($F1029,[6]装箱单!$A:$G,7,0)</f>
        <v>20</v>
      </c>
      <c r="T1029" s="105">
        <f>VLOOKUP($F1029,[6]装箱单!$A:$J,10,0)</f>
        <v>0.00577269</v>
      </c>
      <c r="U1029" s="71">
        <f t="shared" si="250"/>
        <v>12.4690104</v>
      </c>
      <c r="V1029" s="12"/>
    </row>
    <row r="1030" s="1" customFormat="1" ht="29.1" customHeight="1" spans="1:22">
      <c r="A1030" s="62">
        <v>46280</v>
      </c>
      <c r="B1030" s="63" t="s">
        <v>40</v>
      </c>
      <c r="C1030" s="64" t="s">
        <v>2363</v>
      </c>
      <c r="D1030" s="66" t="s">
        <v>2364</v>
      </c>
      <c r="E1030" s="67">
        <v>1003449508</v>
      </c>
      <c r="F1030" s="66">
        <v>28483</v>
      </c>
      <c r="G1030" s="67" t="str">
        <f>VLOOKUP(F1030,[2]装箱单!A:C,3,0)</f>
        <v>振动球</v>
      </c>
      <c r="H1030" s="67">
        <v>2160</v>
      </c>
      <c r="I1030" s="68">
        <f t="shared" si="248"/>
        <v>2160</v>
      </c>
      <c r="J1030" s="68" t="s">
        <v>32</v>
      </c>
      <c r="K1030" s="68" t="s">
        <v>33</v>
      </c>
      <c r="L1030" s="69">
        <v>2160</v>
      </c>
      <c r="M1030" s="104">
        <f t="shared" si="249"/>
        <v>12.4690104</v>
      </c>
      <c r="N1030" s="69" t="s">
        <v>34</v>
      </c>
      <c r="O1030" s="67"/>
      <c r="P1030" s="74"/>
      <c r="Q1030" s="71">
        <f>VLOOKUP(F1030,[2]装箱单!A:E,5,0)</f>
        <v>16.83</v>
      </c>
      <c r="R1030" s="71">
        <f>VLOOKUP(F1030,[2]装箱单!A:F,6,0)</f>
        <v>17.15</v>
      </c>
      <c r="S1030" s="71">
        <f>VLOOKUP(F1030,[2]装箱单!A:G,7,0)</f>
        <v>20</v>
      </c>
      <c r="T1030" s="105">
        <f>VLOOKUP(F1030,[2]装箱单!A:J,10,0)</f>
        <v>0.00577269</v>
      </c>
      <c r="U1030" s="71">
        <f t="shared" si="250"/>
        <v>12.4690104</v>
      </c>
      <c r="V1030" s="12"/>
    </row>
    <row r="1031" s="1" customFormat="1" ht="29.1" customHeight="1" spans="1:22">
      <c r="A1031" s="62">
        <v>46280</v>
      </c>
      <c r="B1031" s="63" t="s">
        <v>40</v>
      </c>
      <c r="C1031" s="64" t="s">
        <v>2363</v>
      </c>
      <c r="D1031" s="66" t="s">
        <v>2364</v>
      </c>
      <c r="E1031" s="67">
        <v>1003449508</v>
      </c>
      <c r="F1031" s="66">
        <v>28481</v>
      </c>
      <c r="G1031" s="67" t="str">
        <f>VLOOKUP(F1031,[2]装箱单!A:C,3,0)</f>
        <v>骰子</v>
      </c>
      <c r="H1031" s="67">
        <v>480</v>
      </c>
      <c r="I1031" s="68">
        <f>+L1031*4</f>
        <v>1920</v>
      </c>
      <c r="J1031" s="68" t="s">
        <v>32</v>
      </c>
      <c r="K1031" s="68" t="s">
        <v>33</v>
      </c>
      <c r="L1031" s="69">
        <v>480</v>
      </c>
      <c r="M1031" s="104">
        <f t="shared" si="249"/>
        <v>4.83828876384</v>
      </c>
      <c r="N1031" s="69" t="s">
        <v>34</v>
      </c>
      <c r="O1031" s="67"/>
      <c r="P1031" s="74"/>
      <c r="Q1031" s="71">
        <f>VLOOKUP(F1031,[2]装箱单!A:E,5,0)</f>
        <v>23.81</v>
      </c>
      <c r="R1031" s="71">
        <f>VLOOKUP(F1031,[2]装箱单!A:F,6,0)</f>
        <v>17.78</v>
      </c>
      <c r="S1031" s="71">
        <f>VLOOKUP(F1031,[2]装箱单!A:G,7,0)</f>
        <v>23.81</v>
      </c>
      <c r="T1031" s="105">
        <f>VLOOKUP(F1031,[2]装箱单!A:J,10,0)</f>
        <v>0.010079768258</v>
      </c>
      <c r="U1031" s="71">
        <f t="shared" si="250"/>
        <v>4.83828876384</v>
      </c>
      <c r="V1031" s="12"/>
    </row>
    <row r="1032" s="1" customFormat="1" ht="29.1" customHeight="1" spans="1:22">
      <c r="A1032" s="62">
        <v>46280</v>
      </c>
      <c r="B1032" s="63" t="s">
        <v>40</v>
      </c>
      <c r="C1032" s="64" t="s">
        <v>2306</v>
      </c>
      <c r="D1032" s="66" t="s">
        <v>2307</v>
      </c>
      <c r="E1032" s="67">
        <v>1003448839</v>
      </c>
      <c r="F1032" s="66">
        <v>28481</v>
      </c>
      <c r="G1032" s="67" t="str">
        <f>VLOOKUP(F1032,[2]装箱单!A:C,3,0)</f>
        <v>骰子</v>
      </c>
      <c r="H1032" s="67">
        <v>480</v>
      </c>
      <c r="I1032" s="68">
        <f t="shared" ref="I1032:I1034" si="251">+L1032</f>
        <v>480</v>
      </c>
      <c r="J1032" s="68" t="s">
        <v>32</v>
      </c>
      <c r="K1032" s="68" t="s">
        <v>33</v>
      </c>
      <c r="L1032" s="67">
        <v>480</v>
      </c>
      <c r="M1032" s="104">
        <f t="shared" si="249"/>
        <v>4.83828876384</v>
      </c>
      <c r="N1032" s="69" t="s">
        <v>34</v>
      </c>
      <c r="O1032" s="67" t="s">
        <v>62</v>
      </c>
      <c r="P1032" s="74"/>
      <c r="Q1032" s="71">
        <f>VLOOKUP(F1032,[2]装箱单!A:E,5,0)</f>
        <v>23.81</v>
      </c>
      <c r="R1032" s="71">
        <f>VLOOKUP(F1032,[2]装箱单!A:F,6,0)</f>
        <v>17.78</v>
      </c>
      <c r="S1032" s="71">
        <f>VLOOKUP(F1032,[2]装箱单!A:G,7,0)</f>
        <v>23.81</v>
      </c>
      <c r="T1032" s="105">
        <f>VLOOKUP(F1032,[2]装箱单!A:J,10,0)</f>
        <v>0.010079768258</v>
      </c>
      <c r="U1032" s="71">
        <f t="shared" si="250"/>
        <v>4.83828876384</v>
      </c>
      <c r="V1032" s="12"/>
    </row>
    <row r="1033" s="1" customFormat="1" ht="29.1" customHeight="1" spans="1:22">
      <c r="A1033" s="62">
        <v>46280</v>
      </c>
      <c r="B1033" s="63" t="s">
        <v>40</v>
      </c>
      <c r="C1033" s="64" t="s">
        <v>2352</v>
      </c>
      <c r="D1033" s="66" t="s">
        <v>2353</v>
      </c>
      <c r="E1033" s="67">
        <v>1003449273</v>
      </c>
      <c r="F1033" s="66">
        <v>28481</v>
      </c>
      <c r="G1033" s="67" t="str">
        <f>VLOOKUP(F1033,[2]装箱单!A:C,3,0)</f>
        <v>骰子</v>
      </c>
      <c r="H1033" s="67">
        <v>480</v>
      </c>
      <c r="I1033" s="68">
        <f t="shared" si="251"/>
        <v>480</v>
      </c>
      <c r="J1033" s="68" t="s">
        <v>32</v>
      </c>
      <c r="K1033" s="68" t="s">
        <v>33</v>
      </c>
      <c r="L1033" s="67">
        <v>480</v>
      </c>
      <c r="M1033" s="104">
        <f t="shared" si="249"/>
        <v>4.83828876384</v>
      </c>
      <c r="N1033" s="69" t="s">
        <v>34</v>
      </c>
      <c r="O1033" s="67" t="s">
        <v>62</v>
      </c>
      <c r="P1033" s="74"/>
      <c r="Q1033" s="71">
        <f>VLOOKUP(F1033,[2]装箱单!A:E,5,0)</f>
        <v>23.81</v>
      </c>
      <c r="R1033" s="71">
        <f>VLOOKUP(F1033,[2]装箱单!A:F,6,0)</f>
        <v>17.78</v>
      </c>
      <c r="S1033" s="71">
        <f>VLOOKUP(F1033,[2]装箱单!A:G,7,0)</f>
        <v>23.81</v>
      </c>
      <c r="T1033" s="105">
        <f>VLOOKUP(F1033,[2]装箱单!A:J,10,0)</f>
        <v>0.010079768258</v>
      </c>
      <c r="U1033" s="71">
        <f t="shared" si="250"/>
        <v>4.83828876384</v>
      </c>
      <c r="V1033" s="12"/>
    </row>
    <row r="1034" s="1" customFormat="1" ht="29.1" customHeight="1" spans="1:22">
      <c r="A1034" s="62">
        <v>46280</v>
      </c>
      <c r="B1034" s="63" t="s">
        <v>40</v>
      </c>
      <c r="C1034" s="64" t="s">
        <v>2361</v>
      </c>
      <c r="D1034" s="66" t="s">
        <v>2362</v>
      </c>
      <c r="E1034" s="67">
        <v>1003449352</v>
      </c>
      <c r="F1034" s="66">
        <v>28481</v>
      </c>
      <c r="G1034" s="67" t="str">
        <f>VLOOKUP(F1034,[2]装箱单!A:C,3,0)</f>
        <v>骰子</v>
      </c>
      <c r="H1034" s="67">
        <v>480</v>
      </c>
      <c r="I1034" s="68">
        <f t="shared" si="251"/>
        <v>480</v>
      </c>
      <c r="J1034" s="68" t="s">
        <v>32</v>
      </c>
      <c r="K1034" s="68" t="s">
        <v>33</v>
      </c>
      <c r="L1034" s="67">
        <v>480</v>
      </c>
      <c r="M1034" s="104">
        <f t="shared" si="249"/>
        <v>4.83828876384</v>
      </c>
      <c r="N1034" s="69" t="s">
        <v>34</v>
      </c>
      <c r="O1034" s="67" t="s">
        <v>62</v>
      </c>
      <c r="P1034" s="74"/>
      <c r="Q1034" s="71">
        <f>VLOOKUP(F1034,[2]装箱单!A:E,5,0)</f>
        <v>23.81</v>
      </c>
      <c r="R1034" s="71">
        <f>VLOOKUP(F1034,[2]装箱单!A:F,6,0)</f>
        <v>17.78</v>
      </c>
      <c r="S1034" s="71">
        <f>VLOOKUP(F1034,[2]装箱单!A:G,7,0)</f>
        <v>23.81</v>
      </c>
      <c r="T1034" s="105">
        <f>VLOOKUP(F1034,[2]装箱单!A:J,10,0)</f>
        <v>0.010079768258</v>
      </c>
      <c r="U1034" s="71">
        <f t="shared" si="250"/>
        <v>4.83828876384</v>
      </c>
      <c r="V1034" s="12"/>
    </row>
    <row r="1035" s="1" customFormat="1" ht="29.1" customHeight="1" spans="1:22">
      <c r="A1035" s="62">
        <v>46280</v>
      </c>
      <c r="B1035" s="63" t="s">
        <v>146</v>
      </c>
      <c r="C1035" s="64" t="s">
        <v>2357</v>
      </c>
      <c r="D1035" s="66" t="s">
        <v>2358</v>
      </c>
      <c r="E1035" s="67">
        <v>2592440</v>
      </c>
      <c r="F1035" s="66">
        <v>46132</v>
      </c>
      <c r="G1035" s="67" t="str">
        <f>VLOOKUP(F1035,[6]装箱单!$A:$C,3,0)</f>
        <v>赛车总动员系列</v>
      </c>
      <c r="H1035" s="67">
        <v>2618</v>
      </c>
      <c r="I1035" s="68">
        <f>+L1035*2</f>
        <v>3694</v>
      </c>
      <c r="J1035" s="68" t="s">
        <v>32</v>
      </c>
      <c r="K1035" s="68" t="s">
        <v>33</v>
      </c>
      <c r="L1035" s="69">
        <f>2618-771</f>
        <v>1847</v>
      </c>
      <c r="M1035" s="104">
        <f t="shared" si="249"/>
        <v>41.309481205104</v>
      </c>
      <c r="N1035" s="69" t="s">
        <v>34</v>
      </c>
      <c r="O1035" s="67"/>
      <c r="P1035" s="74"/>
      <c r="Q1035" s="71">
        <f>VLOOKUP($F1035,[6]装箱单!$A:$E,5,0)</f>
        <v>40.01</v>
      </c>
      <c r="R1035" s="71">
        <f>VLOOKUP($F1035,[6]装箱单!$A:$F,6,0)</f>
        <v>26.67</v>
      </c>
      <c r="S1035" s="71">
        <f>VLOOKUP($F1035,[6]装箱单!$A:$G,7,0)</f>
        <v>20.96</v>
      </c>
      <c r="T1035" s="105">
        <f>VLOOKUP($F1035,[6]装箱单!$A:$J,10,0)</f>
        <v>0.022365718032</v>
      </c>
      <c r="U1035" s="71">
        <f t="shared" si="250"/>
        <v>41.309481205104</v>
      </c>
      <c r="V1035" s="12"/>
    </row>
    <row r="1036" s="1" customFormat="1" ht="29.1" customHeight="1" spans="1:22">
      <c r="A1036" s="62">
        <v>46280</v>
      </c>
      <c r="B1036" s="63" t="s">
        <v>146</v>
      </c>
      <c r="C1036" s="64" t="s">
        <v>2336</v>
      </c>
      <c r="D1036" s="66" t="s">
        <v>2337</v>
      </c>
      <c r="E1036" s="67">
        <v>2592438</v>
      </c>
      <c r="F1036" s="66">
        <v>46094</v>
      </c>
      <c r="G1036" s="67" t="str">
        <f>VLOOKUP(F1036,[6]装箱单!$A:$C,3,0)</f>
        <v>漫威系列</v>
      </c>
      <c r="H1036" s="67">
        <v>2511</v>
      </c>
      <c r="I1036" s="68">
        <f>+L1036*2</f>
        <v>142</v>
      </c>
      <c r="J1036" s="68" t="s">
        <v>32</v>
      </c>
      <c r="K1036" s="68" t="s">
        <v>33</v>
      </c>
      <c r="L1036" s="69">
        <f>2511-1480-960</f>
        <v>71</v>
      </c>
      <c r="M1036" s="104">
        <f t="shared" si="249"/>
        <v>1.587965980272</v>
      </c>
      <c r="N1036" s="69" t="s">
        <v>34</v>
      </c>
      <c r="O1036" s="67"/>
      <c r="P1036" s="74"/>
      <c r="Q1036" s="71">
        <f>VLOOKUP($F1036,[6]装箱单!$A:$E,5,0)</f>
        <v>40.01</v>
      </c>
      <c r="R1036" s="71">
        <f>VLOOKUP($F1036,[6]装箱单!$A:$F,6,0)</f>
        <v>26.67</v>
      </c>
      <c r="S1036" s="71">
        <f>VLOOKUP($F1036,[6]装箱单!$A:$G,7,0)</f>
        <v>20.96</v>
      </c>
      <c r="T1036" s="105">
        <f>VLOOKUP($F1036,[6]装箱单!$A:$J,10,0)</f>
        <v>0.022365718032</v>
      </c>
      <c r="U1036" s="71">
        <f t="shared" si="250"/>
        <v>1.587965980272</v>
      </c>
      <c r="V1036" s="12"/>
    </row>
    <row r="1037" s="1" customFormat="1" ht="29.1" customHeight="1" spans="1:22">
      <c r="A1037" s="62">
        <v>46280</v>
      </c>
      <c r="B1037" s="63" t="s">
        <v>40</v>
      </c>
      <c r="C1037" s="64" t="s">
        <v>2365</v>
      </c>
      <c r="D1037" s="66" t="s">
        <v>2366</v>
      </c>
      <c r="E1037" s="67" t="s">
        <v>2367</v>
      </c>
      <c r="F1037" s="66" t="s">
        <v>179</v>
      </c>
      <c r="G1037" s="67" t="str">
        <f>VLOOKUP(F1037,[2]装箱单!A:C,3,0)</f>
        <v>搪胶小鸭</v>
      </c>
      <c r="H1037" s="67">
        <v>450</v>
      </c>
      <c r="I1037" s="68">
        <f t="shared" ref="I1037:I1040" si="252">+L1037*24</f>
        <v>10800</v>
      </c>
      <c r="J1037" s="68" t="s">
        <v>32</v>
      </c>
      <c r="K1037" s="68" t="s">
        <v>33</v>
      </c>
      <c r="L1037" s="67">
        <v>450</v>
      </c>
      <c r="M1037" s="104">
        <f t="shared" si="249"/>
        <v>5.98455</v>
      </c>
      <c r="N1037" s="69" t="s">
        <v>34</v>
      </c>
      <c r="O1037" s="67" t="s">
        <v>62</v>
      </c>
      <c r="P1037" s="74"/>
      <c r="Q1037" s="71">
        <f>VLOOKUP(F1037,[2]装箱单!A:E,5,0)</f>
        <v>31</v>
      </c>
      <c r="R1037" s="71">
        <f>VLOOKUP(F1037,[2]装箱单!A:F,6,0)</f>
        <v>22</v>
      </c>
      <c r="S1037" s="71">
        <f>VLOOKUP(F1037,[2]装箱单!A:G,7,0)</f>
        <v>19.5</v>
      </c>
      <c r="T1037" s="105">
        <f>VLOOKUP(F1037,[2]装箱单!A:J,10,0)</f>
        <v>0.013299</v>
      </c>
      <c r="U1037" s="71">
        <f t="shared" si="250"/>
        <v>5.98455</v>
      </c>
      <c r="V1037" s="12"/>
    </row>
    <row r="1038" s="1" customFormat="1" ht="29.1" customHeight="1" spans="1:22">
      <c r="A1038" s="62">
        <v>46280</v>
      </c>
      <c r="B1038" s="63" t="s">
        <v>40</v>
      </c>
      <c r="C1038" s="64" t="s">
        <v>2368</v>
      </c>
      <c r="D1038" s="66" t="s">
        <v>2369</v>
      </c>
      <c r="E1038" s="67" t="s">
        <v>2370</v>
      </c>
      <c r="F1038" s="66" t="s">
        <v>179</v>
      </c>
      <c r="G1038" s="67" t="str">
        <f>VLOOKUP(F1038,[2]装箱单!A:C,3,0)</f>
        <v>搪胶小鸭</v>
      </c>
      <c r="H1038" s="67">
        <v>180</v>
      </c>
      <c r="I1038" s="68">
        <f t="shared" si="252"/>
        <v>4320</v>
      </c>
      <c r="J1038" s="68" t="s">
        <v>32</v>
      </c>
      <c r="K1038" s="68" t="s">
        <v>33</v>
      </c>
      <c r="L1038" s="67">
        <v>180</v>
      </c>
      <c r="M1038" s="104">
        <f t="shared" si="249"/>
        <v>2.39382</v>
      </c>
      <c r="N1038" s="69" t="s">
        <v>34</v>
      </c>
      <c r="O1038" s="67" t="s">
        <v>62</v>
      </c>
      <c r="P1038" s="74"/>
      <c r="Q1038" s="71">
        <f>VLOOKUP(F1038,[2]装箱单!A:E,5,0)</f>
        <v>31</v>
      </c>
      <c r="R1038" s="71">
        <f>VLOOKUP(F1038,[2]装箱单!A:F,6,0)</f>
        <v>22</v>
      </c>
      <c r="S1038" s="71">
        <f>VLOOKUP(F1038,[2]装箱单!A:G,7,0)</f>
        <v>19.5</v>
      </c>
      <c r="T1038" s="105">
        <f>VLOOKUP(F1038,[2]装箱单!A:J,10,0)</f>
        <v>0.013299</v>
      </c>
      <c r="U1038" s="71">
        <f t="shared" si="250"/>
        <v>2.39382</v>
      </c>
      <c r="V1038" s="12"/>
    </row>
    <row r="1039" s="1" customFormat="1" ht="29.1" customHeight="1" spans="1:22">
      <c r="A1039" s="62">
        <v>46280</v>
      </c>
      <c r="B1039" s="63" t="s">
        <v>40</v>
      </c>
      <c r="C1039" s="64" t="s">
        <v>2371</v>
      </c>
      <c r="D1039" s="66" t="s">
        <v>2372</v>
      </c>
      <c r="E1039" s="67" t="s">
        <v>2373</v>
      </c>
      <c r="F1039" s="66" t="s">
        <v>179</v>
      </c>
      <c r="G1039" s="67" t="str">
        <f>VLOOKUP(F1039,[2]装箱单!A:C,3,0)</f>
        <v>搪胶小鸭</v>
      </c>
      <c r="H1039" s="67">
        <v>180</v>
      </c>
      <c r="I1039" s="68">
        <f t="shared" si="252"/>
        <v>4320</v>
      </c>
      <c r="J1039" s="68" t="s">
        <v>32</v>
      </c>
      <c r="K1039" s="68" t="s">
        <v>33</v>
      </c>
      <c r="L1039" s="67">
        <v>180</v>
      </c>
      <c r="M1039" s="104">
        <f t="shared" si="249"/>
        <v>2.39382</v>
      </c>
      <c r="N1039" s="69" t="s">
        <v>34</v>
      </c>
      <c r="O1039" s="67" t="s">
        <v>62</v>
      </c>
      <c r="P1039" s="74"/>
      <c r="Q1039" s="71">
        <f>VLOOKUP(F1039,[2]装箱单!A:E,5,0)</f>
        <v>31</v>
      </c>
      <c r="R1039" s="71">
        <f>VLOOKUP(F1039,[2]装箱单!A:F,6,0)</f>
        <v>22</v>
      </c>
      <c r="S1039" s="71">
        <f>VLOOKUP(F1039,[2]装箱单!A:G,7,0)</f>
        <v>19.5</v>
      </c>
      <c r="T1039" s="105">
        <f>VLOOKUP(F1039,[2]装箱单!A:J,10,0)</f>
        <v>0.013299</v>
      </c>
      <c r="U1039" s="71">
        <f t="shared" si="250"/>
        <v>2.39382</v>
      </c>
      <c r="V1039" s="12"/>
    </row>
    <row r="1040" s="1" customFormat="1" ht="29.1" customHeight="1" spans="1:22">
      <c r="A1040" s="62">
        <v>46280</v>
      </c>
      <c r="B1040" s="63" t="s">
        <v>40</v>
      </c>
      <c r="C1040" s="64" t="s">
        <v>2374</v>
      </c>
      <c r="D1040" s="66" t="s">
        <v>2375</v>
      </c>
      <c r="E1040" s="67" t="s">
        <v>2376</v>
      </c>
      <c r="F1040" s="66" t="s">
        <v>179</v>
      </c>
      <c r="G1040" s="67" t="str">
        <f>VLOOKUP(F1040,[2]装箱单!A:C,3,0)</f>
        <v>搪胶小鸭</v>
      </c>
      <c r="H1040" s="67">
        <v>540</v>
      </c>
      <c r="I1040" s="68">
        <f t="shared" si="252"/>
        <v>12960</v>
      </c>
      <c r="J1040" s="68" t="s">
        <v>32</v>
      </c>
      <c r="K1040" s="68" t="s">
        <v>33</v>
      </c>
      <c r="L1040" s="67">
        <v>540</v>
      </c>
      <c r="M1040" s="104">
        <f t="shared" si="249"/>
        <v>7.18146</v>
      </c>
      <c r="N1040" s="69" t="s">
        <v>34</v>
      </c>
      <c r="O1040" s="67" t="s">
        <v>62</v>
      </c>
      <c r="P1040" s="74"/>
      <c r="Q1040" s="71">
        <f>VLOOKUP(F1040,[2]装箱单!A:E,5,0)</f>
        <v>31</v>
      </c>
      <c r="R1040" s="71">
        <f>VLOOKUP(F1040,[2]装箱单!A:F,6,0)</f>
        <v>22</v>
      </c>
      <c r="S1040" s="71">
        <f>VLOOKUP(F1040,[2]装箱单!A:G,7,0)</f>
        <v>19.5</v>
      </c>
      <c r="T1040" s="105">
        <f>VLOOKUP(F1040,[2]装箱单!A:J,10,0)</f>
        <v>0.013299</v>
      </c>
      <c r="U1040" s="71">
        <f t="shared" si="250"/>
        <v>7.18146</v>
      </c>
      <c r="V1040" s="12"/>
    </row>
    <row r="1041" s="1" customFormat="1" ht="29.1" customHeight="1" spans="1:22">
      <c r="A1041" s="62"/>
      <c r="B1041" s="63"/>
      <c r="C1041" s="64"/>
      <c r="D1041" s="66"/>
      <c r="E1041" s="115"/>
      <c r="F1041" s="66"/>
      <c r="G1041" s="67"/>
      <c r="H1041" s="67"/>
      <c r="I1041" s="68"/>
      <c r="J1041" s="68"/>
      <c r="K1041" s="68"/>
      <c r="L1041" s="69"/>
      <c r="M1041" s="104">
        <f>SUM(M1027:M1040)</f>
        <v>122.806704440736</v>
      </c>
      <c r="N1041" s="69"/>
      <c r="O1041" s="67"/>
      <c r="P1041" s="75"/>
      <c r="Q1041" s="71"/>
      <c r="R1041" s="71"/>
      <c r="S1041" s="71"/>
      <c r="T1041" s="105"/>
      <c r="U1041" s="71"/>
      <c r="V1041" s="12"/>
    </row>
    <row r="1042" s="1" customFormat="1" ht="29.1" customHeight="1" spans="1:22">
      <c r="A1042" s="62">
        <v>46281</v>
      </c>
      <c r="B1042" s="63" t="s">
        <v>1329</v>
      </c>
      <c r="C1042" s="64">
        <v>47856</v>
      </c>
      <c r="D1042" s="66" t="s">
        <v>2191</v>
      </c>
      <c r="E1042" s="67"/>
      <c r="F1042" s="66">
        <v>320401</v>
      </c>
      <c r="G1042" s="67" t="str">
        <f>VLOOKUP(F1042,[6]装箱单!$A:$C,3,0)</f>
        <v>狗家族</v>
      </c>
      <c r="H1042" s="67">
        <v>1500</v>
      </c>
      <c r="I1042" s="68">
        <f t="shared" ref="I1042:I1044" si="253">+L1042*4</f>
        <v>6000</v>
      </c>
      <c r="J1042" s="68" t="s">
        <v>32</v>
      </c>
      <c r="K1042" s="68" t="s">
        <v>33</v>
      </c>
      <c r="L1042" s="69">
        <v>1500</v>
      </c>
      <c r="M1042" s="104">
        <f t="shared" ref="M1042:M1047" si="254">+U1042</f>
        <v>15.435</v>
      </c>
      <c r="N1042" s="69" t="s">
        <v>34</v>
      </c>
      <c r="O1042" s="67"/>
      <c r="P1042" s="70" t="s">
        <v>1483</v>
      </c>
      <c r="Q1042" s="71">
        <f>VLOOKUP($F1042,[6]装箱单!$A:$E,5,0)</f>
        <v>24.5</v>
      </c>
      <c r="R1042" s="71">
        <f>VLOOKUP($F1042,[6]装箱单!$A:$F,6,0)</f>
        <v>21</v>
      </c>
      <c r="S1042" s="71">
        <f>VLOOKUP($F1042,[6]装箱单!$A:$G,7,0)</f>
        <v>20</v>
      </c>
      <c r="T1042" s="105">
        <f>VLOOKUP($F1042,[6]装箱单!$A:$J,10,0)</f>
        <v>0.01029</v>
      </c>
      <c r="U1042" s="71">
        <f t="shared" ref="U1042:U1047" si="255">+T1042*L1042</f>
        <v>15.435</v>
      </c>
      <c r="V1042" s="12"/>
    </row>
    <row r="1043" s="1" customFormat="1" ht="29.1" customHeight="1" spans="1:22">
      <c r="A1043" s="62">
        <v>46281</v>
      </c>
      <c r="B1043" s="63" t="s">
        <v>1329</v>
      </c>
      <c r="C1043" s="64">
        <v>47856</v>
      </c>
      <c r="D1043" s="66" t="s">
        <v>2191</v>
      </c>
      <c r="E1043" s="67"/>
      <c r="F1043" s="66">
        <v>320399</v>
      </c>
      <c r="G1043" s="67" t="str">
        <f>VLOOKUP(F1043,[6]装箱单!$A:$C,3,0)</f>
        <v>猫家族</v>
      </c>
      <c r="H1043" s="67">
        <v>1500</v>
      </c>
      <c r="I1043" s="68">
        <f t="shared" si="253"/>
        <v>6000</v>
      </c>
      <c r="J1043" s="68" t="s">
        <v>32</v>
      </c>
      <c r="K1043" s="68" t="s">
        <v>33</v>
      </c>
      <c r="L1043" s="69">
        <v>1500</v>
      </c>
      <c r="M1043" s="104">
        <f t="shared" si="254"/>
        <v>15.435</v>
      </c>
      <c r="N1043" s="69" t="s">
        <v>34</v>
      </c>
      <c r="O1043" s="67"/>
      <c r="P1043" s="74"/>
      <c r="Q1043" s="71">
        <f>VLOOKUP($F1043,[6]装箱单!$A:$E,5,0)</f>
        <v>24.5</v>
      </c>
      <c r="R1043" s="71">
        <f>VLOOKUP($F1043,[6]装箱单!$A:$F,6,0)</f>
        <v>21</v>
      </c>
      <c r="S1043" s="71">
        <f>VLOOKUP($F1043,[6]装箱单!$A:$G,7,0)</f>
        <v>20</v>
      </c>
      <c r="T1043" s="105">
        <f>VLOOKUP($F1043,[6]装箱单!$A:$J,10,0)</f>
        <v>0.01029</v>
      </c>
      <c r="U1043" s="71">
        <f t="shared" si="255"/>
        <v>15.435</v>
      </c>
      <c r="V1043" s="12"/>
    </row>
    <row r="1044" s="1" customFormat="1" ht="29.1" customHeight="1" spans="1:22">
      <c r="A1044" s="62">
        <v>46281</v>
      </c>
      <c r="B1044" s="63" t="s">
        <v>1329</v>
      </c>
      <c r="C1044" s="64">
        <v>47857</v>
      </c>
      <c r="D1044" s="66" t="s">
        <v>2183</v>
      </c>
      <c r="E1044" s="67"/>
      <c r="F1044" s="66" t="s">
        <v>717</v>
      </c>
      <c r="G1044" s="67" t="str">
        <f>VLOOKUP(F1044,[6]装箱单!$A:$C,3,0)</f>
        <v>粉色兔子</v>
      </c>
      <c r="H1044" s="67">
        <v>2250</v>
      </c>
      <c r="I1044" s="68">
        <f t="shared" si="253"/>
        <v>9000</v>
      </c>
      <c r="J1044" s="68" t="s">
        <v>32</v>
      </c>
      <c r="K1044" s="68" t="s">
        <v>33</v>
      </c>
      <c r="L1044" s="69">
        <v>2250</v>
      </c>
      <c r="M1044" s="104">
        <f t="shared" si="254"/>
        <v>34.25073795</v>
      </c>
      <c r="N1044" s="69" t="s">
        <v>34</v>
      </c>
      <c r="O1044" s="67"/>
      <c r="P1044" s="74"/>
      <c r="Q1044" s="71">
        <f>VLOOKUP($F1044,[6]装箱单!$A:$E,5,0)</f>
        <v>27.94</v>
      </c>
      <c r="R1044" s="71">
        <f>VLOOKUP($F1044,[6]装箱单!$A:$F,6,0)</f>
        <v>16.51</v>
      </c>
      <c r="S1044" s="71">
        <f>VLOOKUP($F1044,[6]装箱单!$A:$G,7,0)</f>
        <v>33</v>
      </c>
      <c r="T1044" s="105">
        <f>VLOOKUP($F1044,[6]装箱单!$A:$J,10,0)</f>
        <v>0.0152225502</v>
      </c>
      <c r="U1044" s="71">
        <f t="shared" si="255"/>
        <v>34.25073795</v>
      </c>
      <c r="V1044" s="12"/>
    </row>
    <row r="1045" s="1" customFormat="1" ht="29.1" customHeight="1" spans="1:22">
      <c r="A1045" s="62">
        <v>46281</v>
      </c>
      <c r="B1045" s="63" t="s">
        <v>1329</v>
      </c>
      <c r="C1045" s="64">
        <v>48012</v>
      </c>
      <c r="D1045" s="66" t="s">
        <v>2377</v>
      </c>
      <c r="E1045" s="67"/>
      <c r="F1045" s="66">
        <v>470195</v>
      </c>
      <c r="G1045" s="67" t="str">
        <f>VLOOKUP(F1045,[6]装箱单!$A:$C,3,0)</f>
        <v>花园</v>
      </c>
      <c r="H1045" s="67">
        <v>1000</v>
      </c>
      <c r="I1045" s="68">
        <f>+L1045*3</f>
        <v>3000</v>
      </c>
      <c r="J1045" s="68" t="s">
        <v>32</v>
      </c>
      <c r="K1045" s="68" t="s">
        <v>33</v>
      </c>
      <c r="L1045" s="69">
        <v>1000</v>
      </c>
      <c r="M1045" s="104">
        <f t="shared" si="254"/>
        <v>6.2219633625</v>
      </c>
      <c r="N1045" s="69" t="s">
        <v>34</v>
      </c>
      <c r="O1045" s="67"/>
      <c r="P1045" s="74"/>
      <c r="Q1045" s="71">
        <f>VLOOKUP($F1045,[6]装箱单!$A:$E,5,0)</f>
        <v>19.05</v>
      </c>
      <c r="R1045" s="71">
        <f>VLOOKUP($F1045,[6]装箱单!$A:$F,6,0)</f>
        <v>17.145</v>
      </c>
      <c r="S1045" s="71">
        <f>VLOOKUP($F1045,[6]装箱单!$A:$G,7,0)</f>
        <v>19.05</v>
      </c>
      <c r="T1045" s="105">
        <f>VLOOKUP($F1045,[6]装箱单!$A:$J,10,0)</f>
        <v>0.0062219633625</v>
      </c>
      <c r="U1045" s="71">
        <f t="shared" si="255"/>
        <v>6.2219633625</v>
      </c>
      <c r="V1045" s="12"/>
    </row>
    <row r="1046" s="1" customFormat="1" ht="29.1" customHeight="1" spans="1:22">
      <c r="A1046" s="62">
        <v>46281</v>
      </c>
      <c r="B1046" s="63" t="s">
        <v>146</v>
      </c>
      <c r="C1046" s="64" t="s">
        <v>2378</v>
      </c>
      <c r="D1046" s="66" t="s">
        <v>2379</v>
      </c>
      <c r="E1046" s="67">
        <v>2592439</v>
      </c>
      <c r="F1046" s="66">
        <v>46496</v>
      </c>
      <c r="G1046" s="67" t="str">
        <f>VLOOKUP(F1046,[6]装箱单!$A:$C,3,0)</f>
        <v>米妮系列</v>
      </c>
      <c r="H1046" s="67">
        <v>2324</v>
      </c>
      <c r="I1046" s="68">
        <v>4648</v>
      </c>
      <c r="J1046" s="68" t="s">
        <v>32</v>
      </c>
      <c r="K1046" s="68" t="s">
        <v>33</v>
      </c>
      <c r="L1046" s="69">
        <f>+I1046/2</f>
        <v>2324</v>
      </c>
      <c r="M1046" s="104">
        <f t="shared" si="254"/>
        <v>51.977928706368</v>
      </c>
      <c r="N1046" s="69" t="s">
        <v>34</v>
      </c>
      <c r="O1046" s="67"/>
      <c r="P1046" s="74"/>
      <c r="Q1046" s="71">
        <f>VLOOKUP($F1046,[6]装箱单!$A:$E,5,0)</f>
        <v>40.01</v>
      </c>
      <c r="R1046" s="71">
        <f>VLOOKUP($F1046,[6]装箱单!$A:$F,6,0)</f>
        <v>26.67</v>
      </c>
      <c r="S1046" s="71">
        <f>VLOOKUP($F1046,[6]装箱单!$A:$G,7,0)</f>
        <v>20.96</v>
      </c>
      <c r="T1046" s="105">
        <f>VLOOKUP($F1046,[6]装箱单!$A:$J,10,0)</f>
        <v>0.022365718032</v>
      </c>
      <c r="U1046" s="71">
        <f t="shared" si="255"/>
        <v>51.977928706368</v>
      </c>
      <c r="V1046" s="12"/>
    </row>
    <row r="1047" s="1" customFormat="1" ht="29.1" customHeight="1" spans="1:22">
      <c r="A1047" s="62">
        <v>46281</v>
      </c>
      <c r="B1047" s="63" t="s">
        <v>40</v>
      </c>
      <c r="C1047" s="64" t="s">
        <v>2380</v>
      </c>
      <c r="D1047" s="66" t="s">
        <v>2381</v>
      </c>
      <c r="E1047" s="67">
        <v>1003449536</v>
      </c>
      <c r="F1047" s="66">
        <v>28483</v>
      </c>
      <c r="G1047" s="67" t="str">
        <f>VLOOKUP(F1047,[2]装箱单!A:C,3,0)</f>
        <v>振动球</v>
      </c>
      <c r="H1047" s="67">
        <v>1800</v>
      </c>
      <c r="I1047" s="68">
        <f>+L1047</f>
        <v>1080</v>
      </c>
      <c r="J1047" s="68" t="s">
        <v>32</v>
      </c>
      <c r="K1047" s="68" t="s">
        <v>33</v>
      </c>
      <c r="L1047" s="69">
        <v>1080</v>
      </c>
      <c r="M1047" s="104">
        <f t="shared" si="254"/>
        <v>6.2345052</v>
      </c>
      <c r="N1047" s="69" t="s">
        <v>34</v>
      </c>
      <c r="O1047" s="67"/>
      <c r="P1047" s="74"/>
      <c r="Q1047" s="71">
        <f>VLOOKUP(F1047,[2]装箱单!A:E,5,0)</f>
        <v>16.83</v>
      </c>
      <c r="R1047" s="71">
        <f>VLOOKUP(F1047,[2]装箱单!A:F,6,0)</f>
        <v>17.15</v>
      </c>
      <c r="S1047" s="71">
        <f>VLOOKUP(F1047,[2]装箱单!A:G,7,0)</f>
        <v>20</v>
      </c>
      <c r="T1047" s="105">
        <f>VLOOKUP(F1047,[2]装箱单!A:J,10,0)</f>
        <v>0.00577269</v>
      </c>
      <c r="U1047" s="71">
        <f t="shared" si="255"/>
        <v>6.2345052</v>
      </c>
      <c r="V1047" s="12"/>
    </row>
    <row r="1048" s="1" customFormat="1" ht="29.1" customHeight="1" spans="1:22">
      <c r="A1048" s="62"/>
      <c r="B1048" s="63"/>
      <c r="C1048" s="64"/>
      <c r="D1048" s="66"/>
      <c r="E1048" s="67"/>
      <c r="F1048" s="66"/>
      <c r="G1048" s="67"/>
      <c r="H1048" s="67"/>
      <c r="I1048" s="68"/>
      <c r="J1048" s="68"/>
      <c r="K1048" s="68"/>
      <c r="L1048" s="69"/>
      <c r="M1048" s="104">
        <f>SUM(M1042:M1047)</f>
        <v>129.555135218868</v>
      </c>
      <c r="N1048" s="69"/>
      <c r="O1048" s="67"/>
      <c r="P1048" s="75"/>
      <c r="Q1048" s="71"/>
      <c r="R1048" s="71"/>
      <c r="S1048" s="71"/>
      <c r="T1048" s="105"/>
      <c r="U1048" s="71"/>
      <c r="V1048" s="12"/>
    </row>
    <row r="1049" s="1" customFormat="1" ht="29.1" customHeight="1" spans="1:22">
      <c r="A1049" s="62">
        <v>46282</v>
      </c>
      <c r="B1049" s="63" t="s">
        <v>1329</v>
      </c>
      <c r="C1049" s="64">
        <v>47853</v>
      </c>
      <c r="D1049" s="66" t="s">
        <v>2382</v>
      </c>
      <c r="E1049" s="67"/>
      <c r="F1049" s="66">
        <v>470194</v>
      </c>
      <c r="G1049" s="67" t="str">
        <f>VLOOKUP(F1049,[6]装箱单!$A:$C,3,0)</f>
        <v>树屋</v>
      </c>
      <c r="H1049" s="67">
        <v>1500</v>
      </c>
      <c r="I1049" s="68">
        <f>+L1049*2</f>
        <v>3000</v>
      </c>
      <c r="J1049" s="68" t="s">
        <v>32</v>
      </c>
      <c r="K1049" s="68" t="s">
        <v>33</v>
      </c>
      <c r="L1049" s="69">
        <v>1500</v>
      </c>
      <c r="M1049" s="104">
        <f t="shared" ref="M1049:M1053" si="256">+U1049</f>
        <v>60.8369751</v>
      </c>
      <c r="N1049" s="69" t="s">
        <v>34</v>
      </c>
      <c r="O1049" s="67"/>
      <c r="P1049" s="116" t="s">
        <v>2383</v>
      </c>
      <c r="Q1049" s="71">
        <f>VLOOKUP($F1049,[6]装箱单!$A:$E,5,0)</f>
        <v>41.91</v>
      </c>
      <c r="R1049" s="71">
        <f>VLOOKUP($F1049,[6]装箱单!$A:$F,6,0)</f>
        <v>31.75</v>
      </c>
      <c r="S1049" s="71">
        <f>VLOOKUP($F1049,[6]装箱单!$A:$G,7,0)</f>
        <v>30.48</v>
      </c>
      <c r="T1049" s="105">
        <f>VLOOKUP($F1049,[6]装箱单!$A:$J,10,0)</f>
        <v>0.0405579834</v>
      </c>
      <c r="U1049" s="71">
        <f t="shared" ref="U1049:U1053" si="257">+T1049*L1049</f>
        <v>60.8369751</v>
      </c>
      <c r="V1049" s="12"/>
    </row>
    <row r="1050" s="1" customFormat="1" ht="29.1" customHeight="1" spans="1:22">
      <c r="A1050" s="62">
        <v>46282</v>
      </c>
      <c r="B1050" s="63" t="s">
        <v>1329</v>
      </c>
      <c r="C1050" s="64">
        <v>47853</v>
      </c>
      <c r="D1050" s="66" t="s">
        <v>2384</v>
      </c>
      <c r="E1050" s="67"/>
      <c r="F1050" s="66">
        <v>320915</v>
      </c>
      <c r="G1050" s="67" t="str">
        <f>VLOOKUP(F1050,[6]装箱单!$A:$C,3,0)</f>
        <v>圣装伙伴</v>
      </c>
      <c r="H1050" s="67">
        <v>750</v>
      </c>
      <c r="I1050" s="68">
        <f>+L1050*4</f>
        <v>3000</v>
      </c>
      <c r="J1050" s="68" t="s">
        <v>32</v>
      </c>
      <c r="K1050" s="68" t="s">
        <v>33</v>
      </c>
      <c r="L1050" s="69">
        <v>750</v>
      </c>
      <c r="M1050" s="104">
        <f t="shared" si="256"/>
        <v>11.8125</v>
      </c>
      <c r="N1050" s="69" t="s">
        <v>34</v>
      </c>
      <c r="O1050" s="67"/>
      <c r="P1050" s="117"/>
      <c r="Q1050" s="71">
        <f>VLOOKUP($F1050,[6]装箱单!$A:$E,5,0)</f>
        <v>31.5</v>
      </c>
      <c r="R1050" s="71">
        <f>VLOOKUP($F1050,[6]装箱单!$A:$F,6,0)</f>
        <v>25</v>
      </c>
      <c r="S1050" s="71">
        <f>VLOOKUP($F1050,[6]装箱单!$A:$G,7,0)</f>
        <v>20</v>
      </c>
      <c r="T1050" s="105">
        <f>VLOOKUP($F1050,[6]装箱单!$A:$J,10,0)</f>
        <v>0.01575</v>
      </c>
      <c r="U1050" s="71">
        <f t="shared" si="257"/>
        <v>11.8125</v>
      </c>
      <c r="V1050" s="12"/>
    </row>
    <row r="1051" s="1" customFormat="1" ht="29.1" customHeight="1" spans="1:22">
      <c r="A1051" s="62">
        <v>46282</v>
      </c>
      <c r="B1051" s="63" t="s">
        <v>1329</v>
      </c>
      <c r="C1051" s="64">
        <v>47856</v>
      </c>
      <c r="D1051" s="66" t="s">
        <v>2191</v>
      </c>
      <c r="E1051" s="67"/>
      <c r="F1051" s="66">
        <v>320635</v>
      </c>
      <c r="G1051" s="67" t="str">
        <f>VLOOKUP(F1051,[6]装箱单!$A:$C,3,0)</f>
        <v>校车</v>
      </c>
      <c r="H1051" s="67">
        <v>3000</v>
      </c>
      <c r="I1051" s="68">
        <f>+L1051*2</f>
        <v>6000</v>
      </c>
      <c r="J1051" s="68" t="s">
        <v>32</v>
      </c>
      <c r="K1051" s="68" t="s">
        <v>33</v>
      </c>
      <c r="L1051" s="69">
        <v>3000</v>
      </c>
      <c r="M1051" s="104">
        <f t="shared" si="256"/>
        <v>47.360209572</v>
      </c>
      <c r="N1051" s="69" t="s">
        <v>34</v>
      </c>
      <c r="O1051" s="67"/>
      <c r="P1051" s="117"/>
      <c r="Q1051" s="71">
        <f>VLOOKUP($F1051,[6]装箱单!$A:$E,5,0)</f>
        <v>35.18</v>
      </c>
      <c r="R1051" s="71">
        <f>VLOOKUP($F1051,[6]装箱单!$A:$F,6,0)</f>
        <v>27.18</v>
      </c>
      <c r="S1051" s="71">
        <f>VLOOKUP($F1051,[6]装箱单!$A:$G,7,0)</f>
        <v>16.51</v>
      </c>
      <c r="T1051" s="105">
        <f>VLOOKUP($F1051,[6]装箱单!$A:$J,10,0)</f>
        <v>0.015786736524</v>
      </c>
      <c r="U1051" s="71">
        <f t="shared" si="257"/>
        <v>47.360209572</v>
      </c>
      <c r="V1051" s="12"/>
    </row>
    <row r="1052" s="1" customFormat="1" ht="29.1" customHeight="1" spans="1:22">
      <c r="A1052" s="62">
        <v>46282</v>
      </c>
      <c r="B1052" s="63" t="s">
        <v>40</v>
      </c>
      <c r="C1052" s="64" t="s">
        <v>2380</v>
      </c>
      <c r="D1052" s="66" t="s">
        <v>2381</v>
      </c>
      <c r="E1052" s="67">
        <v>1003449536</v>
      </c>
      <c r="F1052" s="66">
        <v>28483</v>
      </c>
      <c r="G1052" s="67" t="str">
        <f>VLOOKUP(F1052,[2]装箱单!A:C,3,0)</f>
        <v>振动球</v>
      </c>
      <c r="H1052" s="67">
        <v>1800</v>
      </c>
      <c r="I1052" s="68">
        <f>+L1052</f>
        <v>720</v>
      </c>
      <c r="J1052" s="68" t="s">
        <v>32</v>
      </c>
      <c r="K1052" s="68" t="s">
        <v>33</v>
      </c>
      <c r="L1052" s="69">
        <f>1800-1080</f>
        <v>720</v>
      </c>
      <c r="M1052" s="104">
        <f t="shared" si="256"/>
        <v>4.1563368</v>
      </c>
      <c r="N1052" s="69" t="s">
        <v>34</v>
      </c>
      <c r="O1052" s="67"/>
      <c r="P1052" s="117"/>
      <c r="Q1052" s="71">
        <f>VLOOKUP(F1052,[2]装箱单!A:E,5,0)</f>
        <v>16.83</v>
      </c>
      <c r="R1052" s="71">
        <f>VLOOKUP(F1052,[2]装箱单!A:F,6,0)</f>
        <v>17.15</v>
      </c>
      <c r="S1052" s="71">
        <f>VLOOKUP(F1052,[2]装箱单!A:G,7,0)</f>
        <v>20</v>
      </c>
      <c r="T1052" s="105">
        <f>VLOOKUP(F1052,[2]装箱单!A:J,10,0)</f>
        <v>0.00577269</v>
      </c>
      <c r="U1052" s="71">
        <f t="shared" si="257"/>
        <v>4.1563368</v>
      </c>
      <c r="V1052" s="12"/>
    </row>
    <row r="1053" s="1" customFormat="1" ht="29.1" customHeight="1" spans="1:22">
      <c r="A1053" s="62">
        <v>46282</v>
      </c>
      <c r="B1053" s="63" t="s">
        <v>40</v>
      </c>
      <c r="C1053" s="64" t="s">
        <v>2385</v>
      </c>
      <c r="D1053" s="66" t="s">
        <v>2386</v>
      </c>
      <c r="E1053" s="67">
        <v>1003449527</v>
      </c>
      <c r="F1053" s="66">
        <v>28483</v>
      </c>
      <c r="G1053" s="67" t="str">
        <f>VLOOKUP(F1053,[2]装箱单!A:C,3,0)</f>
        <v>振动球</v>
      </c>
      <c r="H1053" s="67">
        <v>1800</v>
      </c>
      <c r="I1053" s="68">
        <f>+L1053</f>
        <v>720</v>
      </c>
      <c r="J1053" s="68" t="s">
        <v>32</v>
      </c>
      <c r="K1053" s="68" t="s">
        <v>33</v>
      </c>
      <c r="L1053" s="69">
        <v>720</v>
      </c>
      <c r="M1053" s="104">
        <f t="shared" si="256"/>
        <v>4.1563368</v>
      </c>
      <c r="N1053" s="69" t="s">
        <v>34</v>
      </c>
      <c r="O1053" s="67"/>
      <c r="P1053" s="117"/>
      <c r="Q1053" s="71">
        <f>VLOOKUP(F1053,[2]装箱单!A:E,5,0)</f>
        <v>16.83</v>
      </c>
      <c r="R1053" s="71">
        <f>VLOOKUP(F1053,[2]装箱单!A:F,6,0)</f>
        <v>17.15</v>
      </c>
      <c r="S1053" s="71">
        <f>VLOOKUP(F1053,[2]装箱单!A:G,7,0)</f>
        <v>20</v>
      </c>
      <c r="T1053" s="105">
        <f>VLOOKUP(F1053,[2]装箱单!A:J,10,0)</f>
        <v>0.00577269</v>
      </c>
      <c r="U1053" s="71">
        <f t="shared" si="257"/>
        <v>4.1563368</v>
      </c>
      <c r="V1053" s="12"/>
    </row>
    <row r="1054" s="1" customFormat="1" ht="29.1" customHeight="1" spans="1:22">
      <c r="A1054" s="62"/>
      <c r="B1054" s="63"/>
      <c r="C1054" s="64"/>
      <c r="D1054" s="66"/>
      <c r="E1054" s="67"/>
      <c r="F1054" s="66"/>
      <c r="G1054" s="67"/>
      <c r="H1054" s="67"/>
      <c r="I1054" s="68"/>
      <c r="J1054" s="68"/>
      <c r="K1054" s="68"/>
      <c r="L1054" s="69"/>
      <c r="M1054" s="104">
        <f>SUM(M1049:M1053)</f>
        <v>128.322358272</v>
      </c>
      <c r="N1054" s="69"/>
      <c r="O1054" s="67"/>
      <c r="P1054" s="118"/>
      <c r="Q1054" s="71"/>
      <c r="R1054" s="71"/>
      <c r="S1054" s="71"/>
      <c r="T1054" s="105"/>
      <c r="U1054" s="71"/>
      <c r="V1054" s="12"/>
    </row>
  </sheetData>
  <autoFilter xmlns:etc="http://www.wps.cn/officeDocument/2017/etCustomData" ref="A3:AB1048" etc:filterBottomFollowUsedRange="0">
    <extLst/>
  </autoFilter>
  <mergeCells count="114">
    <mergeCell ref="A1:P1"/>
    <mergeCell ref="A2:F2"/>
    <mergeCell ref="I2:J2"/>
    <mergeCell ref="K2:P2"/>
    <mergeCell ref="Q2:S2"/>
    <mergeCell ref="H14:H20"/>
    <mergeCell ref="H21:H28"/>
    <mergeCell ref="H30:H35"/>
    <mergeCell ref="H130:H137"/>
    <mergeCell ref="H138:H147"/>
    <mergeCell ref="H240:H248"/>
    <mergeCell ref="H249:H265"/>
    <mergeCell ref="H863:H865"/>
    <mergeCell ref="L14:L20"/>
    <mergeCell ref="L21:L28"/>
    <mergeCell ref="L30:L35"/>
    <mergeCell ref="L240:L248"/>
    <mergeCell ref="L249:L265"/>
    <mergeCell ref="L863:L865"/>
    <mergeCell ref="M863:M865"/>
    <mergeCell ref="M891:M893"/>
    <mergeCell ref="M963:M966"/>
    <mergeCell ref="M1000:M1003"/>
    <mergeCell ref="O14:O20"/>
    <mergeCell ref="O21:O28"/>
    <mergeCell ref="O30:O35"/>
    <mergeCell ref="P4:P9"/>
    <mergeCell ref="P10:P58"/>
    <mergeCell ref="P59:P68"/>
    <mergeCell ref="P69:P76"/>
    <mergeCell ref="P77:P85"/>
    <mergeCell ref="P86:P93"/>
    <mergeCell ref="P94:P112"/>
    <mergeCell ref="P113:P129"/>
    <mergeCell ref="P130:P148"/>
    <mergeCell ref="P149:P153"/>
    <mergeCell ref="P154:P159"/>
    <mergeCell ref="P160:P164"/>
    <mergeCell ref="P192:P195"/>
    <mergeCell ref="P196:P214"/>
    <mergeCell ref="P215:P219"/>
    <mergeCell ref="P220:P221"/>
    <mergeCell ref="P222:P225"/>
    <mergeCell ref="P226:P230"/>
    <mergeCell ref="P231:P239"/>
    <mergeCell ref="P240:P265"/>
    <mergeCell ref="P266:P310"/>
    <mergeCell ref="P311:P333"/>
    <mergeCell ref="P334:P343"/>
    <mergeCell ref="P344:P361"/>
    <mergeCell ref="P362:P369"/>
    <mergeCell ref="P370:P391"/>
    <mergeCell ref="P392:P393"/>
    <mergeCell ref="P394:P413"/>
    <mergeCell ref="P414:P425"/>
    <mergeCell ref="P426:P427"/>
    <mergeCell ref="P428:P429"/>
    <mergeCell ref="P430:P431"/>
    <mergeCell ref="P432:P435"/>
    <mergeCell ref="P436:P442"/>
    <mergeCell ref="P443:P450"/>
    <mergeCell ref="P451:P456"/>
    <mergeCell ref="P457:P464"/>
    <mergeCell ref="P465:P467"/>
    <mergeCell ref="P468:P476"/>
    <mergeCell ref="P477:P482"/>
    <mergeCell ref="P483:P501"/>
    <mergeCell ref="P502:P509"/>
    <mergeCell ref="P510:P524"/>
    <mergeCell ref="P525:P540"/>
    <mergeCell ref="P541:P543"/>
    <mergeCell ref="P544:P550"/>
    <mergeCell ref="P551:P556"/>
    <mergeCell ref="P558:P569"/>
    <mergeCell ref="P570:P584"/>
    <mergeCell ref="P585:P593"/>
    <mergeCell ref="P594:P601"/>
    <mergeCell ref="P602:P607"/>
    <mergeCell ref="P608:P618"/>
    <mergeCell ref="P619:P620"/>
    <mergeCell ref="P621:P672"/>
    <mergeCell ref="P673:P736"/>
    <mergeCell ref="P737:P740"/>
    <mergeCell ref="P741:P753"/>
    <mergeCell ref="P754:P797"/>
    <mergeCell ref="P798:P800"/>
    <mergeCell ref="P801:P803"/>
    <mergeCell ref="P804:P805"/>
    <mergeCell ref="P806:P808"/>
    <mergeCell ref="P809:P819"/>
    <mergeCell ref="P820:P833"/>
    <mergeCell ref="P834:P856"/>
    <mergeCell ref="P857:P866"/>
    <mergeCell ref="P867:P876"/>
    <mergeCell ref="P877:P882"/>
    <mergeCell ref="P883:P894"/>
    <mergeCell ref="P895:P902"/>
    <mergeCell ref="P903:P908"/>
    <mergeCell ref="P909:P926"/>
    <mergeCell ref="P927:P935"/>
    <mergeCell ref="P936:P941"/>
    <mergeCell ref="P942:P943"/>
    <mergeCell ref="P944:P954"/>
    <mergeCell ref="P955:P967"/>
    <mergeCell ref="P968:P971"/>
    <mergeCell ref="P975:P984"/>
    <mergeCell ref="P985:P1004"/>
    <mergeCell ref="P1005:P1016"/>
    <mergeCell ref="P1017:P1026"/>
    <mergeCell ref="P1027:P1041"/>
    <mergeCell ref="P1042:P1048"/>
    <mergeCell ref="P1049:P1054"/>
    <mergeCell ref="T2:T3"/>
    <mergeCell ref="U2:U3"/>
  </mergeCells>
  <pageMargins left="0.7" right="0.7" top="0.75" bottom="0.75" header="0.3" footer="0.3"/>
  <pageSetup paperSize="9" scale="1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A16" sqref="$A1:$XFD104857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2026年6月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袋鼠</cp:lastModifiedBy>
  <dcterms:created xsi:type="dcterms:W3CDTF">2023-05-12T11:15:00Z</dcterms:created>
  <dcterms:modified xsi:type="dcterms:W3CDTF">2026-09-18T02:49:45Z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B870F634F41644BDAE75A802D61A81BD_13</vt:lpwstr>
  </property>
  <property fmtid="{D5CDD505-2E9C-101B-9397-08002B2CF9AE}" pid="4" name="CalculationRule">
    <vt:i4>0</vt:i4>
  </property>
</Properties>
</file>