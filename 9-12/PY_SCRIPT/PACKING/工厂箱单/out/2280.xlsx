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工厂装箱单" sheetId="1" state="visible" r:id="rId1"/>
  </sheets>
  <definedNames>
    <definedName name="_xlnm.Print_Titles" localSheetId="0">'工厂装箱单'!$1:$3</definedName>
    <definedName name="_xlnm.Print_Area" localSheetId="0">'工厂装箱单'!$A$1:$Y$15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_ "/>
    <numFmt numFmtId="166" formatCode="0_ "/>
    <numFmt numFmtId="167" formatCode="0.000"/>
  </numFmts>
  <fonts count="32">
    <font>
      <name val="宋体"/>
      <charset val="134"/>
      <sz val="12"/>
    </font>
    <font>
      <name val="Calibri"/>
      <family val="2"/>
      <sz val="12"/>
    </font>
    <font>
      <name val="Calibri"/>
      <family val="2"/>
      <b val="1"/>
      <sz val="20"/>
    </font>
    <font>
      <name val="Calibri"/>
      <family val="2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Arial"/>
      <family val="2"/>
      <sz val="10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sz val="9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2"/>
    </font>
    <font>
      <name val="Calibri"/>
      <family val="2"/>
      <b val="1"/>
      <color rgb="FFFF0000"/>
      <sz val="12"/>
      <u val="single"/>
    </font>
    <font>
      <name val="宋体"/>
      <charset val="134"/>
      <family val="3"/>
      <b val="1"/>
      <color rgb="FFFF0000"/>
      <sz val="12"/>
    </font>
    <font>
      <name val="Calibri"/>
      <family val="2"/>
      <b val="1"/>
      <sz val="11"/>
    </font>
    <font>
      <name val="宋体"/>
      <charset val="134"/>
      <family val="3"/>
      <b val="1"/>
      <sz val="11"/>
    </font>
    <font>
      <name val="Calibri"/>
      <family val="2"/>
      <sz val="11"/>
    </font>
    <font>
      <name val="宋体"/>
      <charset val="134"/>
      <family val="3"/>
      <sz val="11"/>
    </font>
    <font>
      <name val="Calibri"/>
      <family val="2"/>
      <sz val="18"/>
    </font>
    <font>
      <name val="宋体"/>
      <charset val="134"/>
      <family val="2"/>
      <b val="1"/>
      <sz val="11"/>
    </font>
    <font>
      <name val="宋体"/>
      <charset val="134"/>
      <family val="3"/>
      <b val="1"/>
      <sz val="18"/>
    </font>
    <font>
      <name val="宋体"/>
      <charset val="134"/>
      <family val="2"/>
      <sz val="18"/>
    </font>
    <font>
      <name val="Calibri"/>
      <family val="2"/>
      <color theme="1"/>
      <sz val="11"/>
    </font>
    <font>
      <name val="宋体"/>
      <charset val="134"/>
      <family val="2"/>
      <sz val="10"/>
    </font>
    <font>
      <name val="宋体"/>
      <charset val="134"/>
      <family val="2"/>
      <sz val="11"/>
    </font>
    <font>
      <name val="宋体"/>
      <charset val="134"/>
      <family val="2"/>
      <sz val="12"/>
    </font>
    <font>
      <name val="Calibri"/>
      <family val="2"/>
      <color theme="1"/>
      <sz val="12"/>
    </font>
    <font>
      <name val="Calibri"/>
      <charset val="134"/>
      <family val="2"/>
      <sz val="10"/>
    </font>
    <font>
      <name val="Calibri"/>
      <family val="2"/>
      <sz val="14"/>
    </font>
    <font>
      <name val="宋体"/>
      <charset val="134"/>
      <family val="3"/>
      <color rgb="FFFF0000"/>
      <sz val="11"/>
    </font>
    <font>
      <name val="黑体"/>
      <charset val="134"/>
      <family val="3"/>
      <sz val="20"/>
    </font>
    <font>
      <name val="宋体"/>
      <b val="1"/>
      <color rgb="00FF0000"/>
      <sz val="14"/>
    </font>
    <font>
      <name val="宋体"/>
      <sz val="12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00FFFF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bottom style="thin">
        <color rgb="00BFBFBF"/>
      </bottom>
    </border>
  </borders>
  <cellStyleXfs count="3">
    <xf numFmtId="0" fontId="0" fillId="0" borderId="0" applyAlignment="1">
      <alignment vertical="center"/>
    </xf>
    <xf numFmtId="0" fontId="6" fillId="0" borderId="0"/>
    <xf numFmtId="0" fontId="7" fillId="4" borderId="0"/>
  </cellStyleXfs>
  <cellXfs count="1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wrapText="1" shrinkToFit="1"/>
    </xf>
    <xf numFmtId="0" fontId="1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3" fontId="3" fillId="2" borderId="0" applyAlignment="1" pivotButton="0" quotePrefix="0" xfId="0">
      <alignment vertical="center" wrapText="1" shrinkToFi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vertical="center" shrinkToFit="1"/>
    </xf>
    <xf numFmtId="0" fontId="3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shrinkToFi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shrinkToFit="1"/>
    </xf>
    <xf numFmtId="0" fontId="10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0" fillId="0" borderId="0" applyAlignment="1" pivotButton="0" quotePrefix="0" xfId="0">
      <alignment vertical="center"/>
    </xf>
    <xf numFmtId="0" fontId="12" fillId="2" borderId="4" applyAlignment="1" pivotButton="0" quotePrefix="0" xfId="0">
      <alignment horizontal="center" vertical="center" wrapText="1" shrinkToFit="1"/>
    </xf>
    <xf numFmtId="0" fontId="10" fillId="2" borderId="0" applyAlignment="1" pivotButton="0" quotePrefix="0" xfId="0">
      <alignment horizontal="center" vertical="center" shrinkToFit="1"/>
    </xf>
    <xf numFmtId="164" fontId="10" fillId="2" borderId="0" applyAlignment="1" pivotButton="0" quotePrefix="0" xfId="0">
      <alignment horizontal="center" vertical="center" shrinkToFit="1"/>
    </xf>
    <xf numFmtId="164" fontId="10" fillId="2" borderId="4" applyAlignment="1" pivotButton="0" quotePrefix="0" xfId="0">
      <alignment horizontal="center" vertical="center" shrinkToFit="1"/>
    </xf>
    <xf numFmtId="2" fontId="10" fillId="2" borderId="4" applyAlignment="1" pivotButton="0" quotePrefix="0" xfId="0">
      <alignment horizontal="center" vertical="center" shrinkToFit="1"/>
    </xf>
    <xf numFmtId="0" fontId="10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wrapText="1" shrinkToFit="1"/>
    </xf>
    <xf numFmtId="0" fontId="13" fillId="0" borderId="1" applyAlignment="1" pivotButton="0" quotePrefix="0" xfId="0">
      <alignment horizontal="center" shrinkToFit="1"/>
    </xf>
    <xf numFmtId="0" fontId="15" fillId="0" borderId="0" applyAlignment="1" pivotButton="0" quotePrefix="0" xfId="0">
      <alignment horizontal="center" vertical="center" shrinkToFit="1"/>
    </xf>
    <xf numFmtId="0" fontId="13" fillId="0" borderId="2" applyAlignment="1" pivotButton="0" quotePrefix="0" xfId="0">
      <alignment horizontal="center" vertical="top" wrapText="1" shrinkToFit="1"/>
    </xf>
    <xf numFmtId="0" fontId="13" fillId="0" borderId="2" applyAlignment="1" pivotButton="0" quotePrefix="0" xfId="0">
      <alignment horizontal="center" vertical="top" shrinkToFit="1"/>
    </xf>
    <xf numFmtId="0" fontId="15" fillId="2" borderId="1" applyAlignment="1" pivotButton="0" quotePrefix="0" xfId="0">
      <alignment horizontal="center" vertical="center" wrapText="1" shrinkToFit="1"/>
    </xf>
    <xf numFmtId="0" fontId="16" fillId="2" borderId="1" applyAlignment="1" pivotButton="0" quotePrefix="0" xfId="0">
      <alignment horizontal="center" vertical="center" wrapText="1" shrinkToFit="1"/>
    </xf>
    <xf numFmtId="0" fontId="15" fillId="2" borderId="1" applyAlignment="1" pivotButton="0" quotePrefix="0" xfId="0">
      <alignment horizontal="center" vertical="center" shrinkToFit="1"/>
    </xf>
    <xf numFmtId="164" fontId="15" fillId="2" borderId="1" applyAlignment="1" pivotButton="0" quotePrefix="0" xfId="0">
      <alignment horizontal="center" vertical="center" shrinkToFit="1"/>
    </xf>
    <xf numFmtId="2" fontId="15" fillId="2" borderId="1" applyAlignment="1" pivotButton="0" quotePrefix="0" xfId="0">
      <alignment horizontal="center" vertical="center" shrinkToFit="1"/>
    </xf>
    <xf numFmtId="0" fontId="15" fillId="2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wrapText="1" shrinkToFit="1"/>
    </xf>
    <xf numFmtId="0" fontId="15" fillId="5" borderId="1" applyAlignment="1" pivotButton="0" quotePrefix="0" xfId="0">
      <alignment horizontal="center" vertical="center" shrinkToFit="1"/>
    </xf>
    <xf numFmtId="0" fontId="10" fillId="5" borderId="1" applyAlignment="1" pivotButton="0" quotePrefix="0" xfId="0">
      <alignment horizontal="center" vertical="center" shrinkToFit="1"/>
    </xf>
    <xf numFmtId="0" fontId="17" fillId="2" borderId="0" applyAlignment="1" pivotButton="0" quotePrefix="0" xfId="0">
      <alignment vertical="center"/>
    </xf>
    <xf numFmtId="0" fontId="15" fillId="6" borderId="1" applyAlignment="1" pivotButton="0" quotePrefix="0" xfId="0">
      <alignment horizontal="center" vertical="center" wrapText="1" shrinkToFit="1"/>
    </xf>
    <xf numFmtId="0" fontId="13" fillId="3" borderId="5" applyAlignment="1" pivotButton="0" quotePrefix="0" xfId="0">
      <alignment horizontal="center" shrinkToFit="1"/>
    </xf>
    <xf numFmtId="0" fontId="14" fillId="3" borderId="3" applyAlignment="1" pivotButton="0" quotePrefix="0" xfId="0">
      <alignment horizontal="center" vertical="center" shrinkToFit="1"/>
    </xf>
    <xf numFmtId="0" fontId="15" fillId="3" borderId="1" applyAlignment="1" pivotButton="0" quotePrefix="0" xfId="0">
      <alignment horizontal="center" vertical="center" wrapText="1" shrinkToFit="1"/>
    </xf>
    <xf numFmtId="0" fontId="5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 shrinkToFit="1"/>
    </xf>
    <xf numFmtId="0" fontId="17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 wrapText="1" shrinkToFit="1"/>
    </xf>
    <xf numFmtId="0" fontId="21" fillId="2" borderId="1" applyAlignment="1" pivotButton="0" quotePrefix="0" xfId="0">
      <alignment horizontal="center" vertical="center" shrinkToFit="1"/>
    </xf>
    <xf numFmtId="165" fontId="21" fillId="2" borderId="1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vertical="center"/>
    </xf>
    <xf numFmtId="0" fontId="16" fillId="2" borderId="0" applyAlignment="1" pivotButton="0" quotePrefix="0" xfId="0">
      <alignment horizontal="center" vertical="center" shrinkToFit="1"/>
    </xf>
    <xf numFmtId="0" fontId="5" fillId="2" borderId="1" applyAlignment="1" pivotButton="0" quotePrefix="0" xfId="0">
      <alignment horizontal="center" vertical="center" wrapText="1" shrinkToFit="1"/>
    </xf>
    <xf numFmtId="3" fontId="1" fillId="2" borderId="1" applyAlignment="1" pivotButton="0" quotePrefix="0" xfId="0">
      <alignment horizontal="center" vertical="center" wrapText="1" shrinkToFit="1"/>
    </xf>
    <xf numFmtId="0" fontId="1" fillId="2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0" fontId="25" fillId="2" borderId="1" applyAlignment="1" pivotButton="0" quotePrefix="0" xfId="0">
      <alignment horizontal="center" vertical="center" wrapText="1" shrinkToFit="1"/>
    </xf>
    <xf numFmtId="0" fontId="1" fillId="6" borderId="1" applyAlignment="1" pivotButton="0" quotePrefix="0" xfId="0">
      <alignment horizontal="center" vertical="center" wrapText="1" shrinkToFit="1"/>
    </xf>
    <xf numFmtId="0" fontId="1" fillId="3" borderId="1" applyAlignment="1" pivotButton="0" quotePrefix="0" xfId="0">
      <alignment horizontal="center" vertical="center" wrapText="1" shrinkToFit="1"/>
    </xf>
    <xf numFmtId="58" fontId="15" fillId="0" borderId="1" applyAlignment="1" pivotButton="0" quotePrefix="0" xfId="0">
      <alignment horizontal="center" vertical="center" shrinkToFit="1"/>
    </xf>
    <xf numFmtId="0" fontId="1" fillId="2" borderId="0" applyAlignment="1" pivotButton="0" quotePrefix="0" xfId="0">
      <alignment horizontal="center" vertical="center" shrinkToFit="1"/>
    </xf>
    <xf numFmtId="3" fontId="10" fillId="2" borderId="1" applyAlignment="1" pivotButton="0" quotePrefix="0" xfId="0">
      <alignment horizontal="center" vertical="center" wrapText="1" shrinkToFit="1"/>
    </xf>
    <xf numFmtId="0" fontId="26" fillId="0" borderId="0" applyAlignment="1" pivotButton="0" quotePrefix="0" xfId="0">
      <alignment horizontal="left" vertical="center"/>
    </xf>
    <xf numFmtId="0" fontId="27" fillId="2" borderId="1" applyAlignment="1" pivotButton="0" quotePrefix="1" xfId="0">
      <alignment horizontal="center" vertical="center" wrapText="1" shrinkToFit="1"/>
    </xf>
    <xf numFmtId="0" fontId="27" fillId="2" borderId="1" applyAlignment="1" pivotButton="0" quotePrefix="0" xfId="0">
      <alignment horizontal="center" vertical="center" wrapText="1" shrinkToFit="1"/>
    </xf>
    <xf numFmtId="0" fontId="28" fillId="2" borderId="0" applyAlignment="1" pivotButton="0" quotePrefix="0" xfId="0">
      <alignment horizontal="center" vertical="center" shrinkToFit="1"/>
    </xf>
    <xf numFmtId="0" fontId="3" fillId="6" borderId="1" applyAlignment="1" pivotButton="0" quotePrefix="0" xfId="0">
      <alignment horizontal="center" vertical="center" wrapText="1" shrinkToFit="1"/>
    </xf>
    <xf numFmtId="166" fontId="15" fillId="2" borderId="1" applyAlignment="1" pivotButton="0" quotePrefix="0" xfId="0">
      <alignment horizontal="center" vertical="center" shrinkToFit="1"/>
    </xf>
    <xf numFmtId="0" fontId="27" fillId="2" borderId="0" applyAlignment="1" pivotButton="0" quotePrefix="0" xfId="0">
      <alignment vertical="center"/>
    </xf>
    <xf numFmtId="166" fontId="27" fillId="2" borderId="1" applyAlignment="1" pivotButton="0" quotePrefix="0" xfId="0">
      <alignment horizontal="center" vertical="center" wrapText="1" shrinkToFit="1"/>
    </xf>
    <xf numFmtId="166" fontId="16" fillId="2" borderId="1" applyAlignment="1" pivotButton="0" quotePrefix="0" xfId="0">
      <alignment horizontal="center" vertical="center" shrinkToFit="1"/>
    </xf>
    <xf numFmtId="166" fontId="10" fillId="2" borderId="1" applyAlignment="1" pivotButton="0" quotePrefix="0" xfId="0">
      <alignment horizontal="center" vertical="center" shrinkToFit="1"/>
    </xf>
    <xf numFmtId="0" fontId="15" fillId="0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center" vertical="center" wrapText="1" shrinkToFit="1"/>
    </xf>
    <xf numFmtId="0" fontId="13" fillId="0" borderId="1" applyAlignment="1" pivotButton="0" quotePrefix="0" xfId="0">
      <alignment horizontal="center" vertical="center" shrinkToFit="1"/>
    </xf>
    <xf numFmtId="0" fontId="13" fillId="0" borderId="2" applyAlignment="1" pivotButton="0" quotePrefix="0" xfId="0">
      <alignment horizontal="center" vertical="center" shrinkToFit="1"/>
    </xf>
    <xf numFmtId="0" fontId="13" fillId="0" borderId="2" applyAlignment="1" pivotButton="0" quotePrefix="0" xfId="0">
      <alignment horizontal="center" vertical="center" wrapText="1" shrinkToFit="1"/>
    </xf>
    <xf numFmtId="0" fontId="18" fillId="2" borderId="2" applyAlignment="1" pivotButton="0" quotePrefix="0" xfId="0">
      <alignment horizontal="center" vertical="center" shrinkToFit="1"/>
    </xf>
    <xf numFmtId="0" fontId="13" fillId="2" borderId="4" applyAlignment="1" pivotButton="0" quotePrefix="0" xfId="0">
      <alignment horizontal="center" vertical="center" shrinkToFit="1"/>
    </xf>
    <xf numFmtId="166" fontId="27" fillId="2" borderId="2" applyAlignment="1" pivotButton="0" quotePrefix="0" xfId="0">
      <alignment horizontal="center" vertical="center" wrapText="1" shrinkToFit="1"/>
    </xf>
    <xf numFmtId="166" fontId="27" fillId="2" borderId="4" applyAlignment="1" pivotButton="0" quotePrefix="0" xfId="0">
      <alignment horizontal="center" vertical="center" wrapText="1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1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horizontal="center" vertical="center" shrinkToFit="1"/>
    </xf>
    <xf numFmtId="0" fontId="13" fillId="0" borderId="5" applyAlignment="1" pivotButton="0" quotePrefix="0" xfId="0">
      <alignment horizontal="center" vertical="center" shrinkToFit="1"/>
    </xf>
    <xf numFmtId="0" fontId="13" fillId="0" borderId="3" applyAlignment="1" pivotButton="0" quotePrefix="0" xfId="0">
      <alignment horizontal="center" vertical="center" shrinkToFit="1"/>
    </xf>
    <xf numFmtId="0" fontId="10" fillId="2" borderId="0" applyAlignment="1" pivotButton="0" quotePrefix="0" xfId="0">
      <alignment horizontal="center" vertical="center" shrinkToFit="1"/>
    </xf>
    <xf numFmtId="0" fontId="12" fillId="2" borderId="0" applyAlignment="1" pivotButton="0" quotePrefix="0" xfId="0">
      <alignment horizontal="center" vertical="center" shrinkToFit="1"/>
    </xf>
    <xf numFmtId="0" fontId="18" fillId="6" borderId="2" applyAlignment="1" pivotButton="0" quotePrefix="0" xfId="0">
      <alignment horizontal="center" vertical="center" shrinkToFit="1"/>
    </xf>
    <xf numFmtId="0" fontId="13" fillId="6" borderId="4" applyAlignment="1" pivotButton="0" quotePrefix="0" xfId="0">
      <alignment horizontal="center" vertical="center" shrinkToFit="1"/>
    </xf>
    <xf numFmtId="0" fontId="13" fillId="5" borderId="1" applyAlignment="1" pivotButton="0" quotePrefix="0" xfId="0">
      <alignment horizontal="center" vertical="center" wrapText="1" shrinkToFit="1"/>
    </xf>
    <xf numFmtId="0" fontId="29" fillId="0" borderId="6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18" fillId="2" borderId="1" applyAlignment="1" pivotButton="0" quotePrefix="0" xfId="0">
      <alignment horizontal="center" vertical="center" shrinkToFit="1"/>
    </xf>
    <xf numFmtId="0" fontId="18" fillId="6" borderId="1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49" fontId="15" fillId="2" borderId="1" applyAlignment="1" pivotButton="0" quotePrefix="0" xfId="0">
      <alignment horizontal="center" vertical="center" wrapText="1"/>
    </xf>
    <xf numFmtId="49" fontId="27" fillId="2" borderId="1" applyAlignment="1" pivotButton="0" quotePrefix="0" xfId="0">
      <alignment horizontal="center" vertical="center" wrapText="1"/>
    </xf>
    <xf numFmtId="49" fontId="27" fillId="2" borderId="1" applyAlignment="1" pivotButton="0" quotePrefix="1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3" fontId="1" fillId="5" borderId="1" applyAlignment="1" pivotButton="0" quotePrefix="0" xfId="0">
      <alignment horizontal="center" vertical="center" wrapText="1"/>
    </xf>
    <xf numFmtId="167" fontId="1" fillId="2" borderId="1" applyAlignment="1" pivotButton="0" quotePrefix="0" xfId="0">
      <alignment horizontal="center" vertical="center" wrapText="1"/>
    </xf>
    <xf numFmtId="3" fontId="16" fillId="2" borderId="1" applyAlignment="1" pivotButton="0" quotePrefix="0" xfId="0">
      <alignment horizontal="center" vertical="center" wrapText="1"/>
    </xf>
    <xf numFmtId="49" fontId="25" fillId="2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58" fontId="1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3" fontId="10" fillId="2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164" fontId="10" fillId="2" borderId="0" applyAlignment="1" pivotButton="0" quotePrefix="0" xfId="0">
      <alignment horizontal="center" vertical="center"/>
    </xf>
    <xf numFmtId="167" fontId="10" fillId="2" borderId="4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 wrapText="1"/>
    </xf>
    <xf numFmtId="0" fontId="0" fillId="0" borderId="14" pivotButton="0" quotePrefix="0" xfId="0"/>
    <xf numFmtId="0" fontId="30" fillId="7" borderId="0" applyAlignment="1" pivotButton="0" quotePrefix="0" xfId="0">
      <alignment horizontal="center" vertical="center" wrapText="1"/>
    </xf>
    <xf numFmtId="0" fontId="0" fillId="7" borderId="0" pivotButton="0" quotePrefix="0" xfId="0"/>
  </cellXfs>
  <cellStyles count="3">
    <cellStyle name="常规" xfId="0" builtinId="0"/>
    <cellStyle name="常规 2" xfId="1"/>
    <cellStyle name="适中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Y15"/>
  <sheetViews>
    <sheetView tabSelected="1" topLeftCell="A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8" defaultColWidth="9" defaultRowHeight="15.75"/>
  <cols>
    <col width="13" customWidth="1" style="2" min="1" max="1"/>
    <col width="22" customWidth="1" style="2" min="2" max="2"/>
    <col width="17" customWidth="1" style="2" min="3" max="3"/>
    <col width="8.875" customWidth="1" style="2" min="4" max="4"/>
    <col width="14" customWidth="1" style="2" min="5" max="5"/>
    <col width="16.75" customWidth="1" style="2" min="6" max="6"/>
    <col width="8" customWidth="1" style="3" min="7" max="7"/>
    <col width="10" customWidth="1" style="2" min="8" max="8"/>
    <col width="8" customWidth="1" style="1" min="9" max="9"/>
    <col width="10" customWidth="1" style="2" min="10" max="10"/>
    <col width="8" customWidth="1" style="2" min="11" max="11"/>
    <col width="8" customWidth="1" style="2" min="12" max="12"/>
    <col width="8" customWidth="1" style="2" min="13" max="13"/>
    <col width="9" customWidth="1" style="2" min="14" max="15"/>
    <col width="9" customWidth="1" style="91" min="15" max="15"/>
    <col width="13" customWidth="1" style="2" min="16" max="16"/>
    <col width="13" customWidth="1" style="2" min="17" max="17"/>
    <col width="12" customWidth="1" style="2" min="18" max="19"/>
    <col width="8.375" customWidth="1" style="2" min="20" max="20"/>
    <col width="25" customWidth="1" style="2" min="21" max="21"/>
    <col width="9" customWidth="1" style="2" min="22" max="22"/>
    <col width="8" customWidth="1" style="2" min="23" max="23"/>
    <col width="8.25" customWidth="1" style="2" min="24" max="24"/>
    <col width="19" customWidth="1" style="2" min="25" max="25"/>
    <col width="9" customWidth="1" style="2" min="26" max="251"/>
    <col width="9" customWidth="1" style="4" min="252" max="16384"/>
  </cols>
  <sheetData>
    <row r="1" ht="29.25" customHeight="1" s="91">
      <c r="A1" s="90" t="inlineStr">
        <is>
          <t>装  箱  清  单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</row>
    <row r="2" ht="18.95" customFormat="1" customHeight="1" s="25">
      <c r="A2" s="73" t="inlineStr">
        <is>
          <t>Customer</t>
        </is>
      </c>
      <c r="B2" s="73" t="inlineStr">
        <is>
          <t>PO#</t>
        </is>
      </c>
      <c r="C2" s="73" t="inlineStr">
        <is>
          <t>CUSTOMER ORDER NO.</t>
        </is>
      </c>
      <c r="D2" s="73" t="inlineStr">
        <is>
          <t>Item#</t>
        </is>
      </c>
      <c r="E2" s="73" t="inlineStr">
        <is>
          <t>Customer Item No.:</t>
        </is>
      </c>
      <c r="F2" s="84" t="inlineStr">
        <is>
          <t>Description</t>
        </is>
      </c>
      <c r="G2" s="93" t="n"/>
      <c r="H2" s="72" t="inlineStr">
        <is>
          <t>Qty/PCS</t>
        </is>
      </c>
      <c r="I2" s="73" t="inlineStr">
        <is>
          <t>Qty/Ctn</t>
        </is>
      </c>
      <c r="J2" s="89" t="inlineStr">
        <is>
          <t>no.of ctn</t>
        </is>
      </c>
      <c r="K2" s="72" t="inlineStr">
        <is>
          <t>Measurement/ctn (L/W/H ) cm</t>
        </is>
      </c>
      <c r="L2" s="93" t="n"/>
      <c r="M2" s="94" t="n"/>
      <c r="N2" s="73" t="inlineStr">
        <is>
          <t>NW/CTN</t>
        </is>
      </c>
      <c r="O2" s="73" t="inlineStr">
        <is>
          <t>GW/CTN</t>
        </is>
      </c>
      <c r="P2" s="23" t="inlineStr">
        <is>
          <t>NW</t>
        </is>
      </c>
      <c r="Q2" s="24" t="inlineStr">
        <is>
          <t>GW</t>
        </is>
      </c>
      <c r="R2" s="83" t="inlineStr">
        <is>
          <t>CBM</t>
        </is>
      </c>
      <c r="S2" s="95" t="inlineStr">
        <is>
          <t>卡板数量</t>
        </is>
      </c>
      <c r="T2" s="73" t="inlineStr">
        <is>
          <t>品牌</t>
        </is>
      </c>
      <c r="U2" s="96" t="inlineStr">
        <is>
          <t>包装方式</t>
        </is>
      </c>
      <c r="V2" s="39" t="inlineStr">
        <is>
          <t>单价</t>
        </is>
      </c>
      <c r="W2" s="73" t="inlineStr">
        <is>
          <t>表面材质</t>
        </is>
      </c>
      <c r="X2" s="81" t="inlineStr">
        <is>
          <t>出货日期</t>
        </is>
      </c>
      <c r="Y2" s="71" t="inlineStr">
        <is>
          <t>SO</t>
        </is>
      </c>
    </row>
    <row r="3" ht="15" customFormat="1" customHeight="1" s="25">
      <c r="A3" s="97" t="n"/>
      <c r="B3" s="97" t="n"/>
      <c r="C3" s="97" t="n"/>
      <c r="D3" s="97" t="n"/>
      <c r="E3" s="97" t="n"/>
      <c r="F3" s="98" t="n"/>
      <c r="H3" s="97" t="n"/>
      <c r="I3" s="97" t="n"/>
      <c r="J3" s="97" t="n"/>
      <c r="K3" s="99" t="n"/>
      <c r="L3" s="92" t="n"/>
      <c r="M3" s="100" t="n"/>
      <c r="N3" s="97" t="n"/>
      <c r="O3" s="97" t="n"/>
      <c r="P3" s="26" t="inlineStr">
        <is>
          <t>KGS</t>
        </is>
      </c>
      <c r="Q3" s="27" t="inlineStr">
        <is>
          <t>KGS</t>
        </is>
      </c>
      <c r="R3" s="99" t="n"/>
      <c r="S3" s="97" t="n"/>
      <c r="T3" s="97" t="n"/>
      <c r="U3" s="97" t="n"/>
      <c r="V3" s="40" t="inlineStr">
        <is>
          <t>USD</t>
        </is>
      </c>
      <c r="W3" s="97" t="n"/>
      <c r="X3" s="97" t="n"/>
      <c r="Y3" s="97" t="n"/>
    </row>
    <row r="4" ht="67.5" customHeight="1" s="91">
      <c r="A4" s="101" t="inlineStr">
        <is>
          <t>WM US</t>
        </is>
      </c>
      <c r="B4" s="102" t="inlineStr">
        <is>
          <t>POHK-26-13545-001</t>
        </is>
      </c>
      <c r="C4" s="103" t="inlineStr">
        <is>
          <t>1003449527</t>
        </is>
      </c>
      <c r="D4" s="102" t="inlineStr">
        <is>
          <t>28483</t>
        </is>
      </c>
      <c r="E4" s="102" t="inlineStr">
        <is>
          <t>678696951</t>
        </is>
      </c>
      <c r="F4" s="101" t="inlineStr">
        <is>
          <t>Playskool Bobble Ball</t>
        </is>
      </c>
      <c r="G4" s="104" t="inlineStr">
        <is>
          <t>振动球（卡板装）</t>
        </is>
      </c>
      <c r="H4" s="105" t="n">
        <v>1800</v>
      </c>
      <c r="I4" s="105" t="n">
        <v>1</v>
      </c>
      <c r="J4" s="106">
        <f>H4/I4</f>
        <v/>
      </c>
      <c r="K4" s="107" t="n">
        <v>105</v>
      </c>
      <c r="L4" s="107" t="n">
        <v>85.5</v>
      </c>
      <c r="M4" s="107" t="n">
        <v>115.5</v>
      </c>
      <c r="N4" s="107" t="n">
        <v>0.556</v>
      </c>
      <c r="O4" s="107" t="n">
        <v>0.716</v>
      </c>
      <c r="P4" s="107">
        <f>J4*N4</f>
        <v/>
      </c>
      <c r="Q4" s="107">
        <f>J4*O4</f>
        <v/>
      </c>
      <c r="R4" s="107">
        <f>J4*K4*L4*M4/1000000</f>
        <v/>
      </c>
      <c r="S4" s="108">
        <f>J4/180</f>
        <v/>
      </c>
      <c r="T4" s="109" t="inlineStr">
        <is>
          <t>Playskool</t>
        </is>
      </c>
      <c r="U4" s="110" t="inlineStr">
        <is>
          <t>1PC/彩盒+RFID+EPC/箱,180箱/卡板+滑片纸</t>
        </is>
      </c>
      <c r="V4" s="111" t="n"/>
      <c r="W4" s="112" t="n"/>
      <c r="X4" s="113" t="n"/>
      <c r="Y4" s="102" t="inlineStr">
        <is>
          <t>SBK0004632022</t>
        </is>
      </c>
    </row>
    <row r="5" ht="67.5" customHeight="1" s="91">
      <c r="A5" s="101" t="inlineStr">
        <is>
          <t>WM US</t>
        </is>
      </c>
      <c r="B5" s="102" t="inlineStr">
        <is>
          <t>POHK-26-13545-001</t>
        </is>
      </c>
      <c r="C5" s="103" t="inlineStr">
        <is>
          <t>1003449527</t>
        </is>
      </c>
      <c r="D5" s="102" t="inlineStr">
        <is>
          <t>28481</t>
        </is>
      </c>
      <c r="E5" s="102" t="inlineStr">
        <is>
          <t>678696954</t>
        </is>
      </c>
      <c r="F5" s="101" t="inlineStr">
        <is>
          <t>Playskool ABC Soft Stacking Blocks</t>
        </is>
      </c>
      <c r="G5" s="104" t="inlineStr">
        <is>
          <t>骰子</t>
        </is>
      </c>
      <c r="H5" s="105" t="n">
        <v>1920</v>
      </c>
      <c r="I5" s="105" t="n">
        <v>4</v>
      </c>
      <c r="J5" s="106">
        <f>H5/I5</f>
        <v/>
      </c>
      <c r="K5" s="107" t="n">
        <v>23.81</v>
      </c>
      <c r="L5" s="107" t="n">
        <v>17.78</v>
      </c>
      <c r="M5" s="107" t="n">
        <v>23.81</v>
      </c>
      <c r="N5" s="107" t="n">
        <v>2.276</v>
      </c>
      <c r="O5" s="107" t="n">
        <v>2.467</v>
      </c>
      <c r="P5" s="107">
        <f>J5*N5</f>
        <v/>
      </c>
      <c r="Q5" s="107">
        <f>J5*O5</f>
        <v/>
      </c>
      <c r="R5" s="107">
        <f>J5*K5*L5*M5/1000000</f>
        <v/>
      </c>
      <c r="S5" s="108">
        <f>J5/120</f>
        <v/>
      </c>
      <c r="T5" s="109" t="inlineStr">
        <is>
          <t>Playskool</t>
        </is>
      </c>
      <c r="U5" s="110" t="inlineStr">
        <is>
          <t>12PCS为1套/彩盒+RFID+EPC，4盒/箱，120箱/卡板+滑片纸（包3边）</t>
        </is>
      </c>
      <c r="V5" s="111" t="n"/>
      <c r="W5" s="112" t="n"/>
      <c r="X5" s="113" t="n"/>
      <c r="Y5" s="102" t="inlineStr">
        <is>
          <t>SBK0004632022</t>
        </is>
      </c>
    </row>
    <row r="6" ht="27" customHeight="1" s="91">
      <c r="A6" s="114" t="n"/>
      <c r="B6" s="22" t="inlineStr">
        <is>
          <t>TOTAL:</t>
        </is>
      </c>
      <c r="E6" s="114" t="n"/>
      <c r="F6" s="115" t="n"/>
      <c r="G6" s="116" t="n"/>
      <c r="H6" s="117">
        <f>SUM(H4:H5)</f>
        <v/>
      </c>
      <c r="I6" s="22" t="n"/>
      <c r="J6" s="118">
        <f>SUM(J4:J5)</f>
        <v/>
      </c>
      <c r="K6" s="22" t="n"/>
      <c r="L6" s="22" t="n"/>
      <c r="M6" s="22" t="n"/>
      <c r="N6" s="119" t="n"/>
      <c r="O6" s="119" t="n"/>
      <c r="P6" s="120">
        <f>SUM(P4:P5)</f>
        <v/>
      </c>
      <c r="Q6" s="120">
        <f>SUM(Q4:Q5)</f>
        <v/>
      </c>
      <c r="R6" s="120">
        <f>SUM(R4:R5)</f>
        <v/>
      </c>
      <c r="S6" s="117">
        <f>SUM(S4:S5)</f>
        <v/>
      </c>
      <c r="T6" s="22" t="n"/>
      <c r="U6" s="22" t="n"/>
      <c r="V6" s="121" t="n"/>
      <c r="W6" s="122" t="n"/>
      <c r="X6" s="122" t="n"/>
      <c r="Y6" s="122" t="n"/>
    </row>
    <row r="8" ht="26" customHeight="1" s="91">
      <c r="P8" s="123" t="inlineStr">
        <is>
          <t>订仓号：</t>
        </is>
      </c>
      <c r="R8" s="124" t="n"/>
      <c r="S8" s="125" t="n"/>
      <c r="T8" s="125" t="n"/>
      <c r="U8" s="125" t="n"/>
      <c r="V8" s="125" t="n"/>
      <c r="W8" s="125" t="n"/>
      <c r="X8" s="125" t="n"/>
      <c r="Y8" s="125" t="n"/>
    </row>
    <row r="9" ht="26" customHeight="1" s="91">
      <c r="F9" s="126" t="inlineStr">
        <is>
          <t>温馨提示：
如外箱有箭头标识时，装货一定要箭头朝上，否则货到保税仓会有费用产生，谢谢。</t>
        </is>
      </c>
      <c r="G9" s="127" t="n"/>
      <c r="H9" s="127" t="n"/>
      <c r="I9" s="127" t="n"/>
      <c r="J9" s="127" t="n"/>
      <c r="K9" s="127" t="n"/>
      <c r="L9" s="127" t="n"/>
      <c r="P9" s="123" t="inlineStr">
        <is>
          <t>柜号：</t>
        </is>
      </c>
      <c r="R9" s="124" t="n"/>
      <c r="S9" s="125" t="n"/>
      <c r="T9" s="125" t="n"/>
      <c r="U9" s="125" t="n"/>
      <c r="V9" s="125" t="n"/>
      <c r="W9" s="125" t="n"/>
      <c r="X9" s="125" t="n"/>
      <c r="Y9" s="125" t="n"/>
    </row>
    <row r="10" ht="26" customHeight="1" s="91">
      <c r="F10" s="127" t="n"/>
      <c r="G10" s="127" t="n"/>
      <c r="H10" s="127" t="n"/>
      <c r="I10" s="127" t="n"/>
      <c r="J10" s="127" t="n"/>
      <c r="K10" s="127" t="n"/>
      <c r="L10" s="127" t="n"/>
      <c r="P10" s="123" t="inlineStr">
        <is>
          <t>封条号：</t>
        </is>
      </c>
      <c r="R10" s="124" t="n"/>
      <c r="S10" s="125" t="n"/>
      <c r="T10" s="125" t="n"/>
      <c r="U10" s="125" t="n"/>
      <c r="V10" s="125" t="n"/>
      <c r="W10" s="125" t="n"/>
      <c r="X10" s="125" t="n"/>
      <c r="Y10" s="125" t="n"/>
    </row>
    <row r="11" ht="26" customHeight="1" s="91">
      <c r="F11" s="127" t="n"/>
      <c r="G11" s="127" t="n"/>
      <c r="H11" s="127" t="n"/>
      <c r="I11" s="127" t="n"/>
      <c r="J11" s="127" t="n"/>
      <c r="K11" s="127" t="n"/>
      <c r="L11" s="127" t="n"/>
      <c r="P11" s="123" t="inlineStr">
        <is>
          <t>出口方式：</t>
        </is>
      </c>
      <c r="R11" s="124" t="n"/>
      <c r="S11" s="125" t="n"/>
      <c r="T11" s="125" t="n"/>
      <c r="U11" s="125" t="n"/>
      <c r="V11" s="125" t="n"/>
      <c r="W11" s="125" t="n"/>
      <c r="X11" s="125" t="n"/>
      <c r="Y11" s="125" t="n"/>
    </row>
    <row r="12" ht="26" customHeight="1" s="91">
      <c r="F12" s="127" t="n"/>
      <c r="G12" s="127" t="n"/>
      <c r="H12" s="127" t="n"/>
      <c r="I12" s="127" t="n"/>
      <c r="J12" s="127" t="n"/>
      <c r="K12" s="127" t="n"/>
      <c r="L12" s="127" t="n"/>
      <c r="P12" s="123" t="inlineStr">
        <is>
          <t>出口国家：</t>
        </is>
      </c>
      <c r="R12" s="124" t="n"/>
      <c r="S12" s="125" t="n"/>
      <c r="T12" s="125" t="n"/>
      <c r="U12" s="125" t="n"/>
      <c r="V12" s="125" t="n"/>
      <c r="W12" s="125" t="n"/>
      <c r="X12" s="125" t="n"/>
      <c r="Y12" s="125" t="n"/>
    </row>
    <row r="13" ht="26" customHeight="1" s="91">
      <c r="P13" s="123" t="inlineStr">
        <is>
          <t>出货期：</t>
        </is>
      </c>
      <c r="R13" s="124" t="n"/>
      <c r="S13" s="125" t="n"/>
      <c r="T13" s="125" t="n"/>
      <c r="U13" s="125" t="n"/>
      <c r="V13" s="125" t="n"/>
      <c r="W13" s="125" t="n"/>
      <c r="X13" s="125" t="n"/>
      <c r="Y13" s="125" t="n"/>
    </row>
    <row r="14" ht="26" customHeight="1" s="91">
      <c r="P14" s="123" t="inlineStr">
        <is>
          <t>运输：</t>
        </is>
      </c>
      <c r="R14" s="124" t="n"/>
      <c r="S14" s="125" t="n"/>
      <c r="T14" s="125" t="n"/>
      <c r="U14" s="125" t="n"/>
      <c r="V14" s="125" t="n"/>
      <c r="W14" s="125" t="n"/>
      <c r="X14" s="125" t="n"/>
      <c r="Y14" s="125" t="n"/>
    </row>
    <row r="15" ht="26" customHeight="1" s="91">
      <c r="P15" s="123" t="inlineStr">
        <is>
          <t>车牌：</t>
        </is>
      </c>
      <c r="R15" s="124" t="n"/>
      <c r="S15" s="125" t="n"/>
      <c r="T15" s="125" t="n"/>
      <c r="U15" s="125" t="n"/>
      <c r="V15" s="125" t="n"/>
      <c r="W15" s="125" t="n"/>
      <c r="X15" s="125" t="n"/>
      <c r="Y15" s="125" t="n"/>
    </row>
  </sheetData>
  <mergeCells count="38">
    <mergeCell ref="R8:Y8"/>
    <mergeCell ref="R11:Y11"/>
    <mergeCell ref="P10:Q10"/>
    <mergeCell ref="B2:B3"/>
    <mergeCell ref="N2:N3"/>
    <mergeCell ref="U2:U3"/>
    <mergeCell ref="D2:D3"/>
    <mergeCell ref="R10:Y10"/>
    <mergeCell ref="H2:H3"/>
    <mergeCell ref="Y2:Y3"/>
    <mergeCell ref="R13:Y13"/>
    <mergeCell ref="P9:Q9"/>
    <mergeCell ref="P8:Q8"/>
    <mergeCell ref="R15:Y15"/>
    <mergeCell ref="P11:Q11"/>
    <mergeCell ref="A2:A3"/>
    <mergeCell ref="T2:T3"/>
    <mergeCell ref="C2:C3"/>
    <mergeCell ref="E2:E3"/>
    <mergeCell ref="B6:D6"/>
    <mergeCell ref="W2:W3"/>
    <mergeCell ref="R12:Y12"/>
    <mergeCell ref="A1:Y1"/>
    <mergeCell ref="O2:O3"/>
    <mergeCell ref="P13:Q13"/>
    <mergeCell ref="R2:R3"/>
    <mergeCell ref="J2:J3"/>
    <mergeCell ref="F9:L12"/>
    <mergeCell ref="K2:M3"/>
    <mergeCell ref="P12:Q12"/>
    <mergeCell ref="P15:Q15"/>
    <mergeCell ref="F2:G3"/>
    <mergeCell ref="P14:Q14"/>
    <mergeCell ref="R9:Y9"/>
    <mergeCell ref="X2:X3"/>
    <mergeCell ref="S2:S3"/>
    <mergeCell ref="I2:I3"/>
    <mergeCell ref="R14:Y14"/>
  </mergeCells>
  <pageMargins left="0.1181102362204725" right="0.07874015748031496" top="0.1574803149606299" bottom="0.1574803149606299" header="0.1968503937007874" footer="0.07874015748031496"/>
  <pageSetup orientation="landscape" paperSize="8" scale="62" fitToHeight="0" fitToWidth="1"/>
  <headerFooter scaleWithDoc="0" alignWithMargins="0"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2012-09-05T12:09:00Z</dcterms:created>
  <dcterms:modified xmlns:dcterms="http://purl.org/dc/terms/" xmlns:xsi="http://www.w3.org/2001/XMLSchema-instance" xsi:type="dcterms:W3CDTF">2026-09-18T23:23:59Z</dcterms:modified>
  <cp:lastModifiedBy>LAW Marc</cp:lastModifiedBy>
  <cp:revision>1</cp:revision>
  <cp:lastPrinted>2026-09-17T14:58:45Z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2052-12.1.0.16417</vt:lpwstr>
  </property>
  <property name="ICV" fmtid="{D5CDD505-2E9C-101B-9397-08002B2CF9AE}" pid="3">
    <vt:lpwstr xmlns:vt="http://schemas.openxmlformats.org/officeDocument/2006/docPropsVTypes">2360F2D050F34F5882C8A2C7C54F8616</vt:lpwstr>
  </property>
</Properties>
</file>