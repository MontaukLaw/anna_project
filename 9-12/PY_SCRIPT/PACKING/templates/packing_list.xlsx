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2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A41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46274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POHK-26-09966-016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6870-R0-AMZ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n">
        <v>46274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Just Play LLC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2326KTY01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1">
        <f>T8</f>
        <v/>
      </c>
      <c r="B20" s="93">
        <f>T10</f>
        <v/>
      </c>
      <c r="C20" s="94" t="inlineStr">
        <is>
          <t>33807-000-1A-012-HPG</t>
        </is>
      </c>
      <c r="D20" s="95" t="n">
        <v>12</v>
      </c>
      <c r="E20" s="96" t="n">
        <v>684</v>
      </c>
      <c r="F20" s="95">
        <f>E20/D20</f>
        <v/>
      </c>
      <c r="G20" s="138" t="n">
        <v>2.62</v>
      </c>
      <c r="H20" s="53" t="inlineStr">
        <is>
          <t>KGS</t>
        </is>
      </c>
      <c r="I20" s="138" t="n">
        <v>2.95</v>
      </c>
      <c r="J20" s="54" t="inlineStr">
        <is>
          <t>KGS</t>
        </is>
      </c>
      <c r="K20" s="72" t="n">
        <v>32.5</v>
      </c>
      <c r="L20" s="73" t="inlineStr">
        <is>
          <t>x</t>
        </is>
      </c>
      <c r="M20" s="72" t="n">
        <v>20.7</v>
      </c>
      <c r="N20" s="73" t="inlineStr">
        <is>
          <t>x</t>
        </is>
      </c>
      <c r="O20" s="72" t="n">
        <v>33</v>
      </c>
      <c r="P20" s="55" t="inlineStr">
        <is>
          <t>CM</t>
        </is>
      </c>
      <c r="Q20" s="139">
        <f>(K20*M20*O20)/(100*100*100)</f>
        <v/>
      </c>
      <c r="R20" s="52" t="inlineStr">
        <is>
          <t>CBM</t>
        </is>
      </c>
      <c r="S20" s="140">
        <f>ROUND(Q20*F20,3)</f>
        <v/>
      </c>
      <c r="T20" s="55" t="inlineStr">
        <is>
          <t>CBM</t>
        </is>
      </c>
      <c r="U20" s="12">
        <f>G20*F20</f>
        <v/>
      </c>
      <c r="V20" s="55" t="inlineStr">
        <is>
          <t>KGS</t>
        </is>
      </c>
      <c r="W20" s="12">
        <f>I20*F20</f>
        <v/>
      </c>
      <c r="X20" s="55" t="inlineStr">
        <is>
          <t>KGS</t>
        </is>
      </c>
      <c r="Y20" s="76" t="inlineStr">
        <is>
          <t>roto duck</t>
        </is>
      </c>
      <c r="Z20" s="13" t="inlineStr">
        <is>
          <t>N</t>
        </is>
      </c>
    </row>
    <row r="21" ht="27.75" customHeight="1">
      <c r="A21" s="11">
        <f>T8</f>
        <v/>
      </c>
      <c r="B21" s="93">
        <f>T10</f>
        <v/>
      </c>
      <c r="C21" s="94" t="inlineStr">
        <is>
          <t>33808-000-1A-012-HPG</t>
        </is>
      </c>
      <c r="D21" s="95" t="n">
        <v>12</v>
      </c>
      <c r="E21" s="96" t="n">
        <v>2448</v>
      </c>
      <c r="F21" s="95">
        <f>E21/D21</f>
        <v/>
      </c>
      <c r="G21" s="138" t="n">
        <v>2.62</v>
      </c>
      <c r="H21" s="53" t="inlineStr">
        <is>
          <t>KGS</t>
        </is>
      </c>
      <c r="I21" s="138" t="n">
        <v>2.95</v>
      </c>
      <c r="J21" s="54" t="inlineStr">
        <is>
          <t>KGS</t>
        </is>
      </c>
      <c r="K21" s="72" t="n">
        <v>32.5</v>
      </c>
      <c r="L21" s="73" t="inlineStr">
        <is>
          <t>x</t>
        </is>
      </c>
      <c r="M21" s="72" t="n">
        <v>20.7</v>
      </c>
      <c r="N21" s="73" t="inlineStr">
        <is>
          <t>x</t>
        </is>
      </c>
      <c r="O21" s="72" t="n">
        <v>33</v>
      </c>
      <c r="P21" s="55" t="inlineStr">
        <is>
          <t>CM</t>
        </is>
      </c>
      <c r="Q21" s="139">
        <f>(K21*M21*O21)/(100*100*100)</f>
        <v/>
      </c>
      <c r="R21" s="52" t="inlineStr">
        <is>
          <t>CBM</t>
        </is>
      </c>
      <c r="S21" s="140">
        <f>ROUND(Q21*F21,3)</f>
        <v/>
      </c>
      <c r="T21" s="55" t="inlineStr">
        <is>
          <t>CBM</t>
        </is>
      </c>
      <c r="U21" s="12">
        <f>G21*F21</f>
        <v/>
      </c>
      <c r="V21" s="55" t="inlineStr">
        <is>
          <t>KGS</t>
        </is>
      </c>
      <c r="W21" s="12">
        <f>I21*F21</f>
        <v/>
      </c>
      <c r="X21" s="55" t="inlineStr">
        <is>
          <t>KGS</t>
        </is>
      </c>
      <c r="Y21" s="76" t="inlineStr">
        <is>
          <t>roto duck</t>
        </is>
      </c>
      <c r="Z21" s="13" t="inlineStr">
        <is>
          <t>N</t>
        </is>
      </c>
    </row>
    <row r="22" ht="27.75" customHeight="1">
      <c r="A22" s="11">
        <f>T8</f>
        <v/>
      </c>
      <c r="B22" s="93">
        <f>T10</f>
        <v/>
      </c>
      <c r="C22" s="94" t="inlineStr">
        <is>
          <t>33812-000-1A-012-HPG</t>
        </is>
      </c>
      <c r="D22" s="95" t="n">
        <v>12</v>
      </c>
      <c r="E22" s="96" t="n">
        <v>2736</v>
      </c>
      <c r="F22" s="95">
        <f>E22/D22</f>
        <v/>
      </c>
      <c r="G22" s="138" t="n">
        <v>1.67</v>
      </c>
      <c r="H22" s="53" t="inlineStr">
        <is>
          <t>KGS</t>
        </is>
      </c>
      <c r="I22" s="138" t="n">
        <v>1.95</v>
      </c>
      <c r="J22" s="54" t="inlineStr">
        <is>
          <t>KGS</t>
        </is>
      </c>
      <c r="K22" s="72" t="n">
        <v>32.2</v>
      </c>
      <c r="L22" s="73" t="inlineStr">
        <is>
          <t>x</t>
        </is>
      </c>
      <c r="M22" s="72" t="n">
        <v>26.4</v>
      </c>
      <c r="N22" s="73" t="inlineStr">
        <is>
          <t>x</t>
        </is>
      </c>
      <c r="O22" s="72" t="n">
        <v>17.9</v>
      </c>
      <c r="P22" s="55" t="inlineStr">
        <is>
          <t>CM</t>
        </is>
      </c>
      <c r="Q22" s="139">
        <f>(K22*M22*O22)/(100*100*100)</f>
        <v/>
      </c>
      <c r="R22" s="52" t="inlineStr">
        <is>
          <t>CBM</t>
        </is>
      </c>
      <c r="S22" s="140">
        <f>ROUND(Q22*F22,3)</f>
        <v/>
      </c>
      <c r="T22" s="55" t="inlineStr">
        <is>
          <t>CBM</t>
        </is>
      </c>
      <c r="U22" s="12">
        <f>G22*F22</f>
        <v/>
      </c>
      <c r="V22" s="55" t="inlineStr">
        <is>
          <t>KGS</t>
        </is>
      </c>
      <c r="W22" s="12">
        <f>I22*F22</f>
        <v/>
      </c>
      <c r="X22" s="55" t="inlineStr">
        <is>
          <t>KGS</t>
        </is>
      </c>
      <c r="Y22" s="76" t="inlineStr">
        <is>
          <t>roto duck</t>
        </is>
      </c>
      <c r="Z22" s="13" t="inlineStr">
        <is>
          <t>N</t>
        </is>
      </c>
    </row>
    <row r="23" ht="27.75" customHeight="1">
      <c r="A23" s="11">
        <f>T8</f>
        <v/>
      </c>
      <c r="B23" s="93">
        <f>T10</f>
        <v/>
      </c>
      <c r="C23" s="94" t="inlineStr">
        <is>
          <t>33813-000-1A-012-HPG</t>
        </is>
      </c>
      <c r="D23" s="95" t="n">
        <v>12</v>
      </c>
      <c r="E23" s="96" t="n">
        <v>684</v>
      </c>
      <c r="F23" s="95">
        <f>E23/D23</f>
        <v/>
      </c>
      <c r="G23" s="138" t="n">
        <v>2.3</v>
      </c>
      <c r="H23" s="53" t="inlineStr">
        <is>
          <t>KGS</t>
        </is>
      </c>
      <c r="I23" s="138" t="n">
        <v>2.45</v>
      </c>
      <c r="J23" s="54" t="inlineStr">
        <is>
          <t>KGS</t>
        </is>
      </c>
      <c r="K23" s="72" t="n">
        <v>29.6</v>
      </c>
      <c r="L23" s="73" t="inlineStr">
        <is>
          <t>x</t>
        </is>
      </c>
      <c r="M23" s="72" t="n">
        <v>21.1</v>
      </c>
      <c r="N23" s="73" t="inlineStr">
        <is>
          <t>x</t>
        </is>
      </c>
      <c r="O23" s="72" t="n">
        <v>30.4</v>
      </c>
      <c r="P23" s="55" t="inlineStr">
        <is>
          <t>CM</t>
        </is>
      </c>
      <c r="Q23" s="139">
        <f>(K23*M23*O23)/(100*100*100)</f>
        <v/>
      </c>
      <c r="R23" s="52" t="inlineStr">
        <is>
          <t>CBM</t>
        </is>
      </c>
      <c r="S23" s="140">
        <f>ROUND(Q23*F23,3)</f>
        <v/>
      </c>
      <c r="T23" s="55" t="inlineStr">
        <is>
          <t>CBM</t>
        </is>
      </c>
      <c r="U23" s="12">
        <f>G23*F23</f>
        <v/>
      </c>
      <c r="V23" s="55" t="inlineStr">
        <is>
          <t>KGS</t>
        </is>
      </c>
      <c r="W23" s="12">
        <f>I23*F23</f>
        <v/>
      </c>
      <c r="X23" s="55" t="inlineStr">
        <is>
          <t>KGS</t>
        </is>
      </c>
      <c r="Y23" s="76" t="inlineStr">
        <is>
          <t>roto duck</t>
        </is>
      </c>
      <c r="Z23" s="13" t="inlineStr">
        <is>
          <t>N</t>
        </is>
      </c>
    </row>
    <row r="24" ht="29.25" customFormat="1" customHeight="1" s="90">
      <c r="A24" s="79" t="n"/>
      <c r="B24" s="79" t="n"/>
      <c r="C24" s="78" t="n"/>
      <c r="D24" s="80" t="n"/>
      <c r="E24" s="81">
        <f>SUM(E20:E23)</f>
        <v/>
      </c>
      <c r="F24" s="82">
        <f>SUM(F20:F23)</f>
        <v/>
      </c>
      <c r="G24" s="83" t="n"/>
      <c r="H24" s="84" t="n"/>
      <c r="I24" s="83" t="n"/>
      <c r="J24" s="85" t="n"/>
      <c r="K24" s="86" t="n"/>
      <c r="L24" s="84" t="n"/>
      <c r="M24" s="83" t="n"/>
      <c r="N24" s="84" t="n"/>
      <c r="O24" s="83" t="n"/>
      <c r="P24" s="84" t="n"/>
      <c r="Q24" s="83" t="n"/>
      <c r="R24" s="79" t="n"/>
      <c r="S24" s="141">
        <f>SUM(S20:S23)</f>
        <v/>
      </c>
      <c r="T24" s="84" t="inlineStr">
        <is>
          <t>CBM</t>
        </is>
      </c>
      <c r="U24" s="88">
        <f>SUM(U20:U23)</f>
        <v/>
      </c>
      <c r="V24" s="84" t="inlineStr">
        <is>
          <t>KGS</t>
        </is>
      </c>
      <c r="W24" s="88">
        <f>SUM(W20:W23)</f>
        <v/>
      </c>
      <c r="X24" s="84" t="inlineStr">
        <is>
          <t>KGS</t>
        </is>
      </c>
      <c r="Y24" s="89" t="n"/>
      <c r="Z24" s="84" t="n"/>
    </row>
    <row r="26" ht="15.95" customHeight="1">
      <c r="C26" t="inlineStr">
        <is>
          <t>USCI (Unified Social Credit Identifier) - 社会信用代码 :</t>
        </is>
      </c>
      <c r="H26" s="15" t="n"/>
      <c r="I26" s="14" t="inlineStr">
        <is>
          <t>91511700MAACP9B4X9</t>
        </is>
      </c>
      <c r="J26" s="15" t="n"/>
      <c r="K26" s="15" t="n"/>
      <c r="L26" s="16" t="n"/>
      <c r="M26" s="15" t="n"/>
      <c r="N26" s="15" t="n"/>
      <c r="O26" s="15" t="n"/>
      <c r="P26" s="15" t="n"/>
      <c r="Q26" s="15" t="n"/>
      <c r="R26" s="15" t="n"/>
      <c r="S26" s="15" t="n"/>
    </row>
    <row r="27" ht="15.95" customHeight="1">
      <c r="C27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7" s="56" t="n"/>
    </row>
    <row r="28"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58" t="n"/>
      <c r="N28" s="58" t="n"/>
      <c r="O28" s="58" t="n"/>
    </row>
    <row r="29">
      <c r="C29" s="58" t="inlineStr">
        <is>
          <t>Confirm there is isolation if the battery is installed in product(有无绝缘处理):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5" t="inlineStr">
        <is>
          <t>NO</t>
        </is>
      </c>
      <c r="N29" s="65" t="n"/>
      <c r="O29" s="65" t="n"/>
      <c r="P29" s="15" t="n"/>
      <c r="Q29" s="15" t="n"/>
      <c r="S29" t="inlineStr">
        <is>
          <t>SHIP MARKS</t>
        </is>
      </c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inlineStr">
        <is>
          <t>IF NO, 如果无做绝缘处理，请确认是否有做防短路防护措施</t>
        </is>
      </c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66" t="inlineStr">
        <is>
          <t>NO</t>
        </is>
      </c>
      <c r="N30" s="66" t="n"/>
      <c r="O30" s="66" t="n"/>
      <c r="P30" s="15" t="n"/>
      <c r="Q30" s="15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58" t="inlineStr">
        <is>
          <t>Include MAGNET     是否有磁铁/磁胶</t>
        </is>
      </c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67" t="inlineStr">
        <is>
          <t>NO</t>
        </is>
      </c>
      <c r="N31" s="67" t="n"/>
      <c r="O31" s="67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9" t="n"/>
      <c r="M32" s="58" t="n"/>
      <c r="N32" s="60" t="n"/>
      <c r="O32" s="60" t="n"/>
      <c r="U32" s="15" t="n"/>
      <c r="V32" s="15" t="n"/>
      <c r="W32" s="15" t="n"/>
      <c r="X32" s="15" t="n"/>
      <c r="Y32" s="15" t="n"/>
      <c r="Z32" s="15" t="n"/>
      <c r="AA32" s="15" t="n"/>
    </row>
    <row r="33">
      <c r="C33" s="61" t="inlineStr">
        <is>
          <t>MANUFACTURER NAME AND ADDRESS :</t>
        </is>
      </c>
      <c r="D33" s="62" t="n"/>
      <c r="E33" s="62" t="n"/>
      <c r="F33" s="62" t="n"/>
      <c r="G33" s="62" t="n"/>
      <c r="H33" s="60" t="n"/>
      <c r="I33" s="60" t="n"/>
      <c r="J33" s="60" t="n"/>
      <c r="K33" s="60" t="n"/>
      <c r="L33" s="63" t="n"/>
      <c r="M33" s="60" t="n"/>
      <c r="N33" s="60" t="n"/>
      <c r="O33" s="60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2" t="inlineStr">
        <is>
          <t xml:space="preserve"> Sichuan Ketuya Industrial Company Limited</t>
        </is>
      </c>
      <c r="D34" s="74" t="n"/>
      <c r="E34" s="74" t="n"/>
      <c r="F34" s="62" t="n"/>
      <c r="G34" s="62" t="n"/>
      <c r="H34" s="62" t="n"/>
      <c r="I34" s="62" t="n"/>
      <c r="J34" s="62" t="n"/>
      <c r="K34" s="62" t="n"/>
      <c r="L34" s="62" t="n"/>
      <c r="M34" s="75" t="n"/>
      <c r="N34" s="62" t="n"/>
      <c r="P34" s="64" t="n"/>
      <c r="U34" s="15" t="n"/>
      <c r="V34" s="15" t="n"/>
      <c r="W34" s="15" t="n"/>
      <c r="X34" s="15" t="n"/>
      <c r="Y34" s="15" t="n"/>
      <c r="Z34" s="15" t="n"/>
      <c r="AA34" s="15" t="n"/>
    </row>
    <row r="35" ht="39.75" customHeight="1">
      <c r="C35" s="97" t="inlineStr">
        <is>
          <t>Unit 2, No. 1, Xinyuan Avenue,Heli Town, Qu County, Dazhou
City, Sichuan Province，China</t>
        </is>
      </c>
      <c r="U35" s="15" t="n"/>
      <c r="V35" s="15" t="n"/>
      <c r="W35" s="15" t="n"/>
      <c r="X35" s="15" t="n"/>
      <c r="Y35" s="15" t="n"/>
      <c r="Z35" s="15" t="n"/>
      <c r="AA35" s="15" t="n"/>
    </row>
    <row r="36">
      <c r="C36" s="17" t="n"/>
      <c r="D36" s="18" t="n"/>
      <c r="E36" s="18" t="n"/>
      <c r="F36" s="18" t="n"/>
      <c r="G36" s="18" t="n"/>
      <c r="H36" s="15" t="n"/>
      <c r="I36" s="15" t="n"/>
      <c r="J36" s="15" t="n"/>
      <c r="K36" s="15" t="n"/>
      <c r="L36" s="15" t="n"/>
      <c r="M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61" t="inlineStr">
        <is>
          <t>POSTAL CODE</t>
        </is>
      </c>
      <c r="D37" s="18" t="inlineStr">
        <is>
          <t xml:space="preserve">   </t>
        </is>
      </c>
      <c r="E37" s="18" t="n"/>
      <c r="F37" s="18" t="n"/>
      <c r="G37" s="18" t="n"/>
      <c r="H37" s="15" t="n"/>
      <c r="I37" s="15" t="n"/>
      <c r="J37" s="15" t="n"/>
      <c r="K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91" t="n">
        <v>635200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</row>
    <row r="40"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5" t="n"/>
      <c r="N40" s="15" t="n"/>
      <c r="O40" s="15" t="n"/>
      <c r="P40" s="15" t="n"/>
      <c r="Q40" s="15" t="n"/>
      <c r="R40" s="15" t="n"/>
      <c r="S40" s="15" t="n"/>
      <c r="T40" s="15" t="n"/>
    </row>
    <row r="41"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 t="n"/>
      <c r="M41" s="15" t="n"/>
      <c r="N41" s="15" t="n"/>
      <c r="O41" s="15" t="n"/>
      <c r="P41" s="15" t="n"/>
      <c r="Q41" s="15" t="n"/>
      <c r="R41" s="15" t="n"/>
      <c r="S41" s="15" t="n"/>
      <c r="T41" s="15" t="n"/>
    </row>
  </sheetData>
  <mergeCells count="18">
    <mergeCell ref="A3:X3"/>
    <mergeCell ref="C16:X16"/>
    <mergeCell ref="K18:P19"/>
    <mergeCell ref="D18:D19"/>
    <mergeCell ref="B18:B19"/>
    <mergeCell ref="Q18:R19"/>
    <mergeCell ref="E18:E19"/>
    <mergeCell ref="F18:F19"/>
    <mergeCell ref="G18:H19"/>
    <mergeCell ref="S18:X18"/>
    <mergeCell ref="T8:V8"/>
    <mergeCell ref="Z18:Z19"/>
    <mergeCell ref="C18:C19"/>
    <mergeCell ref="A18:A19"/>
    <mergeCell ref="T10:V10"/>
    <mergeCell ref="C35:N35"/>
    <mergeCell ref="Y18:Y19"/>
    <mergeCell ref="I18:J19"/>
  </mergeCells>
  <pageMargins left="0.7086614173228347" right="0.7086614173228347" top="0.7480314960629921" bottom="0.7480314960629921" header="0.3149606299212598" footer="0.3149606299212598"/>
  <pageSetup orientation="landscape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2026-09-12T16:11:30Z</dcterms:modified>
  <cp:lastModifiedBy>yun qiu</cp:lastModifiedBy>
  <cp:lastPrinted>2026-08-06T02:31:18Z</cp:lastPrinted>
</cp:coreProperties>
</file>