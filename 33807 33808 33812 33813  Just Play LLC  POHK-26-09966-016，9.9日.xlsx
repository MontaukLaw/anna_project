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ETUYA\Desktop\新建文件夹\"/>
    </mc:Choice>
  </mc:AlternateContent>
  <xr:revisionPtr revIDLastSave="0" documentId="13_ncr:1_{521549B9-50E6-4904-9E23-516468483C6A}" xr6:coauthVersionLast="47" xr6:coauthVersionMax="47" xr10:uidLastSave="{00000000-0000-0000-0000-000000000000}"/>
  <bookViews>
    <workbookView xWindow="-120" yWindow="-120" windowWidth="29040" windowHeight="15720" xr2:uid="{004A6AE5-2895-41F7-AF34-C1E346DAE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4" i="1" l="1"/>
  <c r="F24" i="1"/>
  <c r="W24" i="1"/>
  <c r="U24" i="1"/>
  <c r="S24" i="1"/>
  <c r="A20" i="1" l="1"/>
  <c r="B23" i="1" l="1"/>
  <c r="B22" i="1"/>
  <c r="B21" i="1"/>
  <c r="A23" i="1"/>
  <c r="A22" i="1"/>
  <c r="A21" i="1"/>
  <c r="Q23" i="1"/>
  <c r="F23" i="1"/>
  <c r="W23" i="1" s="1"/>
  <c r="Q22" i="1"/>
  <c r="F22" i="1"/>
  <c r="W22" i="1" s="1"/>
  <c r="Q21" i="1"/>
  <c r="F21" i="1"/>
  <c r="W21" i="1" s="1"/>
  <c r="B20" i="1"/>
  <c r="Q20" i="1"/>
  <c r="F20" i="1"/>
  <c r="U20" i="1" s="1"/>
  <c r="S23" i="1" l="1"/>
  <c r="U23" i="1"/>
  <c r="S21" i="1"/>
  <c r="U22" i="1"/>
  <c r="S22" i="1"/>
  <c r="U21" i="1"/>
  <c r="W20" i="1"/>
  <c r="S20" i="1"/>
</calcChain>
</file>

<file path=xl/sharedStrings.xml><?xml version="1.0" encoding="utf-8"?>
<sst xmlns="http://schemas.openxmlformats.org/spreadsheetml/2006/main" count="103" uniqueCount="61">
  <si>
    <t>TO    :</t>
  </si>
  <si>
    <t>JUST PLAY (HK) LTD</t>
  </si>
  <si>
    <t>DATE :</t>
  </si>
  <si>
    <t>ATTN :</t>
  </si>
  <si>
    <t>JP PO # :</t>
  </si>
  <si>
    <t>FROM :</t>
  </si>
  <si>
    <t>CUSTOMER PO# :</t>
  </si>
  <si>
    <t>Expected Delivery Date  :</t>
  </si>
  <si>
    <t>CUSTOMER :</t>
  </si>
  <si>
    <t>請填上以下貨號之外箱呎碼及重量後 ,並電郵到 JUST PLAY (HK) LTD ATTN SHIPPING DEPT,謝謝!</t>
  </si>
  <si>
    <t>DATE CODE :</t>
  </si>
  <si>
    <t>PACKING LIST</t>
  </si>
  <si>
    <t>JUST PLAY PO#</t>
  </si>
  <si>
    <t>CUSTOMER PO#</t>
  </si>
  <si>
    <t>ITEM NO.</t>
  </si>
  <si>
    <t>CASE PACK</t>
  </si>
  <si>
    <t>TOTAL QTY</t>
  </si>
  <si>
    <t>NO. OF CTNS</t>
  </si>
  <si>
    <t>NET  WT PER CTN</t>
  </si>
  <si>
    <t>GROSS WT PER CTN</t>
  </si>
  <si>
    <t>MEASUREMENT (L X W X H)</t>
  </si>
  <si>
    <t>BOX</t>
  </si>
  <si>
    <t>TOTAL</t>
  </si>
  <si>
    <t>Battery Included</t>
  </si>
  <si>
    <t>VOLUME</t>
  </si>
  <si>
    <t>N. WT</t>
  </si>
  <si>
    <t>G. WT</t>
  </si>
  <si>
    <t>KGS</t>
    <phoneticPr fontId="0" type="noConversion"/>
  </si>
  <si>
    <t>KGS</t>
  </si>
  <si>
    <t>x</t>
  </si>
  <si>
    <t>CM</t>
  </si>
  <si>
    <t>CBM</t>
  </si>
  <si>
    <r>
      <t xml:space="preserve">USCI (Unified Social Credit Identifier) - </t>
    </r>
    <r>
      <rPr>
        <sz val="10"/>
        <rFont val="細明體"/>
        <family val="3"/>
        <charset val="136"/>
      </rPr>
      <t>社会信用代码</t>
    </r>
    <r>
      <rPr>
        <sz val="11"/>
        <color theme="1"/>
        <rFont val="等线"/>
        <family val="2"/>
        <scheme val="minor"/>
      </rPr>
      <t xml:space="preserve"> :</t>
    </r>
  </si>
  <si>
    <t>Confirm there is isolation if the battery is installed in product(有无绝缘处理):</t>
  </si>
  <si>
    <t>IF NO, 如果无做绝缘处理，请确认是否有做防短路防护措施</t>
  </si>
  <si>
    <t>MANUFACTURER NAME AND ADDRESS :</t>
  </si>
  <si>
    <r>
      <t>货物中如有电池、磁铁/磁</t>
    </r>
    <r>
      <rPr>
        <b/>
        <sz val="12"/>
        <color indexed="10"/>
        <rFont val="PMingLiU"/>
        <family val="1"/>
      </rPr>
      <t>胶</t>
    </r>
    <r>
      <rPr>
        <b/>
        <sz val="12"/>
        <color indexed="10"/>
        <rFont val="DengXian"/>
      </rPr>
      <t>、化工品、碳类等存在危险性物质的货物出运，请务必提前告知并提供资料审核，若瞒报将会产生罚金并一切责任由贵司承担！！</t>
    </r>
  </si>
  <si>
    <t>SHIP MARKS</t>
  </si>
  <si>
    <t>POSTAL CODE</t>
  </si>
  <si>
    <t xml:space="preserve">  </t>
  </si>
  <si>
    <t xml:space="preserve"> </t>
  </si>
  <si>
    <t xml:space="preserve">   </t>
  </si>
  <si>
    <t>NO</t>
  </si>
  <si>
    <t>Include MAGNET     是否有磁铁/磁胶</t>
  </si>
  <si>
    <t xml:space="preserve">COUTURE TOY LIMITED  
Room 811,Wealth Commercial Centre 48 Kwong Wa St., Kowloon, HongKong </t>
    <phoneticPr fontId="35" type="noConversion"/>
  </si>
  <si>
    <t>N</t>
    <phoneticPr fontId="35" type="noConversion"/>
  </si>
  <si>
    <t>91511700MAACP9B4X9</t>
    <phoneticPr fontId="35" type="noConversion"/>
  </si>
  <si>
    <t xml:space="preserve"> Sichuan Ketuya Industrial Company Limited</t>
    <phoneticPr fontId="40" type="noConversion"/>
  </si>
  <si>
    <r>
      <t>Unit 2, No. 1, Xinyuan Avenue,Heli Town, Qu County, Dazhou
City, Sichuan Province</t>
    </r>
    <r>
      <rPr>
        <sz val="10"/>
        <rFont val="微软雅黑"/>
        <family val="2"/>
        <charset val="134"/>
      </rPr>
      <t>，</t>
    </r>
    <r>
      <rPr>
        <sz val="11"/>
        <color theme="1"/>
        <rFont val="等线"/>
        <family val="2"/>
        <scheme val="minor"/>
      </rPr>
      <t>China</t>
    </r>
    <phoneticPr fontId="40" type="noConversion"/>
  </si>
  <si>
    <t xml:space="preserve">Pls provide kind of Toys in English
请提供英文的玩具种类 </t>
    <phoneticPr fontId="35" type="noConversion"/>
  </si>
  <si>
    <t>HK SHIPPING</t>
    <phoneticPr fontId="35" type="noConversion"/>
  </si>
  <si>
    <t>Couture Toy</t>
    <phoneticPr fontId="35" type="noConversion"/>
  </si>
  <si>
    <t>POHK-26-09966-016</t>
    <phoneticPr fontId="35" type="noConversion"/>
  </si>
  <si>
    <t>6870-R0-AMZ</t>
    <phoneticPr fontId="35" type="noConversion"/>
  </si>
  <si>
    <t>Just Play LLC</t>
    <phoneticPr fontId="0" type="noConversion"/>
  </si>
  <si>
    <t>2326KTY01</t>
    <phoneticPr fontId="0" type="noConversion"/>
  </si>
  <si>
    <t>33807-000-1A-012-HPG</t>
    <phoneticPr fontId="9" type="noConversion"/>
  </si>
  <si>
    <t>33808-000-1A-012-HPG</t>
    <phoneticPr fontId="35" type="noConversion"/>
  </si>
  <si>
    <t>33812-000-1A-012-HPG</t>
    <phoneticPr fontId="35" type="noConversion"/>
  </si>
  <si>
    <t>33813-000-1A-012-HPG</t>
    <phoneticPr fontId="35" type="noConversion"/>
  </si>
  <si>
    <t>roto duck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</si>
</sst>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/m/yyyy;@"/>
    <numFmt numFmtId="177" formatCode="0.00000"/>
    <numFmt numFmtId="178" formatCode="0.000"/>
  </numFmts>
  <fonts count="45">
    <font>
      <sz val="11"/>
      <color theme="1"/>
      <name val="等线"/>
      <family val="2"/>
      <scheme val="minor"/>
    </font>
    <font>
      <sz val="11"/>
      <color rgb="FF9C5700"/>
      <name val="等线"/>
      <family val="2"/>
      <scheme val="minor"/>
    </font>
    <font>
      <b/>
      <sz val="20"/>
      <name val="Arial"/>
      <family val="2"/>
    </font>
    <font>
      <b/>
      <sz val="11"/>
      <name val="Trebuchet MS"/>
      <family val="2"/>
    </font>
    <font>
      <b/>
      <sz val="10"/>
      <name val="Trebuchet MS"/>
      <family val="2"/>
    </font>
    <font>
      <b/>
      <sz val="20"/>
      <name val="Aptos"/>
      <family val="2"/>
    </font>
    <font>
      <b/>
      <sz val="10"/>
      <name val="Aptos"/>
      <family val="2"/>
    </font>
    <font>
      <b/>
      <sz val="11"/>
      <name val="Aptos"/>
      <family val="2"/>
    </font>
    <font>
      <sz val="11"/>
      <color rgb="FFFF0000"/>
      <name val="Aptos"/>
      <family val="2"/>
    </font>
    <font>
      <b/>
      <sz val="11"/>
      <name val="Arial"/>
      <family val="2"/>
    </font>
    <font>
      <sz val="11"/>
      <name val="Aptos"/>
      <family val="2"/>
    </font>
    <font>
      <sz val="11"/>
      <name val="Arial"/>
      <family val="2"/>
    </font>
    <font>
      <sz val="10"/>
      <name val="Aptos"/>
      <family val="2"/>
    </font>
    <font>
      <b/>
      <sz val="11"/>
      <color rgb="FFFF0000"/>
      <name val="等线"/>
      <family val="1"/>
      <charset val="136"/>
      <scheme val="minor"/>
    </font>
    <font>
      <sz val="11"/>
      <color rgb="FFFF0000"/>
      <name val="等线"/>
      <family val="1"/>
      <charset val="136"/>
      <scheme val="minor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Arial Unicode MS"/>
      <family val="2"/>
      <charset val="136"/>
    </font>
    <font>
      <sz val="10"/>
      <color rgb="FFFF0000"/>
      <name val="Aptos"/>
      <family val="2"/>
    </font>
    <font>
      <u/>
      <sz val="10"/>
      <color theme="1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sz val="10"/>
      <name val="微软雅黑"/>
      <family val="2"/>
      <charset val="134"/>
    </font>
    <font>
      <sz val="10"/>
      <color indexed="12"/>
      <name val="Arial"/>
      <family val="2"/>
    </font>
    <font>
      <sz val="10"/>
      <name val="細明體"/>
      <family val="3"/>
      <charset val="136"/>
    </font>
    <font>
      <b/>
      <sz val="11"/>
      <color rgb="FF271DEF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DengXian"/>
      <family val="1"/>
    </font>
    <font>
      <b/>
      <sz val="12"/>
      <color indexed="10"/>
      <name val="PMingLiU"/>
      <family val="1"/>
    </font>
    <font>
      <b/>
      <sz val="12"/>
      <color indexed="10"/>
      <name val="DengXian"/>
    </font>
    <font>
      <sz val="9"/>
      <name val="Courier New"/>
      <family val="3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  <font>
      <b/>
      <sz val="22"/>
      <color theme="1"/>
      <name val="Calibri"/>
      <family val="2"/>
    </font>
    <font>
      <sz val="11"/>
      <color theme="1"/>
      <name val="Aptos"/>
      <family val="2"/>
    </font>
    <font>
      <b/>
      <sz val="11"/>
      <color theme="1"/>
      <name val="等线"/>
      <family val="2"/>
      <scheme val="minor"/>
    </font>
    <font>
      <b/>
      <sz val="11"/>
      <color theme="1"/>
      <name val="等线"/>
      <family val="1"/>
      <charset val="136"/>
      <scheme val="minor"/>
    </font>
    <font>
      <sz val="9"/>
      <name val="宋体"/>
      <family val="3"/>
      <charset val="134"/>
    </font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b/>
      <sz val="12"/>
      <color theme="1"/>
      <name val="等线"/>
      <family val="2"/>
      <scheme val="minor"/>
    </font>
    <font>
      <b/>
      <sz val="12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9" fillId="0" borderId="0" applyNumberFormat="0" applyFill="0" applyBorder="0" applyAlignment="0" applyProtection="0"/>
    <xf numFmtId="0" fontId="21" fillId="0" borderId="0"/>
    <xf numFmtId="0" fontId="32" fillId="0" borderId="0"/>
  </cellStyleXfs>
  <cellXfs count="125">
    <xf numFmtId="0" fontId="0" fillId="0" borderId="0" xfId="0"/>
    <xf numFmtId="176" fontId="8" fillId="0" borderId="1" xfId="1" applyNumberFormat="1" applyFont="1" applyFill="1" applyBorder="1" applyAlignment="1" applyProtection="1">
      <protection locked="0"/>
    </xf>
    <xf numFmtId="0" fontId="1" fillId="0" borderId="1" xfId="1" applyFill="1" applyBorder="1" applyAlignment="1" applyProtection="1">
      <alignment horizontal="center"/>
      <protection locked="0"/>
    </xf>
    <xf numFmtId="0" fontId="1" fillId="0" borderId="1" xfId="1" applyFill="1" applyBorder="1" applyAlignment="1" applyProtection="1">
      <alignment horizontal="left"/>
      <protection locked="0"/>
    </xf>
    <xf numFmtId="0" fontId="8" fillId="0" borderId="1" xfId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3" fillId="0" borderId="1" xfId="1" applyFont="1" applyFill="1" applyBorder="1" applyProtection="1">
      <protection locked="0"/>
    </xf>
    <xf numFmtId="0" fontId="14" fillId="0" borderId="1" xfId="1" applyFont="1" applyFill="1" applyBorder="1" applyProtection="1">
      <protection locked="0"/>
    </xf>
    <xf numFmtId="0" fontId="8" fillId="0" borderId="1" xfId="1" applyFont="1" applyFill="1" applyBorder="1" applyProtection="1">
      <protection locked="0"/>
    </xf>
    <xf numFmtId="176" fontId="17" fillId="0" borderId="1" xfId="1" quotePrefix="1" applyNumberFormat="1" applyFont="1" applyFill="1" applyBorder="1" applyAlignment="1" applyProtection="1">
      <protection locked="0"/>
    </xf>
    <xf numFmtId="0" fontId="18" fillId="0" borderId="1" xfId="0" applyFont="1" applyBorder="1" applyProtection="1">
      <protection locked="0"/>
    </xf>
    <xf numFmtId="0" fontId="0" fillId="0" borderId="16" xfId="0" applyBorder="1" applyAlignment="1" applyProtection="1">
      <alignment wrapText="1"/>
      <protection locked="0"/>
    </xf>
    <xf numFmtId="2" fontId="23" fillId="0" borderId="16" xfId="0" applyNumberFormat="1" applyFont="1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25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8" fillId="0" borderId="0" xfId="0" applyFont="1" applyProtection="1">
      <protection locked="0"/>
    </xf>
    <xf numFmtId="0" fontId="16" fillId="0" borderId="0" xfId="0" applyFont="1" applyProtection="1">
      <protection locked="0"/>
    </xf>
    <xf numFmtId="177" fontId="23" fillId="0" borderId="16" xfId="0" quotePrefix="1" applyNumberFormat="1" applyFont="1" applyBorder="1" applyAlignment="1" applyProtection="1">
      <alignment horizontal="center"/>
      <protection locked="0"/>
    </xf>
    <xf numFmtId="178" fontId="23" fillId="0" borderId="16" xfId="0" applyNumberFormat="1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0" fillId="0" borderId="1" xfId="0" applyBorder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1" applyFont="1" applyFill="1" applyAlignment="1" applyProtection="1">
      <alignment horizontal="center"/>
    </xf>
    <xf numFmtId="0" fontId="11" fillId="0" borderId="0" xfId="0" applyFont="1"/>
    <xf numFmtId="0" fontId="1" fillId="0" borderId="0" xfId="1" applyFill="1" applyProtection="1"/>
    <xf numFmtId="0" fontId="12" fillId="0" borderId="0" xfId="0" applyFont="1"/>
    <xf numFmtId="0" fontId="10" fillId="0" borderId="2" xfId="1" quotePrefix="1" applyFont="1" applyFill="1" applyBorder="1" applyProtection="1"/>
    <xf numFmtId="0" fontId="10" fillId="0" borderId="2" xfId="1" applyFont="1" applyFill="1" applyBorder="1" applyProtection="1"/>
    <xf numFmtId="0" fontId="7" fillId="0" borderId="0" xfId="0" applyFont="1" applyAlignment="1">
      <alignment horizontal="right" vertical="center"/>
    </xf>
    <xf numFmtId="0" fontId="10" fillId="0" borderId="0" xfId="0" applyFont="1"/>
    <xf numFmtId="0" fontId="10" fillId="0" borderId="0" xfId="1" applyFont="1" applyFill="1" applyBorder="1" applyProtection="1"/>
    <xf numFmtId="0" fontId="15" fillId="0" borderId="0" xfId="0" applyFont="1"/>
    <xf numFmtId="176" fontId="17" fillId="0" borderId="0" xfId="1" quotePrefix="1" applyNumberFormat="1" applyFont="1" applyFill="1" applyBorder="1" applyAlignment="1" applyProtection="1"/>
    <xf numFmtId="0" fontId="7" fillId="0" borderId="0" xfId="0" applyFont="1"/>
    <xf numFmtId="0" fontId="7" fillId="0" borderId="0" xfId="0" applyFont="1" applyAlignment="1">
      <alignment horizontal="right"/>
    </xf>
    <xf numFmtId="0" fontId="10" fillId="0" borderId="0" xfId="1" applyFont="1" applyFill="1" applyBorder="1" applyAlignment="1" applyProtection="1">
      <alignment horizontal="center"/>
    </xf>
    <xf numFmtId="0" fontId="6" fillId="0" borderId="0" xfId="0" applyFont="1" applyAlignment="1">
      <alignment horizontal="right"/>
    </xf>
    <xf numFmtId="0" fontId="19" fillId="0" borderId="0" xfId="2" applyProtection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6" xfId="0" applyBorder="1"/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25" fillId="0" borderId="0" xfId="0" applyFont="1"/>
    <xf numFmtId="0" fontId="29" fillId="0" borderId="0" xfId="0" applyFont="1"/>
    <xf numFmtId="0" fontId="26" fillId="0" borderId="0" xfId="0" applyFont="1"/>
    <xf numFmtId="0" fontId="26" fillId="0" borderId="0" xfId="0" applyFont="1" applyAlignment="1">
      <alignment horizontal="center"/>
    </xf>
    <xf numFmtId="0" fontId="27" fillId="0" borderId="0" xfId="0" applyFont="1"/>
    <xf numFmtId="0" fontId="27" fillId="3" borderId="0" xfId="0" applyFont="1" applyFill="1"/>
    <xf numFmtId="0" fontId="0" fillId="3" borderId="0" xfId="0" applyFill="1"/>
    <xf numFmtId="0" fontId="27" fillId="0" borderId="0" xfId="0" applyFont="1" applyAlignment="1">
      <alignment horizontal="center"/>
    </xf>
    <xf numFmtId="0" fontId="21" fillId="0" borderId="0" xfId="0" applyFont="1"/>
    <xf numFmtId="0" fontId="33" fillId="0" borderId="0" xfId="0" applyFont="1" applyProtection="1">
      <protection locked="0"/>
    </xf>
    <xf numFmtId="0" fontId="34" fillId="0" borderId="0" xfId="0" applyFont="1" applyProtection="1">
      <protection locked="0"/>
    </xf>
    <xf numFmtId="0" fontId="34" fillId="0" borderId="0" xfId="0" applyFont="1"/>
    <xf numFmtId="15" fontId="37" fillId="0" borderId="1" xfId="1" quotePrefix="1" applyNumberFormat="1" applyFont="1" applyFill="1" applyBorder="1" applyAlignment="1" applyProtection="1">
      <alignment horizontal="center"/>
      <protection locked="0"/>
    </xf>
    <xf numFmtId="0" fontId="37" fillId="0" borderId="1" xfId="1" applyFont="1" applyFill="1" applyBorder="1" applyProtection="1">
      <protection locked="0"/>
    </xf>
    <xf numFmtId="0" fontId="38" fillId="0" borderId="1" xfId="1" applyFont="1" applyFill="1" applyBorder="1" applyAlignment="1" applyProtection="1">
      <alignment horizontal="left"/>
      <protection locked="0"/>
    </xf>
    <xf numFmtId="0" fontId="39" fillId="0" borderId="1" xfId="1" applyFont="1" applyFill="1" applyBorder="1" applyProtection="1">
      <protection locked="0"/>
    </xf>
    <xf numFmtId="2" fontId="23" fillId="4" borderId="16" xfId="0" applyNumberFormat="1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34" fillId="3" borderId="0" xfId="0" applyFont="1" applyFill="1"/>
    <xf numFmtId="0" fontId="0" fillId="3" borderId="0" xfId="0" applyFill="1" applyAlignment="1">
      <alignment horizontal="center"/>
    </xf>
    <xf numFmtId="0" fontId="0" fillId="0" borderId="16" xfId="0" applyBorder="1" applyAlignment="1" applyProtection="1">
      <alignment horizontal="center"/>
      <protection locked="0"/>
    </xf>
    <xf numFmtId="16" fontId="41" fillId="0" borderId="1" xfId="0" applyNumberFormat="1" applyFont="1" applyBorder="1" applyProtection="1">
      <protection locked="0"/>
    </xf>
    <xf numFmtId="0" fontId="42" fillId="0" borderId="16" xfId="0" applyFont="1" applyBorder="1" applyAlignment="1">
      <alignment horizontal="left"/>
    </xf>
    <xf numFmtId="0" fontId="43" fillId="0" borderId="16" xfId="0" applyFont="1" applyBorder="1"/>
    <xf numFmtId="0" fontId="43" fillId="0" borderId="18" xfId="0" applyFont="1" applyBorder="1" applyAlignment="1">
      <alignment horizontal="center"/>
    </xf>
    <xf numFmtId="3" fontId="44" fillId="0" borderId="16" xfId="0" applyNumberFormat="1" applyFont="1" applyBorder="1" applyAlignment="1">
      <alignment horizontal="center"/>
    </xf>
    <xf numFmtId="1" fontId="44" fillId="0" borderId="16" xfId="0" applyNumberFormat="1" applyFont="1" applyBorder="1" applyAlignment="1">
      <alignment horizontal="center"/>
    </xf>
    <xf numFmtId="0" fontId="44" fillId="0" borderId="16" xfId="0" quotePrefix="1" applyFont="1" applyBorder="1" applyAlignment="1">
      <alignment horizontal="center"/>
    </xf>
    <xf numFmtId="0" fontId="43" fillId="0" borderId="16" xfId="0" applyFont="1" applyBorder="1" applyAlignment="1">
      <alignment horizontal="center"/>
    </xf>
    <xf numFmtId="0" fontId="43" fillId="0" borderId="17" xfId="0" applyFont="1" applyBorder="1" applyAlignment="1">
      <alignment horizontal="center"/>
    </xf>
    <xf numFmtId="0" fontId="44" fillId="0" borderId="17" xfId="0" quotePrefix="1" applyFont="1" applyBorder="1" applyAlignment="1">
      <alignment horizontal="center"/>
    </xf>
    <xf numFmtId="178" fontId="44" fillId="0" borderId="16" xfId="0" applyNumberFormat="1" applyFont="1" applyBorder="1" applyAlignment="1">
      <alignment horizontal="center"/>
    </xf>
    <xf numFmtId="2" fontId="44" fillId="0" borderId="16" xfId="0" applyNumberFormat="1" applyFont="1" applyBorder="1" applyAlignment="1">
      <alignment horizontal="center"/>
    </xf>
    <xf numFmtId="0" fontId="43" fillId="0" borderId="16" xfId="0" applyFont="1" applyBorder="1" applyAlignment="1">
      <alignment horizontal="left"/>
    </xf>
    <xf numFmtId="0" fontId="43" fillId="0" borderId="0" xfId="0" applyFont="1"/>
    <xf numFmtId="0" fontId="0" fillId="3" borderId="0" xfId="0" applyFill="1" applyProtection="1">
      <protection locked="0"/>
    </xf>
    <xf numFmtId="178" fontId="23" fillId="0" borderId="16" xfId="0" quotePrefix="1" applyNumberFormat="1" applyFont="1" applyBorder="1" applyAlignment="1" applyProtection="1">
      <alignment horizontal="center"/>
      <protection locked="0"/>
    </xf>
    <xf numFmtId="0" fontId="0" fillId="0" borderId="16" xfId="0" applyBorder="1" applyAlignment="1">
      <alignment horizontal="left" wrapText="1"/>
    </xf>
    <xf numFmtId="1" fontId="0" fillId="0" borderId="17" xfId="0" applyNumberFormat="1" applyBorder="1" applyAlignment="1" applyProtection="1">
      <alignment horizontal="center" wrapText="1"/>
      <protection locked="0"/>
    </xf>
    <xf numFmtId="1" fontId="0" fillId="0" borderId="16" xfId="0" applyNumberFormat="1" applyBorder="1" applyAlignment="1" applyProtection="1">
      <alignment horizontal="center"/>
      <protection locked="0"/>
    </xf>
    <xf numFmtId="3" fontId="0" fillId="0" borderId="16" xfId="0" applyNumberFormat="1" applyBorder="1" applyAlignment="1" applyProtection="1">
      <alignment horizontal="center"/>
      <protection locked="0"/>
    </xf>
    <xf numFmtId="0" fontId="0" fillId="3" borderId="0" xfId="0" applyFill="1" applyAlignment="1">
      <alignment horizontal="left" wrapText="1" shrinkToFit="1"/>
    </xf>
    <xf numFmtId="0" fontId="0" fillId="0" borderId="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2" fillId="0" borderId="9" xfId="3" applyFont="1" applyBorder="1" applyAlignment="1">
      <alignment horizontal="center" wrapText="1"/>
    </xf>
    <xf numFmtId="0" fontId="22" fillId="0" borderId="15" xfId="3" applyFont="1" applyBorder="1" applyAlignment="1">
      <alignment horizontal="center" wrapText="1"/>
    </xf>
    <xf numFmtId="0" fontId="37" fillId="0" borderId="1" xfId="1" applyFont="1" applyFill="1" applyBorder="1" applyAlignment="1" applyProtection="1">
      <alignment horizontal="left" vertical="center"/>
      <protection locked="0"/>
    </xf>
    <xf numFmtId="0" fontId="37" fillId="0" borderId="1" xfId="1" quotePrefix="1" applyFont="1" applyFill="1" applyBorder="1" applyAlignment="1" applyProtection="1">
      <alignment horizontal="left"/>
      <protection locked="0"/>
    </xf>
    <xf numFmtId="0" fontId="36" fillId="0" borderId="0" xfId="1" applyFont="1" applyFill="1" applyAlignment="1" applyProtection="1">
      <alignment horizontal="center" wrapText="1"/>
      <protection locked="0"/>
    </xf>
    <xf numFmtId="0" fontId="36" fillId="0" borderId="0" xfId="1" applyFont="1" applyFill="1" applyAlignment="1" applyProtection="1">
      <alignment horizontal="center"/>
      <protection locked="0"/>
    </xf>
    <xf numFmtId="0" fontId="20" fillId="0" borderId="0" xfId="0" applyFont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</cellXfs>
  <cellStyles count="5">
    <cellStyle name="Normal 2" xfId="3" xr:uid="{40663C7E-9B0F-4553-AAA3-25DD6F83E063}"/>
    <cellStyle name="常规" xfId="0" builtinId="0"/>
    <cellStyle name="超链接" xfId="2" builtinId="8"/>
    <cellStyle name="适中" xfId="1" builtinId="28"/>
    <cellStyle name="一般 2" xfId="4" xr:uid="{80A79959-6595-484D-B7ED-02CD498F89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22412</xdr:colOff>
      <xdr:row>30</xdr:row>
      <xdr:rowOff>11207</xdr:rowOff>
    </xdr:from>
    <xdr:to>
      <xdr:col>24</xdr:col>
      <xdr:colOff>993079</xdr:colOff>
      <xdr:row>38</xdr:row>
      <xdr:rowOff>70931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AE1363A-7DE5-230D-FCC6-B46B91CDE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6353" y="8157883"/>
          <a:ext cx="7066667" cy="18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AD74-F94C-4E55-8306-320807073C1B}">
  <dimension ref="A3:AA41"/>
  <sheetViews>
    <sheetView tabSelected="1" topLeftCell="A15" zoomScale="85" zoomScaleNormal="85" workbookViewId="0">
      <selection activeCell="T43" sqref="T43"/>
    </sheetView>
  </sheetViews>
  <sheetFormatPr defaultRowHeight="14.25"/>
  <cols>
    <col min="1" max="1" width="21.125" customWidth="1"/>
    <col min="2" max="2" width="12.75" customWidth="1"/>
    <col min="3" max="3" width="22.625" customWidth="1"/>
    <col min="4" max="4" width="7.625" customWidth="1"/>
    <col min="5" max="5" width="9.75" customWidth="1"/>
    <col min="6" max="6" width="8.75" customWidth="1"/>
    <col min="7" max="8" width="6.625" customWidth="1"/>
    <col min="9" max="9" width="7.25" customWidth="1"/>
    <col min="10" max="10" width="5.75" customWidth="1"/>
    <col min="11" max="11" width="7.25" customWidth="1"/>
    <col min="12" max="12" width="2.625" style="5" customWidth="1"/>
    <col min="13" max="13" width="7.625" customWidth="1"/>
    <col min="14" max="14" width="2.125" customWidth="1"/>
    <col min="15" max="15" width="7.375" customWidth="1"/>
    <col min="16" max="16" width="4.375" customWidth="1"/>
    <col min="17" max="17" width="10.625" customWidth="1"/>
    <col min="18" max="18" width="4.75" customWidth="1"/>
    <col min="19" max="19" width="10.75" customWidth="1"/>
    <col min="20" max="20" width="4.75" customWidth="1"/>
    <col min="21" max="21" width="12.75" customWidth="1"/>
    <col min="22" max="22" width="8" customWidth="1"/>
    <col min="23" max="23" width="12.125" customWidth="1"/>
    <col min="24" max="24" width="4.75" customWidth="1"/>
    <col min="25" max="25" width="23.875" customWidth="1"/>
    <col min="26" max="26" width="9" customWidth="1"/>
  </cols>
  <sheetData>
    <row r="3" spans="1:24" ht="69" customHeight="1">
      <c r="A3" s="104" t="s">
        <v>44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</row>
    <row r="4" spans="1:24" ht="26.25">
      <c r="C4" s="25" t="s">
        <v>40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ht="26.25">
      <c r="C5" s="25" t="s">
        <v>39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</row>
    <row r="6" spans="1:24" ht="26.25">
      <c r="A6" s="26" t="s">
        <v>0</v>
      </c>
      <c r="B6" s="22" t="s">
        <v>1</v>
      </c>
      <c r="C6" s="23"/>
      <c r="D6" s="22"/>
      <c r="E6" s="22"/>
      <c r="F6" s="22"/>
      <c r="G6" s="24"/>
      <c r="H6" s="25"/>
      <c r="I6" s="25"/>
      <c r="J6" s="25"/>
      <c r="K6" s="25"/>
      <c r="L6" s="25"/>
      <c r="M6" s="25"/>
      <c r="N6" s="25"/>
      <c r="O6" s="25"/>
      <c r="P6" s="25"/>
      <c r="Q6" s="27"/>
      <c r="R6" s="28"/>
      <c r="S6" s="29" t="s">
        <v>2</v>
      </c>
      <c r="T6" s="1"/>
      <c r="U6" s="68">
        <v>46274</v>
      </c>
      <c r="V6" s="1"/>
      <c r="W6" s="1"/>
      <c r="X6" s="21"/>
    </row>
    <row r="7" spans="1:24" ht="26.25">
      <c r="A7" s="30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7"/>
      <c r="R7" s="27"/>
      <c r="S7" s="31"/>
      <c r="T7" s="32"/>
      <c r="U7" s="32"/>
      <c r="V7" s="32"/>
      <c r="W7" s="32"/>
      <c r="X7" s="25"/>
    </row>
    <row r="8" spans="1:24" ht="26.25">
      <c r="A8" s="26" t="s">
        <v>3</v>
      </c>
      <c r="B8" s="70" t="s">
        <v>50</v>
      </c>
      <c r="C8" s="2"/>
      <c r="D8" s="3"/>
      <c r="E8" s="2"/>
      <c r="F8" s="2"/>
      <c r="G8" s="2"/>
      <c r="H8" s="25"/>
      <c r="I8" s="25"/>
      <c r="J8" s="25"/>
      <c r="K8" s="25"/>
      <c r="L8" s="25"/>
      <c r="M8" s="25"/>
      <c r="N8" s="25"/>
      <c r="O8" s="25"/>
      <c r="P8" s="25"/>
      <c r="Q8" s="27"/>
      <c r="R8" s="27"/>
      <c r="S8" s="29" t="s">
        <v>4</v>
      </c>
      <c r="T8" s="102" t="s">
        <v>52</v>
      </c>
      <c r="U8" s="102"/>
      <c r="V8" s="102"/>
      <c r="W8" s="4"/>
      <c r="X8" s="25"/>
    </row>
    <row r="9" spans="1:24" ht="6" customHeight="1">
      <c r="A9" s="33"/>
      <c r="B9" s="34"/>
      <c r="C9" s="34"/>
      <c r="D9" s="34"/>
      <c r="E9" s="34"/>
      <c r="F9" s="34"/>
      <c r="G9" s="34"/>
      <c r="Q9" s="35"/>
      <c r="R9" s="35"/>
      <c r="S9" s="29"/>
      <c r="T9" s="36"/>
      <c r="U9" s="37"/>
      <c r="V9" s="37"/>
      <c r="W9" s="37"/>
    </row>
    <row r="10" spans="1:24" ht="16.5">
      <c r="A10" s="26" t="s">
        <v>5</v>
      </c>
      <c r="B10" s="71" t="s">
        <v>51</v>
      </c>
      <c r="C10" s="7"/>
      <c r="D10" s="6"/>
      <c r="E10" s="7"/>
      <c r="F10" s="7"/>
      <c r="G10" s="7"/>
      <c r="Q10" s="35"/>
      <c r="R10" s="29"/>
      <c r="S10" s="38" t="s">
        <v>6</v>
      </c>
      <c r="T10" s="103" t="s">
        <v>53</v>
      </c>
      <c r="U10" s="103"/>
      <c r="V10" s="103"/>
      <c r="W10" s="8"/>
    </row>
    <row r="11" spans="1:24" ht="6.75" customHeight="1">
      <c r="Q11" s="35"/>
      <c r="R11" s="39"/>
      <c r="S11" s="39"/>
      <c r="T11" s="40"/>
      <c r="U11" s="40"/>
      <c r="V11" s="40"/>
      <c r="W11" s="40"/>
    </row>
    <row r="12" spans="1:24" ht="15.75">
      <c r="A12" s="41" t="s">
        <v>7</v>
      </c>
      <c r="C12" s="77">
        <v>46274</v>
      </c>
      <c r="D12" s="9"/>
      <c r="E12" s="9"/>
      <c r="F12" s="9"/>
      <c r="G12" s="9"/>
      <c r="H12" s="42"/>
      <c r="I12" s="42"/>
      <c r="J12" s="42"/>
      <c r="K12" s="42"/>
      <c r="Q12" s="35"/>
      <c r="R12" s="43"/>
      <c r="S12" s="44" t="s">
        <v>8</v>
      </c>
      <c r="T12" s="69" t="s">
        <v>54</v>
      </c>
      <c r="U12" s="8"/>
      <c r="V12" s="8"/>
      <c r="W12" s="8"/>
    </row>
    <row r="13" spans="1:24" ht="15.75" customHeight="1">
      <c r="Q13" s="35"/>
      <c r="R13" s="35"/>
      <c r="S13" s="39"/>
      <c r="T13" s="45"/>
      <c r="U13" s="45"/>
      <c r="V13" s="45"/>
      <c r="W13" s="45"/>
    </row>
    <row r="14" spans="1:24" ht="15.75">
      <c r="A14" s="41" t="s">
        <v>9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Q14" s="35"/>
      <c r="R14" s="35"/>
      <c r="S14" s="46" t="s">
        <v>10</v>
      </c>
      <c r="T14" s="69" t="s">
        <v>55</v>
      </c>
      <c r="U14" s="10"/>
      <c r="V14" s="10"/>
      <c r="W14" s="10"/>
    </row>
    <row r="15" spans="1:24">
      <c r="C15" s="47"/>
    </row>
    <row r="16" spans="1:24" ht="30">
      <c r="C16" s="106" t="s">
        <v>11</v>
      </c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</row>
    <row r="17" spans="1:27" ht="15" thickBot="1"/>
    <row r="18" spans="1:27">
      <c r="A18" s="107" t="s">
        <v>12</v>
      </c>
      <c r="B18" s="109" t="s">
        <v>13</v>
      </c>
      <c r="C18" s="111" t="s">
        <v>14</v>
      </c>
      <c r="D18" s="113" t="s">
        <v>15</v>
      </c>
      <c r="E18" s="98" t="s">
        <v>16</v>
      </c>
      <c r="F18" s="98" t="s">
        <v>17</v>
      </c>
      <c r="G18" s="113" t="s">
        <v>18</v>
      </c>
      <c r="H18" s="115"/>
      <c r="I18" s="113" t="s">
        <v>19</v>
      </c>
      <c r="J18" s="115"/>
      <c r="K18" s="117" t="s">
        <v>20</v>
      </c>
      <c r="L18" s="118"/>
      <c r="M18" s="118"/>
      <c r="N18" s="118"/>
      <c r="O18" s="118"/>
      <c r="P18" s="111"/>
      <c r="Q18" s="121" t="s">
        <v>21</v>
      </c>
      <c r="R18" s="122"/>
      <c r="S18" s="117" t="s">
        <v>22</v>
      </c>
      <c r="T18" s="118"/>
      <c r="U18" s="118"/>
      <c r="V18" s="118"/>
      <c r="W18" s="118"/>
      <c r="X18" s="111"/>
      <c r="Y18" s="98" t="s">
        <v>49</v>
      </c>
      <c r="Z18" s="100" t="s">
        <v>23</v>
      </c>
    </row>
    <row r="19" spans="1:27" ht="34.5" customHeight="1" thickBot="1">
      <c r="A19" s="108"/>
      <c r="B19" s="110"/>
      <c r="C19" s="112"/>
      <c r="D19" s="114"/>
      <c r="E19" s="99"/>
      <c r="F19" s="99"/>
      <c r="G19" s="114"/>
      <c r="H19" s="116"/>
      <c r="I19" s="114"/>
      <c r="J19" s="116"/>
      <c r="K19" s="119"/>
      <c r="L19" s="120"/>
      <c r="M19" s="120"/>
      <c r="N19" s="120"/>
      <c r="O19" s="120"/>
      <c r="P19" s="112"/>
      <c r="Q19" s="123"/>
      <c r="R19" s="124"/>
      <c r="S19" s="49" t="s">
        <v>24</v>
      </c>
      <c r="T19" s="50"/>
      <c r="U19" s="51" t="s">
        <v>25</v>
      </c>
      <c r="V19" s="50"/>
      <c r="W19" s="51" t="s">
        <v>26</v>
      </c>
      <c r="X19" s="48"/>
      <c r="Y19" s="99"/>
      <c r="Z19" s="101"/>
    </row>
    <row r="20" spans="1:27" ht="27.75" customHeight="1">
      <c r="A20" s="11" t="str">
        <f>T8</f>
        <v>POHK-26-09966-016</v>
      </c>
      <c r="B20" s="93" t="str">
        <f>T10</f>
        <v>6870-R0-AMZ</v>
      </c>
      <c r="C20" s="94" t="s">
        <v>56</v>
      </c>
      <c r="D20" s="95">
        <v>12</v>
      </c>
      <c r="E20" s="96">
        <v>684</v>
      </c>
      <c r="F20" s="95">
        <f>E20/D20</f>
        <v>57</v>
      </c>
      <c r="G20" s="92">
        <v>2.62</v>
      </c>
      <c r="H20" s="53" t="s">
        <v>27</v>
      </c>
      <c r="I20" s="92">
        <v>2.95</v>
      </c>
      <c r="J20" s="54" t="s">
        <v>28</v>
      </c>
      <c r="K20" s="72">
        <v>32.5</v>
      </c>
      <c r="L20" s="73" t="s">
        <v>29</v>
      </c>
      <c r="M20" s="72">
        <v>20.7</v>
      </c>
      <c r="N20" s="73" t="s">
        <v>29</v>
      </c>
      <c r="O20" s="72">
        <v>33</v>
      </c>
      <c r="P20" s="55" t="s">
        <v>30</v>
      </c>
      <c r="Q20" s="19">
        <f>(K20*M20*O20)/(100*100*100)</f>
        <v>2.2200750000000002E-2</v>
      </c>
      <c r="R20" s="52" t="s">
        <v>31</v>
      </c>
      <c r="S20" s="20">
        <f>ROUND(Q20*F20,3)</f>
        <v>1.2649999999999999</v>
      </c>
      <c r="T20" s="55" t="s">
        <v>31</v>
      </c>
      <c r="U20" s="12">
        <f>G20*F20</f>
        <v>149.34</v>
      </c>
      <c r="V20" s="55" t="s">
        <v>28</v>
      </c>
      <c r="W20" s="12">
        <f>I20*F20</f>
        <v>168.15</v>
      </c>
      <c r="X20" s="55" t="s">
        <v>28</v>
      </c>
      <c r="Y20" s="76" t="s">
        <v>60</v>
      </c>
      <c r="Z20" s="13" t="s">
        <v>45</v>
      </c>
    </row>
    <row r="21" spans="1:27" ht="27.75" customHeight="1">
      <c r="A21" s="11" t="str">
        <f>T8</f>
        <v>POHK-26-09966-016</v>
      </c>
      <c r="B21" s="93" t="str">
        <f>T10</f>
        <v>6870-R0-AMZ</v>
      </c>
      <c r="C21" s="94" t="s">
        <v>57</v>
      </c>
      <c r="D21" s="95">
        <v>12</v>
      </c>
      <c r="E21" s="96">
        <v>2448</v>
      </c>
      <c r="F21" s="95">
        <f>E21/D21</f>
        <v>204</v>
      </c>
      <c r="G21" s="92">
        <v>2.62</v>
      </c>
      <c r="H21" s="53" t="s">
        <v>27</v>
      </c>
      <c r="I21" s="92">
        <v>2.95</v>
      </c>
      <c r="J21" s="54" t="s">
        <v>28</v>
      </c>
      <c r="K21" s="72">
        <v>32.5</v>
      </c>
      <c r="L21" s="73" t="s">
        <v>29</v>
      </c>
      <c r="M21" s="72">
        <v>20.7</v>
      </c>
      <c r="N21" s="73" t="s">
        <v>29</v>
      </c>
      <c r="O21" s="72">
        <v>33</v>
      </c>
      <c r="P21" s="55" t="s">
        <v>30</v>
      </c>
      <c r="Q21" s="19">
        <f>(K21*M21*O21)/(100*100*100)</f>
        <v>2.2200750000000002E-2</v>
      </c>
      <c r="R21" s="52" t="s">
        <v>31</v>
      </c>
      <c r="S21" s="20">
        <f>ROUND(Q21*F21,3)</f>
        <v>4.5289999999999999</v>
      </c>
      <c r="T21" s="55" t="s">
        <v>31</v>
      </c>
      <c r="U21" s="12">
        <f>G21*F21</f>
        <v>534.48</v>
      </c>
      <c r="V21" s="55" t="s">
        <v>28</v>
      </c>
      <c r="W21" s="12">
        <f>I21*F21</f>
        <v>601.80000000000007</v>
      </c>
      <c r="X21" s="55" t="s">
        <v>28</v>
      </c>
      <c r="Y21" s="76" t="s">
        <v>60</v>
      </c>
      <c r="Z21" s="13" t="s">
        <v>45</v>
      </c>
    </row>
    <row r="22" spans="1:27" ht="27.75" customHeight="1">
      <c r="A22" s="11" t="str">
        <f>T8</f>
        <v>POHK-26-09966-016</v>
      </c>
      <c r="B22" s="93" t="str">
        <f>T10</f>
        <v>6870-R0-AMZ</v>
      </c>
      <c r="C22" s="94" t="s">
        <v>58</v>
      </c>
      <c r="D22" s="95">
        <v>12</v>
      </c>
      <c r="E22" s="96">
        <v>2736</v>
      </c>
      <c r="F22" s="95">
        <f>E22/D22</f>
        <v>228</v>
      </c>
      <c r="G22" s="92">
        <v>1.67</v>
      </c>
      <c r="H22" s="53" t="s">
        <v>27</v>
      </c>
      <c r="I22" s="92">
        <v>1.95</v>
      </c>
      <c r="J22" s="54" t="s">
        <v>28</v>
      </c>
      <c r="K22" s="72">
        <v>32.200000000000003</v>
      </c>
      <c r="L22" s="73" t="s">
        <v>29</v>
      </c>
      <c r="M22" s="72">
        <v>26.4</v>
      </c>
      <c r="N22" s="73" t="s">
        <v>29</v>
      </c>
      <c r="O22" s="72">
        <v>17.899999999999999</v>
      </c>
      <c r="P22" s="55" t="s">
        <v>30</v>
      </c>
      <c r="Q22" s="19">
        <f>(K22*M22*O22)/(100*100*100)</f>
        <v>1.5216431999999998E-2</v>
      </c>
      <c r="R22" s="52" t="s">
        <v>31</v>
      </c>
      <c r="S22" s="20">
        <f>ROUND(Q22*F22,3)</f>
        <v>3.4689999999999999</v>
      </c>
      <c r="T22" s="55" t="s">
        <v>31</v>
      </c>
      <c r="U22" s="12">
        <f>G22*F22</f>
        <v>380.76</v>
      </c>
      <c r="V22" s="55" t="s">
        <v>28</v>
      </c>
      <c r="W22" s="12">
        <f>I22*F22</f>
        <v>444.59999999999997</v>
      </c>
      <c r="X22" s="55" t="s">
        <v>28</v>
      </c>
      <c r="Y22" s="76" t="s">
        <v>60</v>
      </c>
      <c r="Z22" s="13" t="s">
        <v>45</v>
      </c>
    </row>
    <row r="23" spans="1:27" ht="27.75" customHeight="1">
      <c r="A23" s="11" t="str">
        <f>T8</f>
        <v>POHK-26-09966-016</v>
      </c>
      <c r="B23" s="93" t="str">
        <f>T10</f>
        <v>6870-R0-AMZ</v>
      </c>
      <c r="C23" s="94" t="s">
        <v>59</v>
      </c>
      <c r="D23" s="95">
        <v>12</v>
      </c>
      <c r="E23" s="96">
        <v>684</v>
      </c>
      <c r="F23" s="95">
        <f>E23/D23</f>
        <v>57</v>
      </c>
      <c r="G23" s="92">
        <v>2.2999999999999998</v>
      </c>
      <c r="H23" s="53" t="s">
        <v>27</v>
      </c>
      <c r="I23" s="92">
        <v>2.4500000000000002</v>
      </c>
      <c r="J23" s="54" t="s">
        <v>28</v>
      </c>
      <c r="K23" s="72">
        <v>29.6</v>
      </c>
      <c r="L23" s="73" t="s">
        <v>29</v>
      </c>
      <c r="M23" s="72">
        <v>21.1</v>
      </c>
      <c r="N23" s="73" t="s">
        <v>29</v>
      </c>
      <c r="O23" s="72">
        <v>30.4</v>
      </c>
      <c r="P23" s="55" t="s">
        <v>30</v>
      </c>
      <c r="Q23" s="19">
        <f>(K23*M23*O23)/(100*100*100)</f>
        <v>1.8986624000000001E-2</v>
      </c>
      <c r="R23" s="52" t="s">
        <v>31</v>
      </c>
      <c r="S23" s="20">
        <f>ROUND(Q23*F23,3)</f>
        <v>1.0820000000000001</v>
      </c>
      <c r="T23" s="55" t="s">
        <v>31</v>
      </c>
      <c r="U23" s="12">
        <f>G23*F23</f>
        <v>131.1</v>
      </c>
      <c r="V23" s="55" t="s">
        <v>28</v>
      </c>
      <c r="W23" s="12">
        <f>I23*F23</f>
        <v>139.65</v>
      </c>
      <c r="X23" s="55" t="s">
        <v>28</v>
      </c>
      <c r="Y23" s="76" t="s">
        <v>60</v>
      </c>
      <c r="Z23" s="13" t="s">
        <v>45</v>
      </c>
    </row>
    <row r="24" spans="1:27" s="90" customFormat="1" ht="29.25" customHeight="1">
      <c r="A24" s="79"/>
      <c r="B24" s="79"/>
      <c r="C24" s="78"/>
      <c r="D24" s="80"/>
      <c r="E24" s="81">
        <f>SUM(E20:E23)</f>
        <v>6552</v>
      </c>
      <c r="F24" s="82">
        <f>SUM(F20:F23)</f>
        <v>546</v>
      </c>
      <c r="G24" s="83"/>
      <c r="H24" s="84"/>
      <c r="I24" s="83"/>
      <c r="J24" s="85"/>
      <c r="K24" s="86"/>
      <c r="L24" s="84"/>
      <c r="M24" s="83"/>
      <c r="N24" s="84"/>
      <c r="O24" s="83"/>
      <c r="P24" s="84"/>
      <c r="Q24" s="83"/>
      <c r="R24" s="79"/>
      <c r="S24" s="87">
        <f>SUM(S20:S23)</f>
        <v>10.345000000000001</v>
      </c>
      <c r="T24" s="84" t="s">
        <v>31</v>
      </c>
      <c r="U24" s="88">
        <f>SUM(U20:U23)</f>
        <v>1195.6799999999998</v>
      </c>
      <c r="V24" s="84" t="s">
        <v>28</v>
      </c>
      <c r="W24" s="88">
        <f>SUM(W20:W23)</f>
        <v>1354.2</v>
      </c>
      <c r="X24" s="84" t="s">
        <v>28</v>
      </c>
      <c r="Y24" s="89"/>
      <c r="Z24" s="84"/>
    </row>
    <row r="26" spans="1:27" ht="15.95" customHeight="1">
      <c r="C26" t="s">
        <v>32</v>
      </c>
      <c r="H26" s="15"/>
      <c r="I26" s="14" t="s">
        <v>46</v>
      </c>
      <c r="J26" s="15"/>
      <c r="K26" s="15"/>
      <c r="L26" s="16"/>
      <c r="M26" s="15"/>
      <c r="N26" s="15"/>
      <c r="O26" s="15"/>
      <c r="P26" s="15"/>
      <c r="Q26" s="15"/>
      <c r="R26" s="15"/>
      <c r="S26" s="15"/>
    </row>
    <row r="27" spans="1:27" ht="15.95" customHeight="1">
      <c r="C27" s="57" t="s">
        <v>36</v>
      </c>
      <c r="I27" s="56"/>
    </row>
    <row r="28" spans="1:27">
      <c r="C28" s="58"/>
      <c r="D28" s="58"/>
      <c r="E28" s="58"/>
      <c r="F28" s="58"/>
      <c r="G28" s="58"/>
      <c r="H28" s="58"/>
      <c r="I28" s="58"/>
      <c r="J28" s="58"/>
      <c r="K28" s="58"/>
      <c r="L28" s="59"/>
      <c r="M28" s="58"/>
      <c r="N28" s="58"/>
      <c r="O28" s="58"/>
    </row>
    <row r="29" spans="1:27">
      <c r="C29" s="58" t="s">
        <v>33</v>
      </c>
      <c r="D29" s="58"/>
      <c r="E29" s="58"/>
      <c r="F29" s="58"/>
      <c r="G29" s="58"/>
      <c r="H29" s="58"/>
      <c r="I29" s="58"/>
      <c r="J29" s="58"/>
      <c r="K29" s="58"/>
      <c r="L29" s="59"/>
      <c r="M29" s="65" t="s">
        <v>42</v>
      </c>
      <c r="N29" s="65"/>
      <c r="O29" s="65"/>
      <c r="P29" s="15"/>
      <c r="Q29" s="15"/>
      <c r="S29" t="s">
        <v>37</v>
      </c>
      <c r="U29" s="15"/>
      <c r="V29" s="15"/>
      <c r="W29" s="15"/>
      <c r="X29" s="15"/>
      <c r="Y29" s="15"/>
      <c r="Z29" s="15"/>
      <c r="AA29" s="15"/>
    </row>
    <row r="30" spans="1:27">
      <c r="C30" s="58" t="s">
        <v>34</v>
      </c>
      <c r="D30" s="58"/>
      <c r="E30" s="58"/>
      <c r="F30" s="58"/>
      <c r="G30" s="58"/>
      <c r="H30" s="58"/>
      <c r="I30" s="58"/>
      <c r="J30" s="58"/>
      <c r="K30" s="58"/>
      <c r="L30" s="59"/>
      <c r="M30" s="66" t="s">
        <v>42</v>
      </c>
      <c r="N30" s="66"/>
      <c r="O30" s="66"/>
      <c r="P30" s="15"/>
      <c r="Q30" s="15"/>
      <c r="U30" s="15"/>
      <c r="V30" s="15"/>
      <c r="W30" s="15"/>
      <c r="X30" s="15"/>
      <c r="Y30" s="15"/>
      <c r="Z30" s="15"/>
      <c r="AA30" s="15"/>
    </row>
    <row r="31" spans="1:27">
      <c r="C31" s="58" t="s">
        <v>43</v>
      </c>
      <c r="D31" s="58"/>
      <c r="E31" s="58"/>
      <c r="F31" s="58"/>
      <c r="G31" s="58"/>
      <c r="H31" s="58"/>
      <c r="I31" s="58"/>
      <c r="J31" s="58"/>
      <c r="K31" s="58"/>
      <c r="L31" s="59"/>
      <c r="M31" s="67" t="s">
        <v>42</v>
      </c>
      <c r="N31" s="67"/>
      <c r="O31" s="67"/>
      <c r="U31" s="15"/>
      <c r="V31" s="15"/>
      <c r="W31" s="15"/>
      <c r="X31" s="15"/>
      <c r="Y31" s="15"/>
      <c r="Z31" s="15"/>
      <c r="AA31" s="15"/>
    </row>
    <row r="32" spans="1:27">
      <c r="C32" s="58"/>
      <c r="D32" s="58"/>
      <c r="E32" s="58"/>
      <c r="F32" s="58"/>
      <c r="G32" s="58"/>
      <c r="H32" s="58"/>
      <c r="I32" s="58"/>
      <c r="J32" s="58"/>
      <c r="K32" s="58"/>
      <c r="L32" s="59"/>
      <c r="M32" s="58"/>
      <c r="N32" s="60"/>
      <c r="O32" s="60"/>
      <c r="U32" s="15"/>
      <c r="V32" s="15"/>
      <c r="W32" s="15"/>
      <c r="X32" s="15"/>
      <c r="Y32" s="15"/>
      <c r="Z32" s="15"/>
      <c r="AA32" s="15"/>
    </row>
    <row r="33" spans="3:27">
      <c r="C33" s="61" t="s">
        <v>35</v>
      </c>
      <c r="D33" s="62"/>
      <c r="E33" s="62"/>
      <c r="F33" s="62"/>
      <c r="G33" s="62"/>
      <c r="H33" s="60"/>
      <c r="I33" s="60"/>
      <c r="J33" s="60"/>
      <c r="K33" s="60"/>
      <c r="L33" s="63"/>
      <c r="M33" s="60"/>
      <c r="N33" s="60"/>
      <c r="O33" s="60"/>
      <c r="U33" s="15"/>
      <c r="V33" s="15"/>
      <c r="W33" s="15"/>
      <c r="X33" s="15"/>
      <c r="Y33" s="15"/>
      <c r="Z33" s="15"/>
      <c r="AA33" s="15"/>
    </row>
    <row r="34" spans="3:27">
      <c r="C34" s="62" t="s">
        <v>47</v>
      </c>
      <c r="D34" s="74"/>
      <c r="E34" s="74"/>
      <c r="F34" s="62"/>
      <c r="G34" s="62"/>
      <c r="H34" s="62"/>
      <c r="I34" s="62"/>
      <c r="J34" s="62"/>
      <c r="K34" s="62"/>
      <c r="L34" s="62"/>
      <c r="M34" s="75"/>
      <c r="N34" s="62"/>
      <c r="P34" s="64"/>
      <c r="U34" s="15"/>
      <c r="V34" s="15"/>
      <c r="W34" s="15"/>
      <c r="X34" s="15"/>
      <c r="Y34" s="15"/>
      <c r="Z34" s="15"/>
      <c r="AA34" s="15"/>
    </row>
    <row r="35" spans="3:27" ht="39.75" customHeight="1">
      <c r="C35" s="97" t="s">
        <v>48</v>
      </c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U35" s="15"/>
      <c r="V35" s="15"/>
      <c r="W35" s="15"/>
      <c r="X35" s="15"/>
      <c r="Y35" s="15"/>
      <c r="Z35" s="15"/>
      <c r="AA35" s="15"/>
    </row>
    <row r="36" spans="3:27">
      <c r="C36" s="17"/>
      <c r="D36" s="18"/>
      <c r="E36" s="18"/>
      <c r="F36" s="18"/>
      <c r="G36" s="18"/>
      <c r="H36" s="15"/>
      <c r="I36" s="15"/>
      <c r="J36" s="15"/>
      <c r="K36" s="15"/>
      <c r="L36" s="15"/>
      <c r="M36" s="15"/>
      <c r="U36" s="15"/>
      <c r="V36" s="15"/>
      <c r="W36" s="15"/>
      <c r="X36" s="15"/>
      <c r="Y36" s="15"/>
      <c r="Z36" s="15"/>
      <c r="AA36" s="15"/>
    </row>
    <row r="37" spans="3:27">
      <c r="C37" s="61" t="s">
        <v>38</v>
      </c>
      <c r="D37" s="18" t="s">
        <v>41</v>
      </c>
      <c r="E37" s="18"/>
      <c r="F37" s="18"/>
      <c r="G37" s="18"/>
      <c r="H37" s="15"/>
      <c r="I37" s="15"/>
      <c r="J37" s="15"/>
      <c r="K37" s="15"/>
      <c r="U37" s="15"/>
      <c r="V37" s="15"/>
      <c r="W37" s="15"/>
      <c r="X37" s="15"/>
      <c r="Y37" s="15"/>
      <c r="Z37" s="15"/>
      <c r="AA37" s="15"/>
    </row>
    <row r="38" spans="3:27">
      <c r="C38" s="91">
        <v>635200</v>
      </c>
      <c r="D38" s="15"/>
      <c r="E38" s="15"/>
      <c r="F38" s="15"/>
      <c r="G38" s="15"/>
      <c r="H38" s="15"/>
      <c r="I38" s="15"/>
      <c r="J38" s="15"/>
      <c r="K38" s="15"/>
      <c r="L38" s="16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3:27">
      <c r="C39" s="15"/>
      <c r="D39" s="15"/>
      <c r="E39" s="15"/>
      <c r="F39" s="15"/>
      <c r="G39" s="15"/>
      <c r="H39" s="15"/>
      <c r="I39" s="15"/>
      <c r="J39" s="15"/>
      <c r="K39" s="15"/>
      <c r="L39" s="16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3:27">
      <c r="C40" s="15"/>
      <c r="D40" s="15"/>
      <c r="E40" s="15"/>
      <c r="F40" s="15"/>
      <c r="G40" s="15"/>
      <c r="H40" s="15"/>
      <c r="I40" s="15"/>
      <c r="J40" s="15"/>
      <c r="K40" s="15"/>
      <c r="L40" s="16"/>
      <c r="M40" s="15"/>
      <c r="N40" s="15"/>
      <c r="O40" s="15"/>
      <c r="P40" s="15"/>
      <c r="Q40" s="15"/>
      <c r="R40" s="15"/>
      <c r="S40" s="15"/>
      <c r="T40" s="15"/>
    </row>
    <row r="41" spans="3:27">
      <c r="C41" s="15"/>
      <c r="D41" s="15"/>
      <c r="E41" s="15"/>
      <c r="F41" s="15"/>
      <c r="G41" s="15"/>
      <c r="H41" s="15"/>
      <c r="I41" s="15"/>
      <c r="J41" s="15"/>
      <c r="K41" s="15"/>
      <c r="L41" s="16"/>
      <c r="M41" s="15"/>
      <c r="N41" s="15"/>
      <c r="O41" s="15"/>
      <c r="P41" s="15"/>
      <c r="Q41" s="15"/>
      <c r="R41" s="15"/>
      <c r="S41" s="15"/>
      <c r="T41" s="15"/>
    </row>
  </sheetData>
  <mergeCells count="18">
    <mergeCell ref="A3:X3"/>
    <mergeCell ref="C16:X16"/>
    <mergeCell ref="A18:A19"/>
    <mergeCell ref="B18:B19"/>
    <mergeCell ref="C18:C19"/>
    <mergeCell ref="D18:D19"/>
    <mergeCell ref="E18:E19"/>
    <mergeCell ref="F18:F19"/>
    <mergeCell ref="G18:H19"/>
    <mergeCell ref="I18:J19"/>
    <mergeCell ref="K18:P19"/>
    <mergeCell ref="Q18:R19"/>
    <mergeCell ref="S18:X18"/>
    <mergeCell ref="C35:N35"/>
    <mergeCell ref="Y18:Y19"/>
    <mergeCell ref="Z18:Z19"/>
    <mergeCell ref="T8:V8"/>
    <mergeCell ref="T10:V10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5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jpjp</dc:subject>
  <dc:creator>Terry Ma</dc:creator>
  <dc:description>jpjp</dc:description>
  <cp:lastModifiedBy>yun qiu</cp:lastModifiedBy>
  <cp:lastPrinted>2026-08-06T02:31:18Z</cp:lastPrinted>
  <dcterms:created xsi:type="dcterms:W3CDTF">2026-07-30T01:48:17Z</dcterms:created>
  <dcterms:modified xsi:type="dcterms:W3CDTF">2026-09-11T17:36:24Z</dcterms:modified>
</cp:coreProperties>
</file>