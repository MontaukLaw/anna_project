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san\Nutstore\1\将要出货\000------------将要出货\JP\9-4 JP Just Play LLC  (15235）11369  309件-以星仓-截-9.3-9.5中午12点（验货OK）丰盈永旺\"/>
    </mc:Choice>
  </mc:AlternateContent>
  <xr:revisionPtr revIDLastSave="0" documentId="13_ncr:1_{D1951E48-2CCD-4087-AE42-39C2099018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nm.Print_Area" localSheetId="0">Sheet1!$A$1:$Y$25</definedName>
    <definedName name="_xlnm.Print_Titles" localSheetId="0">Sheet1!$1:$3</definedName>
  </definedNames>
  <calcPr calcId="191029"/>
</workbook>
</file>

<file path=xl/calcChain.xml><?xml version="1.0" encoding="utf-8"?>
<calcChain xmlns="http://schemas.openxmlformats.org/spreadsheetml/2006/main">
  <c r="J6" i="1" l="1"/>
  <c r="R6" i="1" s="1"/>
  <c r="P6" i="1" l="1"/>
  <c r="Q6" i="1"/>
  <c r="H16" i="1"/>
  <c r="J11" i="1" l="1"/>
  <c r="R11" i="1" s="1"/>
  <c r="J10" i="1"/>
  <c r="R10" i="1" s="1"/>
  <c r="J14" i="1"/>
  <c r="R14" i="1" s="1"/>
  <c r="J9" i="1"/>
  <c r="R9" i="1" s="1"/>
  <c r="J15" i="1"/>
  <c r="R15" i="1" s="1"/>
  <c r="J12" i="1"/>
  <c r="R12" i="1" s="1"/>
  <c r="J13" i="1"/>
  <c r="R13" i="1" s="1"/>
  <c r="J8" i="1"/>
  <c r="R8" i="1" s="1"/>
  <c r="J7" i="1"/>
  <c r="R7" i="1" s="1"/>
  <c r="J5" i="1"/>
  <c r="Q22" i="1"/>
  <c r="R5" i="1" l="1"/>
  <c r="P11" i="1"/>
  <c r="Q11" i="1"/>
  <c r="P10" i="1"/>
  <c r="Q10" i="1"/>
  <c r="P14" i="1"/>
  <c r="Q14" i="1"/>
  <c r="Q15" i="1"/>
  <c r="P15" i="1"/>
  <c r="Q9" i="1"/>
  <c r="P9" i="1"/>
  <c r="Q12" i="1"/>
  <c r="P12" i="1"/>
  <c r="P13" i="1"/>
  <c r="Q13" i="1"/>
  <c r="Q8" i="1"/>
  <c r="P8" i="1"/>
  <c r="P7" i="1"/>
  <c r="Q7" i="1"/>
  <c r="P5" i="1"/>
  <c r="Q5" i="1"/>
  <c r="J4" i="1"/>
  <c r="J16" i="1" s="1"/>
  <c r="R4" i="1" l="1"/>
  <c r="R16" i="1" s="1"/>
  <c r="P4" i="1"/>
  <c r="P16" i="1" s="1"/>
  <c r="Q4" i="1"/>
  <c r="Q16" i="1" s="1"/>
</calcChain>
</file>

<file path=xl/sharedStrings.xml><?xml version="1.0" encoding="utf-8"?>
<sst xmlns="http://schemas.openxmlformats.org/spreadsheetml/2006/main" count="159" uniqueCount="59">
  <si>
    <r>
      <rPr>
        <b/>
        <sz val="20"/>
        <rFont val="Calibri"/>
        <family val="2"/>
      </rPr>
      <t>装</t>
    </r>
    <r>
      <rPr>
        <b/>
        <sz val="20"/>
        <rFont val="Calibri"/>
        <family val="2"/>
      </rPr>
      <t xml:space="preserve">  </t>
    </r>
    <r>
      <rPr>
        <b/>
        <sz val="20"/>
        <rFont val="宋体"/>
        <family val="3"/>
        <charset val="134"/>
      </rPr>
      <t>箱</t>
    </r>
    <r>
      <rPr>
        <b/>
        <sz val="20"/>
        <rFont val="Calibri"/>
        <family val="2"/>
      </rPr>
      <t xml:space="preserve">  </t>
    </r>
    <r>
      <rPr>
        <b/>
        <sz val="20"/>
        <rFont val="宋体"/>
        <family val="3"/>
        <charset val="134"/>
      </rPr>
      <t>清</t>
    </r>
    <r>
      <rPr>
        <b/>
        <sz val="20"/>
        <rFont val="Calibri"/>
        <family val="2"/>
      </rPr>
      <t xml:space="preserve">  </t>
    </r>
    <r>
      <rPr>
        <b/>
        <sz val="20"/>
        <rFont val="宋体"/>
        <family val="3"/>
        <charset val="134"/>
      </rPr>
      <t>单</t>
    </r>
  </si>
  <si>
    <t>Customer</t>
  </si>
  <si>
    <t>PO#</t>
  </si>
  <si>
    <t>CUSTOMER ORDER NO.</t>
  </si>
  <si>
    <t>Item#</t>
  </si>
  <si>
    <t>Customer Item No.:</t>
  </si>
  <si>
    <t>Description</t>
  </si>
  <si>
    <t>no.of ctn</t>
  </si>
  <si>
    <t>Measurement/ctn (L/W/H ) cm</t>
  </si>
  <si>
    <t>NW/CTN</t>
  </si>
  <si>
    <t>GW/CTN</t>
  </si>
  <si>
    <t>NW</t>
  </si>
  <si>
    <t>GW</t>
  </si>
  <si>
    <t>CBM</t>
  </si>
  <si>
    <t>品牌</t>
  </si>
  <si>
    <t>单价</t>
  </si>
  <si>
    <t>表面材质</t>
  </si>
  <si>
    <t>出货日期</t>
  </si>
  <si>
    <t>SO</t>
  </si>
  <si>
    <t>KGS</t>
  </si>
  <si>
    <t>USD</t>
  </si>
  <si>
    <t>出口方式：</t>
  </si>
  <si>
    <t>出口国家：</t>
  </si>
  <si>
    <t>出货期：</t>
  </si>
  <si>
    <t>运输：</t>
  </si>
  <si>
    <t>车牌：</t>
  </si>
  <si>
    <t>Qty/Ctn</t>
    <phoneticPr fontId="15" type="noConversion"/>
  </si>
  <si>
    <t>Qty/PCS</t>
    <phoneticPr fontId="15" type="noConversion"/>
  </si>
  <si>
    <t>包装方式</t>
    <phoneticPr fontId="15" type="noConversion"/>
  </si>
  <si>
    <r>
      <rPr>
        <b/>
        <sz val="12"/>
        <color rgb="FFFF0000"/>
        <rFont val="Calibri"/>
        <family val="2"/>
      </rPr>
      <t>Total</t>
    </r>
    <r>
      <rPr>
        <b/>
        <sz val="12"/>
        <color rgb="FFFF0000"/>
        <rFont val="宋体"/>
        <family val="3"/>
        <charset val="134"/>
      </rPr>
      <t>：</t>
    </r>
  </si>
  <si>
    <t>散货入 以星仓/清关</t>
    <phoneticPr fontId="15" type="noConversion"/>
  </si>
  <si>
    <t xml:space="preserve"> 投影米奇</t>
  </si>
  <si>
    <t>Disney</t>
  </si>
  <si>
    <t>毛绒</t>
  </si>
  <si>
    <t>Mickey Mouse Oh Toodles Feature Plush</t>
    <phoneticPr fontId="15" type="noConversion"/>
  </si>
  <si>
    <r>
      <rPr>
        <b/>
        <sz val="12"/>
        <color indexed="10"/>
        <rFont val="宋体"/>
        <family val="3"/>
        <charset val="134"/>
      </rPr>
      <t>温馨提示：</t>
    </r>
    <r>
      <rPr>
        <b/>
        <sz val="12"/>
        <color indexed="10"/>
        <rFont val="Calibri"/>
        <family val="2"/>
      </rPr>
      <t xml:space="preserve">
</t>
    </r>
    <r>
      <rPr>
        <b/>
        <sz val="12"/>
        <color indexed="10"/>
        <rFont val="宋体"/>
        <family val="3"/>
        <charset val="134"/>
      </rPr>
      <t>如外箱有箭头标识时，装货一定要箭头朝上，否则货到保税仓会有费用产生，谢谢。</t>
    </r>
    <phoneticPr fontId="15" type="noConversion"/>
  </si>
  <si>
    <t>货已下常平</t>
    <phoneticPr fontId="15" type="noConversion"/>
  </si>
  <si>
    <t>丰盈永旺</t>
    <phoneticPr fontId="15" type="noConversion"/>
  </si>
  <si>
    <t>Just Play LLC</t>
    <phoneticPr fontId="15" type="noConversion"/>
  </si>
  <si>
    <t>11369-000-1J-004-OPB</t>
    <phoneticPr fontId="15" type="noConversion"/>
  </si>
  <si>
    <t>美国</t>
    <phoneticPr fontId="15" type="noConversion"/>
  </si>
  <si>
    <r>
      <t>1PC/</t>
    </r>
    <r>
      <rPr>
        <sz val="10"/>
        <rFont val="微软雅黑"/>
        <family val="2"/>
        <charset val="134"/>
      </rPr>
      <t>彩盒，</t>
    </r>
    <r>
      <rPr>
        <sz val="10"/>
        <rFont val="Calibri"/>
        <family val="2"/>
      </rPr>
      <t>4PC/</t>
    </r>
    <r>
      <rPr>
        <sz val="10"/>
        <rFont val="微软雅黑"/>
        <family val="2"/>
        <charset val="134"/>
      </rPr>
      <t>外箱</t>
    </r>
    <phoneticPr fontId="15" type="noConversion"/>
  </si>
  <si>
    <t>POHK-26-15235-008</t>
    <phoneticPr fontId="15" type="noConversion"/>
  </si>
  <si>
    <t>6933-R0-MACYS</t>
    <phoneticPr fontId="15" type="noConversion"/>
  </si>
  <si>
    <t>ZLC26-2192</t>
    <phoneticPr fontId="15" type="noConversion"/>
  </si>
  <si>
    <t>ZLC26-2199</t>
    <phoneticPr fontId="15" type="noConversion"/>
  </si>
  <si>
    <t>ZLC26-2181</t>
    <phoneticPr fontId="15" type="noConversion"/>
  </si>
  <si>
    <t>ZLC26-2235</t>
    <phoneticPr fontId="15" type="noConversion"/>
  </si>
  <si>
    <t>ZLC26-2318</t>
    <phoneticPr fontId="15" type="noConversion"/>
  </si>
  <si>
    <t>ZLC26-2384</t>
    <phoneticPr fontId="15" type="noConversion"/>
  </si>
  <si>
    <r>
      <t>1236PCS/309</t>
    </r>
    <r>
      <rPr>
        <sz val="12"/>
        <rFont val="宋体"/>
        <family val="2"/>
        <charset val="134"/>
      </rPr>
      <t>箱</t>
    </r>
    <phoneticPr fontId="15" type="noConversion"/>
  </si>
  <si>
    <t>ZLC26-2436</t>
    <phoneticPr fontId="15" type="noConversion"/>
  </si>
  <si>
    <t>ZLC26-2398</t>
    <phoneticPr fontId="15" type="noConversion"/>
  </si>
  <si>
    <t>ZLC26-2403</t>
    <phoneticPr fontId="15" type="noConversion"/>
  </si>
  <si>
    <t>ZLC26-2363</t>
    <phoneticPr fontId="15" type="noConversion"/>
  </si>
  <si>
    <t>ZLC26-2453</t>
    <phoneticPr fontId="15" type="noConversion"/>
  </si>
  <si>
    <t>ZLC26-2488</t>
    <phoneticPr fontId="15" type="noConversion"/>
  </si>
  <si>
    <t>粤BEC695</t>
    <phoneticPr fontId="15" type="noConversion"/>
  </si>
  <si>
    <t xml:space="preserve"> CUSTOMER PO #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</si>
</sst>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_ "/>
    <numFmt numFmtId="178" formatCode="0.000_ "/>
  </numFmts>
  <fonts count="32" x14ac:knownFonts="1">
    <font>
      <sz val="12"/>
      <name val="宋体"/>
      <charset val="134"/>
    </font>
    <font>
      <sz val="12"/>
      <name val="Calibri"/>
      <family val="2"/>
    </font>
    <font>
      <b/>
      <sz val="2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宋体"/>
      <family val="3"/>
      <charset val="134"/>
    </font>
    <font>
      <u/>
      <sz val="12"/>
      <name val="Calibri"/>
      <family val="2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20"/>
      <name val="宋体"/>
      <family val="3"/>
      <charset val="134"/>
    </font>
    <font>
      <b/>
      <sz val="10"/>
      <name val="宋体"/>
      <family val="3"/>
      <charset val="134"/>
    </font>
    <font>
      <sz val="18"/>
      <name val="宋体"/>
      <family val="3"/>
      <charset val="134"/>
    </font>
    <font>
      <sz val="10"/>
      <name val="Arial"/>
      <family val="2"/>
    </font>
    <font>
      <sz val="11"/>
      <color rgb="FF9C6500"/>
      <name val="宋体"/>
      <family val="3"/>
      <charset val="134"/>
      <scheme val="minor"/>
    </font>
    <font>
      <b/>
      <sz val="20"/>
      <name val="宋体"/>
      <family val="3"/>
      <charset val="134"/>
    </font>
    <font>
      <sz val="9"/>
      <name val="宋体"/>
      <family val="3"/>
      <charset val="134"/>
    </font>
    <font>
      <b/>
      <sz val="10"/>
      <name val="宋体"/>
      <family val="2"/>
      <charset val="134"/>
    </font>
    <font>
      <b/>
      <sz val="12"/>
      <color rgb="FFFF0000"/>
      <name val="Calibri"/>
      <family val="2"/>
    </font>
    <font>
      <b/>
      <sz val="12"/>
      <color rgb="FFFF0000"/>
      <name val="宋体"/>
      <family val="3"/>
      <charset val="134"/>
    </font>
    <font>
      <sz val="11"/>
      <name val="Calibri"/>
      <family val="2"/>
    </font>
    <font>
      <sz val="11"/>
      <name val="宋体"/>
      <family val="3"/>
      <charset val="134"/>
    </font>
    <font>
      <sz val="12"/>
      <name val="宋体"/>
      <family val="2"/>
      <charset val="134"/>
    </font>
    <font>
      <sz val="18"/>
      <name val="宋体"/>
      <family val="2"/>
      <charset val="134"/>
    </font>
    <font>
      <sz val="9"/>
      <color rgb="FF000000"/>
      <name val="Arial"/>
      <family val="2"/>
    </font>
    <font>
      <sz val="10"/>
      <color rgb="FF212121"/>
      <name val="宋体"/>
      <family val="3"/>
      <charset val="134"/>
    </font>
    <font>
      <b/>
      <u/>
      <sz val="12"/>
      <color rgb="FFFF0000"/>
      <name val="宋体"/>
      <family val="2"/>
      <charset val="134"/>
    </font>
    <font>
      <sz val="10"/>
      <name val="微软雅黑"/>
      <family val="2"/>
      <charset val="134"/>
    </font>
    <font>
      <b/>
      <sz val="10"/>
      <color rgb="FFFF0000"/>
      <name val="Calibri"/>
      <family val="2"/>
    </font>
    <font>
      <b/>
      <sz val="12"/>
      <color indexed="10"/>
      <name val="Calibri"/>
      <family val="2"/>
    </font>
    <font>
      <b/>
      <sz val="12"/>
      <color indexed="10"/>
      <name val="宋体"/>
      <family val="3"/>
      <charset val="134"/>
    </font>
    <font>
      <b/>
      <sz val="10"/>
      <color theme="1"/>
      <name val="Calibri"/>
      <family val="2"/>
    </font>
    <font>
      <sz val="11"/>
      <name val="宋体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>
      <alignment vertical="center"/>
    </xf>
    <xf numFmtId="0" fontId="12" fillId="0" borderId="0"/>
    <xf numFmtId="0" fontId="13" fillId="4" borderId="0" applyNumberFormat="0" applyBorder="0" applyAlignment="0" applyProtection="0"/>
    <xf numFmtId="0" fontId="7" fillId="0" borderId="0">
      <alignment vertical="center"/>
    </xf>
  </cellStyleXfs>
  <cellXfs count="101">
    <xf numFmtId="0" fontId="0" fillId="0" borderId="0" xfId="0">
      <alignment vertical="center"/>
    </xf>
    <xf numFmtId="0" fontId="1" fillId="0" borderId="0" xfId="0" applyFont="1" applyAlignment="1">
      <alignment horizontal="center" vertical="center" shrinkToFit="1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vertical="center" wrapText="1" shrinkToFit="1"/>
    </xf>
    <xf numFmtId="0" fontId="1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3" fontId="9" fillId="2" borderId="0" xfId="0" applyNumberFormat="1" applyFont="1" applyFill="1" applyAlignment="1">
      <alignment vertical="center" wrapText="1" shrinkToFit="1"/>
    </xf>
    <xf numFmtId="0" fontId="7" fillId="2" borderId="0" xfId="0" applyFont="1" applyFill="1">
      <alignment vertical="center"/>
    </xf>
    <xf numFmtId="3" fontId="4" fillId="2" borderId="0" xfId="0" applyNumberFormat="1" applyFont="1" applyFill="1" applyAlignment="1">
      <alignment vertical="center" wrapText="1" shrinkToFit="1"/>
    </xf>
    <xf numFmtId="0" fontId="3" fillId="0" borderId="1" xfId="0" applyFont="1" applyBorder="1" applyAlignment="1">
      <alignment horizontal="center" wrapText="1" shrinkToFit="1"/>
    </xf>
    <xf numFmtId="0" fontId="3" fillId="0" borderId="1" xfId="0" applyFont="1" applyBorder="1" applyAlignment="1">
      <alignment horizontal="center" shrinkToFit="1"/>
    </xf>
    <xf numFmtId="0" fontId="3" fillId="0" borderId="2" xfId="0" applyFont="1" applyBorder="1" applyAlignment="1">
      <alignment horizontal="center" vertical="top" wrapText="1" shrinkToFit="1"/>
    </xf>
    <xf numFmtId="0" fontId="3" fillId="0" borderId="2" xfId="0" applyFont="1" applyBorder="1" applyAlignment="1">
      <alignment horizontal="center" vertical="top" shrinkToFit="1"/>
    </xf>
    <xf numFmtId="0" fontId="4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 shrinkToFit="1"/>
    </xf>
    <xf numFmtId="58" fontId="1" fillId="2" borderId="0" xfId="0" applyNumberFormat="1" applyFont="1" applyFill="1" applyAlignment="1">
      <alignment horizontal="left" vertical="center" shrinkToFit="1"/>
    </xf>
    <xf numFmtId="0" fontId="1" fillId="2" borderId="0" xfId="0" applyFont="1" applyFill="1">
      <alignment vertical="center"/>
    </xf>
    <xf numFmtId="0" fontId="5" fillId="2" borderId="0" xfId="0" applyFont="1" applyFill="1" applyAlignment="1">
      <alignment horizontal="left" vertical="center"/>
    </xf>
    <xf numFmtId="58" fontId="7" fillId="2" borderId="0" xfId="0" applyNumberFormat="1" applyFont="1" applyFill="1" applyAlignment="1">
      <alignment horizontal="left" vertical="center" shrinkToFit="1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shrinkToFit="1"/>
    </xf>
    <xf numFmtId="0" fontId="5" fillId="0" borderId="0" xfId="0" applyFont="1" applyAlignment="1">
      <alignment vertical="center" shrinkToFit="1"/>
    </xf>
    <xf numFmtId="0" fontId="4" fillId="0" borderId="0" xfId="0" applyFont="1">
      <alignment vertical="center"/>
    </xf>
    <xf numFmtId="58" fontId="1" fillId="0" borderId="0" xfId="0" applyNumberFormat="1" applyFont="1" applyAlignment="1">
      <alignment horizontal="left" vertical="center" shrinkToFit="1"/>
    </xf>
    <xf numFmtId="0" fontId="5" fillId="0" borderId="0" xfId="0" applyFont="1" applyAlignment="1">
      <alignment horizontal="left" vertical="center"/>
    </xf>
    <xf numFmtId="58" fontId="7" fillId="3" borderId="0" xfId="0" applyNumberFormat="1" applyFont="1" applyFill="1" applyAlignment="1">
      <alignment horizontal="left" vertical="center" shrinkToFit="1"/>
    </xf>
    <xf numFmtId="0" fontId="1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3" fillId="3" borderId="5" xfId="0" applyFont="1" applyFill="1" applyBorder="1" applyAlignment="1">
      <alignment horizontal="center" shrinkToFit="1"/>
    </xf>
    <xf numFmtId="0" fontId="10" fillId="3" borderId="3" xfId="0" applyFont="1" applyFill="1" applyBorder="1" applyAlignment="1">
      <alignment horizontal="center" vertical="center" shrinkToFit="1"/>
    </xf>
    <xf numFmtId="0" fontId="17" fillId="0" borderId="0" xfId="0" applyFont="1" applyAlignment="1">
      <alignment vertical="center" shrinkToFit="1"/>
    </xf>
    <xf numFmtId="0" fontId="17" fillId="2" borderId="0" xfId="0" applyFont="1" applyFill="1" applyAlignment="1">
      <alignment horizontal="center" vertical="center" shrinkToFit="1"/>
    </xf>
    <xf numFmtId="0" fontId="17" fillId="0" borderId="0" xfId="0" applyFont="1">
      <alignment vertical="center"/>
    </xf>
    <xf numFmtId="0" fontId="18" fillId="2" borderId="4" xfId="0" applyFont="1" applyFill="1" applyBorder="1" applyAlignment="1">
      <alignment horizontal="center" vertical="center" wrapText="1" shrinkToFit="1"/>
    </xf>
    <xf numFmtId="0" fontId="17" fillId="2" borderId="1" xfId="0" applyFont="1" applyFill="1" applyBorder="1" applyAlignment="1">
      <alignment horizontal="center" vertical="center" shrinkToFit="1"/>
    </xf>
    <xf numFmtId="176" fontId="17" fillId="2" borderId="0" xfId="0" applyNumberFormat="1" applyFont="1" applyFill="1" applyAlignment="1">
      <alignment horizontal="center" vertical="center" shrinkToFit="1"/>
    </xf>
    <xf numFmtId="176" fontId="17" fillId="2" borderId="4" xfId="0" applyNumberFormat="1" applyFont="1" applyFill="1" applyBorder="1" applyAlignment="1">
      <alignment horizontal="center" vertical="center" shrinkToFit="1"/>
    </xf>
    <xf numFmtId="2" fontId="17" fillId="2" borderId="4" xfId="0" applyNumberFormat="1" applyFont="1" applyFill="1" applyBorder="1" applyAlignment="1">
      <alignment horizontal="center" vertical="center" shrinkToFit="1"/>
    </xf>
    <xf numFmtId="0" fontId="17" fillId="2" borderId="0" xfId="0" applyFont="1" applyFill="1" applyAlignment="1">
      <alignment horizontal="center" vertical="center"/>
    </xf>
    <xf numFmtId="3" fontId="4" fillId="0" borderId="0" xfId="0" applyNumberFormat="1" applyFont="1" applyAlignment="1">
      <alignment vertical="center" wrapText="1" shrinkToFit="1"/>
    </xf>
    <xf numFmtId="0" fontId="19" fillId="0" borderId="1" xfId="0" applyFont="1" applyBorder="1" applyAlignment="1">
      <alignment horizontal="center" vertical="center" wrapText="1" shrinkToFit="1"/>
    </xf>
    <xf numFmtId="0" fontId="21" fillId="0" borderId="0" xfId="0" applyFont="1" applyAlignment="1">
      <alignment vertical="center" shrinkToFit="1"/>
    </xf>
    <xf numFmtId="0" fontId="19" fillId="0" borderId="1" xfId="0" quotePrefix="1" applyFont="1" applyBorder="1" applyAlignment="1">
      <alignment horizontal="center" vertical="center" wrapText="1" shrinkToFit="1"/>
    </xf>
    <xf numFmtId="0" fontId="19" fillId="0" borderId="1" xfId="0" applyFont="1" applyBorder="1" applyAlignment="1">
      <alignment horizontal="center" vertical="center" shrinkToFit="1"/>
    </xf>
    <xf numFmtId="178" fontId="19" fillId="0" borderId="1" xfId="0" applyNumberFormat="1" applyFont="1" applyBorder="1" applyAlignment="1">
      <alignment horizontal="center" vertical="center" shrinkToFit="1"/>
    </xf>
    <xf numFmtId="176" fontId="19" fillId="0" borderId="1" xfId="0" applyNumberFormat="1" applyFont="1" applyBorder="1" applyAlignment="1">
      <alignment horizontal="center" vertical="center" shrinkToFit="1"/>
    </xf>
    <xf numFmtId="2" fontId="19" fillId="0" borderId="1" xfId="0" applyNumberFormat="1" applyFont="1" applyBorder="1" applyAlignment="1">
      <alignment horizontal="center" vertical="center" shrinkToFit="1"/>
    </xf>
    <xf numFmtId="0" fontId="19" fillId="0" borderId="0" xfId="0" applyFont="1" applyAlignment="1">
      <alignment horizontal="center" vertical="center" shrinkToFit="1"/>
    </xf>
    <xf numFmtId="0" fontId="24" fillId="0" borderId="1" xfId="0" applyFont="1" applyBorder="1" applyAlignment="1">
      <alignment horizontal="center" vertical="center" wrapText="1" shrinkToFit="1"/>
    </xf>
    <xf numFmtId="3" fontId="17" fillId="2" borderId="1" xfId="0" applyNumberFormat="1" applyFont="1" applyFill="1" applyBorder="1" applyAlignment="1">
      <alignment horizontal="center" vertical="center" wrapText="1" shrinkToFit="1"/>
    </xf>
    <xf numFmtId="0" fontId="6" fillId="0" borderId="0" xfId="0" applyFont="1" applyAlignment="1">
      <alignment vertical="center" wrapText="1" shrinkToFit="1"/>
    </xf>
    <xf numFmtId="0" fontId="8" fillId="0" borderId="0" xfId="0" applyFont="1">
      <alignment vertical="center"/>
    </xf>
    <xf numFmtId="0" fontId="21" fillId="0" borderId="0" xfId="0" applyFont="1">
      <alignment vertical="center"/>
    </xf>
    <xf numFmtId="0" fontId="23" fillId="0" borderId="0" xfId="0" applyFont="1">
      <alignment vertical="center"/>
    </xf>
    <xf numFmtId="0" fontId="25" fillId="0" borderId="0" xfId="0" applyFont="1" applyAlignment="1">
      <alignment vertical="center" shrinkToFit="1"/>
    </xf>
    <xf numFmtId="0" fontId="17" fillId="2" borderId="0" xfId="0" applyFont="1" applyFill="1" applyAlignment="1">
      <alignment vertical="center" shrinkToFit="1"/>
    </xf>
    <xf numFmtId="0" fontId="4" fillId="5" borderId="1" xfId="0" applyFont="1" applyFill="1" applyBorder="1" applyAlignment="1">
      <alignment horizontal="center" vertical="center" wrapText="1" shrinkToFit="1"/>
    </xf>
    <xf numFmtId="0" fontId="19" fillId="3" borderId="1" xfId="0" applyFont="1" applyFill="1" applyBorder="1" applyAlignment="1">
      <alignment horizontal="center" vertical="center" wrapText="1" shrinkToFit="1"/>
    </xf>
    <xf numFmtId="177" fontId="20" fillId="0" borderId="1" xfId="0" applyNumberFormat="1" applyFont="1" applyBorder="1" applyAlignment="1">
      <alignment horizontal="center" vertical="center" shrinkToFit="1"/>
    </xf>
    <xf numFmtId="58" fontId="19" fillId="0" borderId="1" xfId="0" applyNumberFormat="1" applyFont="1" applyBorder="1" applyAlignment="1">
      <alignment horizontal="center" vertical="center" shrinkToFit="1"/>
    </xf>
    <xf numFmtId="0" fontId="27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 shrinkToFit="1"/>
    </xf>
    <xf numFmtId="0" fontId="18" fillId="2" borderId="0" xfId="0" applyFont="1" applyFill="1" applyAlignment="1">
      <alignment horizontal="center" vertical="center" shrinkToFit="1"/>
    </xf>
    <xf numFmtId="0" fontId="18" fillId="2" borderId="0" xfId="0" applyFont="1" applyFill="1" applyAlignment="1">
      <alignment horizontal="center" vertical="center" wrapText="1" shrinkToFit="1"/>
    </xf>
    <xf numFmtId="3" fontId="17" fillId="2" borderId="0" xfId="0" applyNumberFormat="1" applyFont="1" applyFill="1" applyAlignment="1">
      <alignment horizontal="center" vertical="center" wrapText="1" shrinkToFit="1"/>
    </xf>
    <xf numFmtId="2" fontId="17" fillId="2" borderId="0" xfId="0" applyNumberFormat="1" applyFont="1" applyFill="1" applyAlignment="1">
      <alignment horizontal="center" vertical="center" shrinkToFit="1"/>
    </xf>
    <xf numFmtId="0" fontId="22" fillId="8" borderId="0" xfId="0" applyFont="1" applyFill="1" applyAlignment="1">
      <alignment vertical="center" shrinkToFit="1"/>
    </xf>
    <xf numFmtId="176" fontId="19" fillId="6" borderId="1" xfId="0" applyNumberFormat="1" applyFont="1" applyFill="1" applyBorder="1" applyAlignment="1">
      <alignment horizontal="center" vertical="center" shrinkToFit="1"/>
    </xf>
    <xf numFmtId="176" fontId="17" fillId="6" borderId="4" xfId="0" applyNumberFormat="1" applyFont="1" applyFill="1" applyBorder="1" applyAlignment="1">
      <alignment horizontal="center" vertical="center" shrinkToFit="1"/>
    </xf>
    <xf numFmtId="0" fontId="19" fillId="10" borderId="1" xfId="0" applyFont="1" applyFill="1" applyBorder="1" applyAlignment="1">
      <alignment horizontal="center" vertical="center" shrinkToFit="1"/>
    </xf>
    <xf numFmtId="0" fontId="1" fillId="3" borderId="0" xfId="0" applyFont="1" applyFill="1" applyAlignment="1">
      <alignment vertical="center" shrinkToFit="1"/>
    </xf>
    <xf numFmtId="3" fontId="1" fillId="0" borderId="0" xfId="0" applyNumberFormat="1" applyFont="1">
      <alignment vertical="center"/>
    </xf>
    <xf numFmtId="0" fontId="5" fillId="0" borderId="1" xfId="0" applyFont="1" applyBorder="1" applyAlignment="1">
      <alignment horizontal="center" vertical="center" wrapText="1" shrinkToFi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shrinkToFit="1"/>
    </xf>
    <xf numFmtId="0" fontId="19" fillId="2" borderId="1" xfId="0" applyFont="1" applyFill="1" applyBorder="1" applyAlignment="1">
      <alignment horizontal="center" vertical="center" shrinkToFit="1"/>
    </xf>
    <xf numFmtId="0" fontId="31" fillId="0" borderId="0" xfId="0" applyFont="1" applyAlignment="1">
      <alignment horizontal="center" vertical="center" shrinkToFit="1"/>
    </xf>
    <xf numFmtId="0" fontId="7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 shrinkToFit="1"/>
    </xf>
    <xf numFmtId="0" fontId="11" fillId="3" borderId="0" xfId="0" applyFont="1" applyFill="1" applyAlignment="1">
      <alignment horizontal="left" vertical="center" shrinkToFit="1"/>
    </xf>
    <xf numFmtId="0" fontId="18" fillId="2" borderId="0" xfId="0" applyFont="1" applyFill="1" applyAlignment="1">
      <alignment horizontal="center" vertical="center" shrinkToFit="1"/>
    </xf>
    <xf numFmtId="0" fontId="28" fillId="7" borderId="0" xfId="0" applyFont="1" applyFill="1" applyAlignment="1">
      <alignment horizontal="center" vertical="center" wrapText="1" shrinkToFit="1"/>
    </xf>
    <xf numFmtId="0" fontId="17" fillId="7" borderId="0" xfId="0" applyFont="1" applyFill="1" applyAlignment="1">
      <alignment horizontal="center" vertical="center" shrinkToFit="1"/>
    </xf>
    <xf numFmtId="0" fontId="20" fillId="9" borderId="0" xfId="0" applyFont="1" applyFill="1" applyAlignment="1">
      <alignment horizontal="left"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6" borderId="5" xfId="0" applyFont="1" applyFill="1" applyBorder="1" applyAlignment="1">
      <alignment horizontal="center" vertical="center" shrinkToFit="1"/>
    </xf>
    <xf numFmtId="0" fontId="3" fillId="6" borderId="3" xfId="0" applyFont="1" applyFill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 shrinkToFit="1"/>
    </xf>
    <xf numFmtId="0" fontId="3" fillId="0" borderId="2" xfId="0" applyFont="1" applyBorder="1" applyAlignment="1">
      <alignment horizontal="center" vertical="center" wrapText="1" shrinkToFit="1"/>
    </xf>
    <xf numFmtId="0" fontId="3" fillId="0" borderId="3" xfId="0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16" fillId="5" borderId="2" xfId="0" applyFont="1" applyFill="1" applyBorder="1" applyAlignment="1">
      <alignment horizontal="center" vertical="center" shrinkToFit="1"/>
    </xf>
    <xf numFmtId="0" fontId="3" fillId="5" borderId="4" xfId="0" applyFont="1" applyFill="1" applyBorder="1" applyAlignment="1">
      <alignment horizontal="center" vertical="center" shrinkToFit="1"/>
    </xf>
    <xf numFmtId="0" fontId="30" fillId="2" borderId="1" xfId="0" applyFont="1" applyFill="1" applyBorder="1" applyAlignment="1">
      <alignment horizontal="center" vertical="center"/>
    </xf>
  </cellXfs>
  <cellStyles count="4">
    <cellStyle name="常规" xfId="0" builtinId="0"/>
    <cellStyle name="常规 2" xfId="1" xr:uid="{00000000-0005-0000-0000-000001000000}"/>
    <cellStyle name="常规 3" xfId="3" xr:uid="{B8A89982-E2DC-42AB-99AE-86225AC38BA1}"/>
    <cellStyle name="适中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P31"/>
  <sheetViews>
    <sheetView tabSelected="1" topLeftCell="A10" zoomScale="90" zoomScaleNormal="90" workbookViewId="0">
      <selection activeCell="AA23" sqref="AA23"/>
    </sheetView>
  </sheetViews>
  <sheetFormatPr defaultColWidth="9" defaultRowHeight="15.75" x14ac:dyDescent="0.15"/>
  <cols>
    <col min="1" max="1" width="9.875" style="2" customWidth="1"/>
    <col min="2" max="2" width="17.375" style="2" customWidth="1"/>
    <col min="3" max="3" width="15.875" style="2" customWidth="1"/>
    <col min="4" max="5" width="10.25" style="2" customWidth="1"/>
    <col min="6" max="6" width="19" style="2" customWidth="1"/>
    <col min="7" max="7" width="9.5" style="3" customWidth="1"/>
    <col min="8" max="8" width="8.375" style="2" customWidth="1"/>
    <col min="9" max="9" width="4.75" style="1" customWidth="1"/>
    <col min="10" max="10" width="6" style="2" customWidth="1"/>
    <col min="11" max="11" width="5.25" style="2" hidden="1" customWidth="1"/>
    <col min="12" max="12" width="5.375" style="2" hidden="1" customWidth="1"/>
    <col min="13" max="13" width="4.5" style="2" hidden="1" customWidth="1"/>
    <col min="14" max="15" width="5.25" style="2" hidden="1" customWidth="1"/>
    <col min="16" max="16" width="8.25" style="2" customWidth="1"/>
    <col min="17" max="17" width="8" style="2" customWidth="1"/>
    <col min="18" max="18" width="7.25" style="2" customWidth="1"/>
    <col min="19" max="19" width="13.25" style="1" customWidth="1"/>
    <col min="20" max="20" width="8.375" style="2" customWidth="1"/>
    <col min="21" max="21" width="11.75" style="62" customWidth="1"/>
    <col min="22" max="22" width="7" style="2" hidden="1" customWidth="1"/>
    <col min="23" max="23" width="8" style="2" customWidth="1"/>
    <col min="24" max="24" width="8.25" style="2" customWidth="1"/>
    <col min="25" max="25" width="11.5" style="2" customWidth="1"/>
    <col min="26" max="26" width="27.625" style="2" customWidth="1"/>
    <col min="27" max="250" width="9" style="2" customWidth="1"/>
    <col min="251" max="16384" width="9" style="4"/>
  </cols>
  <sheetData>
    <row r="1" spans="1:250" ht="29.25" customHeight="1" x14ac:dyDescent="0.15">
      <c r="A1" s="96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</row>
    <row r="2" spans="1:250" s="1" customFormat="1" ht="18.95" customHeight="1" x14ac:dyDescent="0.2">
      <c r="A2" s="87" t="s">
        <v>1</v>
      </c>
      <c r="B2" s="87" t="s">
        <v>2</v>
      </c>
      <c r="C2" s="88" t="s">
        <v>3</v>
      </c>
      <c r="D2" s="87" t="s">
        <v>4</v>
      </c>
      <c r="E2" s="88" t="s">
        <v>5</v>
      </c>
      <c r="F2" s="93" t="s">
        <v>6</v>
      </c>
      <c r="G2" s="93"/>
      <c r="H2" s="91" t="s">
        <v>27</v>
      </c>
      <c r="I2" s="87" t="s">
        <v>26</v>
      </c>
      <c r="J2" s="91" t="s">
        <v>7</v>
      </c>
      <c r="K2" s="91" t="s">
        <v>8</v>
      </c>
      <c r="L2" s="91"/>
      <c r="M2" s="91"/>
      <c r="N2" s="87" t="s">
        <v>9</v>
      </c>
      <c r="O2" s="87" t="s">
        <v>10</v>
      </c>
      <c r="P2" s="10" t="s">
        <v>11</v>
      </c>
      <c r="Q2" s="11" t="s">
        <v>12</v>
      </c>
      <c r="R2" s="89" t="s">
        <v>13</v>
      </c>
      <c r="S2" s="100" t="s">
        <v>58</v>
      </c>
      <c r="T2" s="87" t="s">
        <v>14</v>
      </c>
      <c r="U2" s="98" t="s">
        <v>28</v>
      </c>
      <c r="V2" s="29" t="s">
        <v>15</v>
      </c>
      <c r="W2" s="87" t="s">
        <v>16</v>
      </c>
      <c r="X2" s="94" t="s">
        <v>17</v>
      </c>
      <c r="Y2" s="95" t="s">
        <v>18</v>
      </c>
    </row>
    <row r="3" spans="1:250" s="1" customFormat="1" ht="15" customHeight="1" x14ac:dyDescent="0.15">
      <c r="A3" s="88"/>
      <c r="B3" s="88"/>
      <c r="C3" s="97"/>
      <c r="D3" s="88"/>
      <c r="E3" s="97"/>
      <c r="F3" s="93"/>
      <c r="G3" s="93"/>
      <c r="H3" s="91"/>
      <c r="I3" s="88"/>
      <c r="J3" s="91"/>
      <c r="K3" s="92"/>
      <c r="L3" s="92"/>
      <c r="M3" s="92"/>
      <c r="N3" s="88"/>
      <c r="O3" s="88"/>
      <c r="P3" s="12" t="s">
        <v>19</v>
      </c>
      <c r="Q3" s="13" t="s">
        <v>19</v>
      </c>
      <c r="R3" s="90"/>
      <c r="S3" s="100"/>
      <c r="T3" s="88"/>
      <c r="U3" s="99"/>
      <c r="V3" s="30" t="s">
        <v>20</v>
      </c>
      <c r="W3" s="88"/>
      <c r="X3" s="88"/>
      <c r="Y3" s="95"/>
    </row>
    <row r="4" spans="1:250" s="48" customFormat="1" ht="58.5" customHeight="1" x14ac:dyDescent="0.15">
      <c r="A4" s="41" t="s">
        <v>38</v>
      </c>
      <c r="B4" s="41" t="s">
        <v>42</v>
      </c>
      <c r="C4" s="43" t="s">
        <v>43</v>
      </c>
      <c r="D4" s="41">
        <v>11369</v>
      </c>
      <c r="E4" s="41" t="s">
        <v>39</v>
      </c>
      <c r="F4" s="41" t="s">
        <v>34</v>
      </c>
      <c r="G4" s="49" t="s">
        <v>31</v>
      </c>
      <c r="H4" s="41">
        <v>12</v>
      </c>
      <c r="I4" s="44">
        <v>4</v>
      </c>
      <c r="J4" s="70">
        <f t="shared" ref="J4" si="0">H4/I4</f>
        <v>3</v>
      </c>
      <c r="K4" s="44">
        <v>42.86</v>
      </c>
      <c r="L4" s="44">
        <v>43.18</v>
      </c>
      <c r="M4" s="44">
        <v>33.340000000000003</v>
      </c>
      <c r="N4" s="46">
        <v>2.7</v>
      </c>
      <c r="O4" s="45">
        <v>3.44</v>
      </c>
      <c r="P4" s="46">
        <f t="shared" ref="P4" si="1">N4*J4</f>
        <v>8.1000000000000014</v>
      </c>
      <c r="Q4" s="47">
        <f t="shared" ref="Q4" si="2">J4*O4</f>
        <v>10.32</v>
      </c>
      <c r="R4" s="68">
        <f t="shared" ref="R4" si="3">J4*K4*L4*M4/1000000</f>
        <v>0.18510649389599998</v>
      </c>
      <c r="S4" s="44">
        <v>7825802</v>
      </c>
      <c r="T4" s="41" t="s">
        <v>32</v>
      </c>
      <c r="U4" s="57" t="s">
        <v>41</v>
      </c>
      <c r="V4" s="58">
        <v>7.5</v>
      </c>
      <c r="W4" s="59" t="s">
        <v>33</v>
      </c>
      <c r="X4" s="60">
        <v>46269</v>
      </c>
      <c r="Y4" s="44" t="s">
        <v>44</v>
      </c>
    </row>
    <row r="5" spans="1:250" s="48" customFormat="1" ht="58.5" customHeight="1" x14ac:dyDescent="0.15">
      <c r="A5" s="41" t="s">
        <v>38</v>
      </c>
      <c r="B5" s="41" t="s">
        <v>42</v>
      </c>
      <c r="C5" s="43" t="s">
        <v>43</v>
      </c>
      <c r="D5" s="41">
        <v>11369</v>
      </c>
      <c r="E5" s="41" t="s">
        <v>39</v>
      </c>
      <c r="F5" s="41" t="s">
        <v>34</v>
      </c>
      <c r="G5" s="49" t="s">
        <v>31</v>
      </c>
      <c r="H5" s="41">
        <v>40</v>
      </c>
      <c r="I5" s="44">
        <v>4</v>
      </c>
      <c r="J5" s="70">
        <f t="shared" ref="J5:J6" si="4">H5/I5</f>
        <v>10</v>
      </c>
      <c r="K5" s="44">
        <v>42.86</v>
      </c>
      <c r="L5" s="44">
        <v>43.18</v>
      </c>
      <c r="M5" s="44">
        <v>33.340000000000003</v>
      </c>
      <c r="N5" s="46">
        <v>2.7</v>
      </c>
      <c r="O5" s="45">
        <v>3.44</v>
      </c>
      <c r="P5" s="46">
        <f t="shared" ref="P5:P6" si="5">N5*J5</f>
        <v>27</v>
      </c>
      <c r="Q5" s="47">
        <f t="shared" ref="Q5:Q6" si="6">J5*O5</f>
        <v>34.4</v>
      </c>
      <c r="R5" s="68">
        <f t="shared" ref="R5:R6" si="7">J5*K5*L5*M5/1000000</f>
        <v>0.61702164632000001</v>
      </c>
      <c r="S5" s="44">
        <v>7825802</v>
      </c>
      <c r="T5" s="41" t="s">
        <v>32</v>
      </c>
      <c r="U5" s="57" t="s">
        <v>41</v>
      </c>
      <c r="V5" s="58">
        <v>7.5</v>
      </c>
      <c r="W5" s="59" t="s">
        <v>33</v>
      </c>
      <c r="X5" s="60">
        <v>46269</v>
      </c>
      <c r="Y5" s="44" t="s">
        <v>45</v>
      </c>
      <c r="Z5" s="79"/>
    </row>
    <row r="6" spans="1:250" s="48" customFormat="1" ht="58.5" customHeight="1" x14ac:dyDescent="0.15">
      <c r="A6" s="41" t="s">
        <v>38</v>
      </c>
      <c r="B6" s="41" t="s">
        <v>42</v>
      </c>
      <c r="C6" s="43" t="s">
        <v>43</v>
      </c>
      <c r="D6" s="41">
        <v>11369</v>
      </c>
      <c r="E6" s="41" t="s">
        <v>39</v>
      </c>
      <c r="F6" s="41" t="s">
        <v>34</v>
      </c>
      <c r="G6" s="49" t="s">
        <v>31</v>
      </c>
      <c r="H6" s="41">
        <v>8</v>
      </c>
      <c r="I6" s="44">
        <v>4</v>
      </c>
      <c r="J6" s="70">
        <f t="shared" si="4"/>
        <v>2</v>
      </c>
      <c r="K6" s="44">
        <v>42.86</v>
      </c>
      <c r="L6" s="44">
        <v>43.18</v>
      </c>
      <c r="M6" s="44">
        <v>33.340000000000003</v>
      </c>
      <c r="N6" s="46">
        <v>2.7</v>
      </c>
      <c r="O6" s="45">
        <v>3.44</v>
      </c>
      <c r="P6" s="46">
        <f t="shared" si="5"/>
        <v>5.4</v>
      </c>
      <c r="Q6" s="47">
        <f t="shared" si="6"/>
        <v>6.88</v>
      </c>
      <c r="R6" s="68">
        <f t="shared" si="7"/>
        <v>0.12340432926400001</v>
      </c>
      <c r="S6" s="44">
        <v>7825802</v>
      </c>
      <c r="T6" s="41" t="s">
        <v>32</v>
      </c>
      <c r="U6" s="57" t="s">
        <v>41</v>
      </c>
      <c r="V6" s="58">
        <v>7.5</v>
      </c>
      <c r="W6" s="59" t="s">
        <v>33</v>
      </c>
      <c r="X6" s="60">
        <v>46269</v>
      </c>
      <c r="Y6" s="44" t="s">
        <v>56</v>
      </c>
      <c r="Z6" s="79"/>
    </row>
    <row r="7" spans="1:250" s="48" customFormat="1" ht="58.5" customHeight="1" x14ac:dyDescent="0.15">
      <c r="A7" s="41" t="s">
        <v>38</v>
      </c>
      <c r="B7" s="41" t="s">
        <v>42</v>
      </c>
      <c r="C7" s="43" t="s">
        <v>43</v>
      </c>
      <c r="D7" s="41">
        <v>11369</v>
      </c>
      <c r="E7" s="41" t="s">
        <v>39</v>
      </c>
      <c r="F7" s="41" t="s">
        <v>34</v>
      </c>
      <c r="G7" s="49" t="s">
        <v>31</v>
      </c>
      <c r="H7" s="41">
        <v>20</v>
      </c>
      <c r="I7" s="44">
        <v>4</v>
      </c>
      <c r="J7" s="70">
        <f t="shared" ref="J7" si="8">H7/I7</f>
        <v>5</v>
      </c>
      <c r="K7" s="44">
        <v>42.86</v>
      </c>
      <c r="L7" s="44">
        <v>43.18</v>
      </c>
      <c r="M7" s="44">
        <v>33.340000000000003</v>
      </c>
      <c r="N7" s="46">
        <v>2.7</v>
      </c>
      <c r="O7" s="45">
        <v>3.44</v>
      </c>
      <c r="P7" s="46">
        <f t="shared" ref="P7" si="9">N7*J7</f>
        <v>13.5</v>
      </c>
      <c r="Q7" s="47">
        <f t="shared" ref="Q7" si="10">J7*O7</f>
        <v>17.2</v>
      </c>
      <c r="R7" s="68">
        <f t="shared" ref="R7" si="11">J7*K7*L7*M7/1000000</f>
        <v>0.30851082316</v>
      </c>
      <c r="S7" s="44">
        <v>7825802</v>
      </c>
      <c r="T7" s="41" t="s">
        <v>32</v>
      </c>
      <c r="U7" s="57" t="s">
        <v>41</v>
      </c>
      <c r="V7" s="58">
        <v>7.5</v>
      </c>
      <c r="W7" s="59" t="s">
        <v>33</v>
      </c>
      <c r="X7" s="60">
        <v>46269</v>
      </c>
      <c r="Y7" s="78" t="s">
        <v>46</v>
      </c>
    </row>
    <row r="8" spans="1:250" s="48" customFormat="1" ht="58.5" customHeight="1" x14ac:dyDescent="0.15">
      <c r="A8" s="41" t="s">
        <v>38</v>
      </c>
      <c r="B8" s="41" t="s">
        <v>42</v>
      </c>
      <c r="C8" s="43" t="s">
        <v>43</v>
      </c>
      <c r="D8" s="41">
        <v>11369</v>
      </c>
      <c r="E8" s="41" t="s">
        <v>39</v>
      </c>
      <c r="F8" s="41" t="s">
        <v>34</v>
      </c>
      <c r="G8" s="49" t="s">
        <v>31</v>
      </c>
      <c r="H8" s="41">
        <v>44</v>
      </c>
      <c r="I8" s="44">
        <v>4</v>
      </c>
      <c r="J8" s="70">
        <f t="shared" ref="J8" si="12">H8/I8</f>
        <v>11</v>
      </c>
      <c r="K8" s="44">
        <v>42.86</v>
      </c>
      <c r="L8" s="44">
        <v>43.18</v>
      </c>
      <c r="M8" s="44">
        <v>33.340000000000003</v>
      </c>
      <c r="N8" s="46">
        <v>2.7</v>
      </c>
      <c r="O8" s="45">
        <v>3.44</v>
      </c>
      <c r="P8" s="46">
        <f t="shared" ref="P8" si="13">N8*J8</f>
        <v>29.700000000000003</v>
      </c>
      <c r="Q8" s="47">
        <f t="shared" ref="Q8" si="14">J8*O8</f>
        <v>37.839999999999996</v>
      </c>
      <c r="R8" s="68">
        <f t="shared" ref="R8" si="15">J8*K8*L8*M8/1000000</f>
        <v>0.67872381095199996</v>
      </c>
      <c r="S8" s="44">
        <v>7825802</v>
      </c>
      <c r="T8" s="41" t="s">
        <v>32</v>
      </c>
      <c r="U8" s="57" t="s">
        <v>41</v>
      </c>
      <c r="V8" s="58">
        <v>7.5</v>
      </c>
      <c r="W8" s="59" t="s">
        <v>33</v>
      </c>
      <c r="X8" s="60">
        <v>46269</v>
      </c>
      <c r="Y8" s="44" t="s">
        <v>47</v>
      </c>
    </row>
    <row r="9" spans="1:250" s="48" customFormat="1" ht="58.5" customHeight="1" x14ac:dyDescent="0.15">
      <c r="A9" s="41" t="s">
        <v>38</v>
      </c>
      <c r="B9" s="41" t="s">
        <v>42</v>
      </c>
      <c r="C9" s="43" t="s">
        <v>43</v>
      </c>
      <c r="D9" s="41">
        <v>11369</v>
      </c>
      <c r="E9" s="41" t="s">
        <v>39</v>
      </c>
      <c r="F9" s="41" t="s">
        <v>34</v>
      </c>
      <c r="G9" s="73" t="s">
        <v>31</v>
      </c>
      <c r="H9" s="41">
        <v>152</v>
      </c>
      <c r="I9" s="44">
        <v>4</v>
      </c>
      <c r="J9" s="70">
        <f>H9/I9</f>
        <v>38</v>
      </c>
      <c r="K9" s="44">
        <v>42.86</v>
      </c>
      <c r="L9" s="44">
        <v>43.18</v>
      </c>
      <c r="M9" s="44">
        <v>33.340000000000003</v>
      </c>
      <c r="N9" s="46">
        <v>2.7</v>
      </c>
      <c r="O9" s="45">
        <v>3.44</v>
      </c>
      <c r="P9" s="46">
        <f>N9*J9</f>
        <v>102.60000000000001</v>
      </c>
      <c r="Q9" s="47">
        <f>J9*O9</f>
        <v>130.72</v>
      </c>
      <c r="R9" s="68">
        <f>J9*K9*L9*M9/1000000</f>
        <v>2.3446822560160006</v>
      </c>
      <c r="S9" s="44">
        <v>7825802</v>
      </c>
      <c r="T9" s="41" t="s">
        <v>32</v>
      </c>
      <c r="U9" s="57" t="s">
        <v>41</v>
      </c>
      <c r="V9" s="58">
        <v>7.5</v>
      </c>
      <c r="W9" s="59" t="s">
        <v>33</v>
      </c>
      <c r="X9" s="60">
        <v>46269</v>
      </c>
      <c r="Y9" s="44" t="s">
        <v>51</v>
      </c>
    </row>
    <row r="10" spans="1:250" s="48" customFormat="1" ht="58.5" customHeight="1" x14ac:dyDescent="0.15">
      <c r="A10" s="41" t="s">
        <v>38</v>
      </c>
      <c r="B10" s="41" t="s">
        <v>42</v>
      </c>
      <c r="C10" s="43" t="s">
        <v>43</v>
      </c>
      <c r="D10" s="41">
        <v>11369</v>
      </c>
      <c r="E10" s="41" t="s">
        <v>39</v>
      </c>
      <c r="F10" s="41" t="s">
        <v>34</v>
      </c>
      <c r="G10" s="73" t="s">
        <v>31</v>
      </c>
      <c r="H10" s="41">
        <v>20</v>
      </c>
      <c r="I10" s="44">
        <v>4</v>
      </c>
      <c r="J10" s="70">
        <f>H10/I10</f>
        <v>5</v>
      </c>
      <c r="K10" s="44">
        <v>42.86</v>
      </c>
      <c r="L10" s="44">
        <v>43.18</v>
      </c>
      <c r="M10" s="44">
        <v>33.340000000000003</v>
      </c>
      <c r="N10" s="46">
        <v>2.7</v>
      </c>
      <c r="O10" s="45">
        <v>3.44</v>
      </c>
      <c r="P10" s="46">
        <f>N10*J10</f>
        <v>13.5</v>
      </c>
      <c r="Q10" s="47">
        <f>J10*O10</f>
        <v>17.2</v>
      </c>
      <c r="R10" s="68">
        <f>J10*K10*L10*M10/1000000</f>
        <v>0.30851082316</v>
      </c>
      <c r="S10" s="44">
        <v>7825802</v>
      </c>
      <c r="T10" s="41" t="s">
        <v>32</v>
      </c>
      <c r="U10" s="57" t="s">
        <v>41</v>
      </c>
      <c r="V10" s="58">
        <v>7.5</v>
      </c>
      <c r="W10" s="59" t="s">
        <v>33</v>
      </c>
      <c r="X10" s="60">
        <v>46269</v>
      </c>
      <c r="Y10" s="44" t="s">
        <v>53</v>
      </c>
    </row>
    <row r="11" spans="1:250" s="48" customFormat="1" ht="58.5" customHeight="1" x14ac:dyDescent="0.15">
      <c r="A11" s="41" t="s">
        <v>38</v>
      </c>
      <c r="B11" s="41" t="s">
        <v>42</v>
      </c>
      <c r="C11" s="43" t="s">
        <v>43</v>
      </c>
      <c r="D11" s="41">
        <v>11369</v>
      </c>
      <c r="E11" s="41" t="s">
        <v>39</v>
      </c>
      <c r="F11" s="41" t="s">
        <v>34</v>
      </c>
      <c r="G11" s="73" t="s">
        <v>31</v>
      </c>
      <c r="H11" s="41">
        <v>36</v>
      </c>
      <c r="I11" s="44">
        <v>4</v>
      </c>
      <c r="J11" s="70">
        <f>H11/I11</f>
        <v>9</v>
      </c>
      <c r="K11" s="44">
        <v>42.86</v>
      </c>
      <c r="L11" s="44">
        <v>43.18</v>
      </c>
      <c r="M11" s="44">
        <v>33.340000000000003</v>
      </c>
      <c r="N11" s="46">
        <v>2.7</v>
      </c>
      <c r="O11" s="45">
        <v>3.44</v>
      </c>
      <c r="P11" s="46">
        <f>N11*J11</f>
        <v>24.3</v>
      </c>
      <c r="Q11" s="47">
        <f>J11*O11</f>
        <v>30.96</v>
      </c>
      <c r="R11" s="68">
        <f>J11*K11*L11*M11/1000000</f>
        <v>0.55531948168800005</v>
      </c>
      <c r="S11" s="44">
        <v>7825802</v>
      </c>
      <c r="T11" s="41" t="s">
        <v>32</v>
      </c>
      <c r="U11" s="57" t="s">
        <v>41</v>
      </c>
      <c r="V11" s="58">
        <v>7.5</v>
      </c>
      <c r="W11" s="59" t="s">
        <v>33</v>
      </c>
      <c r="X11" s="60">
        <v>46269</v>
      </c>
      <c r="Y11" s="78" t="s">
        <v>54</v>
      </c>
    </row>
    <row r="12" spans="1:250" s="48" customFormat="1" ht="58.5" customHeight="1" x14ac:dyDescent="0.15">
      <c r="A12" s="41" t="s">
        <v>38</v>
      </c>
      <c r="B12" s="41" t="s">
        <v>42</v>
      </c>
      <c r="C12" s="43" t="s">
        <v>43</v>
      </c>
      <c r="D12" s="41">
        <v>11369</v>
      </c>
      <c r="E12" s="41" t="s">
        <v>39</v>
      </c>
      <c r="F12" s="41" t="s">
        <v>34</v>
      </c>
      <c r="G12" s="73" t="s">
        <v>31</v>
      </c>
      <c r="H12" s="41">
        <v>88</v>
      </c>
      <c r="I12" s="44">
        <v>4</v>
      </c>
      <c r="J12" s="70">
        <f t="shared" ref="J12" si="16">H12/I12</f>
        <v>22</v>
      </c>
      <c r="K12" s="44">
        <v>42.86</v>
      </c>
      <c r="L12" s="44">
        <v>43.18</v>
      </c>
      <c r="M12" s="44">
        <v>33.340000000000003</v>
      </c>
      <c r="N12" s="46">
        <v>2.7</v>
      </c>
      <c r="O12" s="45">
        <v>3.44</v>
      </c>
      <c r="P12" s="46">
        <f t="shared" ref="P12" si="17">N12*J12</f>
        <v>59.400000000000006</v>
      </c>
      <c r="Q12" s="47">
        <f t="shared" ref="Q12" si="18">J12*O12</f>
        <v>75.679999999999993</v>
      </c>
      <c r="R12" s="68">
        <f t="shared" ref="R12" si="19">J12*K12*L12*M12/1000000</f>
        <v>1.3574476219039999</v>
      </c>
      <c r="S12" s="44">
        <v>7825802</v>
      </c>
      <c r="T12" s="41" t="s">
        <v>32</v>
      </c>
      <c r="U12" s="57" t="s">
        <v>41</v>
      </c>
      <c r="V12" s="58">
        <v>7.5</v>
      </c>
      <c r="W12" s="59" t="s">
        <v>33</v>
      </c>
      <c r="X12" s="60">
        <v>46269</v>
      </c>
      <c r="Y12" s="44" t="s">
        <v>55</v>
      </c>
    </row>
    <row r="13" spans="1:250" s="48" customFormat="1" ht="58.5" customHeight="1" x14ac:dyDescent="0.15">
      <c r="A13" s="41" t="s">
        <v>38</v>
      </c>
      <c r="B13" s="41" t="s">
        <v>42</v>
      </c>
      <c r="C13" s="43" t="s">
        <v>43</v>
      </c>
      <c r="D13" s="41">
        <v>11369</v>
      </c>
      <c r="E13" s="41" t="s">
        <v>39</v>
      </c>
      <c r="F13" s="41" t="s">
        <v>34</v>
      </c>
      <c r="G13" s="49" t="s">
        <v>31</v>
      </c>
      <c r="H13" s="41">
        <v>252</v>
      </c>
      <c r="I13" s="44">
        <v>4</v>
      </c>
      <c r="J13" s="70">
        <f t="shared" ref="J13:J15" si="20">H13/I13</f>
        <v>63</v>
      </c>
      <c r="K13" s="44">
        <v>42.86</v>
      </c>
      <c r="L13" s="44">
        <v>43.18</v>
      </c>
      <c r="M13" s="44">
        <v>33.340000000000003</v>
      </c>
      <c r="N13" s="46">
        <v>2.7</v>
      </c>
      <c r="O13" s="45">
        <v>3.44</v>
      </c>
      <c r="P13" s="46">
        <f t="shared" ref="P13:P15" si="21">N13*J13</f>
        <v>170.10000000000002</v>
      </c>
      <c r="Q13" s="47">
        <f t="shared" ref="Q13:Q15" si="22">J13*O13</f>
        <v>216.72</v>
      </c>
      <c r="R13" s="68">
        <f t="shared" ref="R13:R15" si="23">J13*K13*L13*M13/1000000</f>
        <v>3.8872363718159999</v>
      </c>
      <c r="S13" s="44">
        <v>7826330</v>
      </c>
      <c r="T13" s="41" t="s">
        <v>32</v>
      </c>
      <c r="U13" s="57" t="s">
        <v>41</v>
      </c>
      <c r="V13" s="58">
        <v>7.5</v>
      </c>
      <c r="W13" s="59" t="s">
        <v>33</v>
      </c>
      <c r="X13" s="60">
        <v>46269</v>
      </c>
      <c r="Y13" s="44" t="s">
        <v>48</v>
      </c>
    </row>
    <row r="14" spans="1:250" s="48" customFormat="1" ht="58.5" customHeight="1" x14ac:dyDescent="0.15">
      <c r="A14" s="41" t="s">
        <v>38</v>
      </c>
      <c r="B14" s="41" t="s">
        <v>42</v>
      </c>
      <c r="C14" s="43" t="s">
        <v>43</v>
      </c>
      <c r="D14" s="41">
        <v>11369</v>
      </c>
      <c r="E14" s="41" t="s">
        <v>39</v>
      </c>
      <c r="F14" s="41" t="s">
        <v>34</v>
      </c>
      <c r="G14" s="73" t="s">
        <v>31</v>
      </c>
      <c r="H14" s="41">
        <v>284</v>
      </c>
      <c r="I14" s="44">
        <v>4</v>
      </c>
      <c r="J14" s="70">
        <f>H14/I14</f>
        <v>71</v>
      </c>
      <c r="K14" s="44">
        <v>42.86</v>
      </c>
      <c r="L14" s="44">
        <v>43.18</v>
      </c>
      <c r="M14" s="44">
        <v>33.340000000000003</v>
      </c>
      <c r="N14" s="46">
        <v>2.7</v>
      </c>
      <c r="O14" s="45">
        <v>3.44</v>
      </c>
      <c r="P14" s="46">
        <f>N14*J14</f>
        <v>191.70000000000002</v>
      </c>
      <c r="Q14" s="47">
        <f>J14*O14</f>
        <v>244.24</v>
      </c>
      <c r="R14" s="68">
        <f>J14*K14*L14*M14/1000000</f>
        <v>4.3808536888720004</v>
      </c>
      <c r="S14" s="44">
        <v>7826330</v>
      </c>
      <c r="T14" s="41" t="s">
        <v>32</v>
      </c>
      <c r="U14" s="57" t="s">
        <v>41</v>
      </c>
      <c r="V14" s="58">
        <v>7.5</v>
      </c>
      <c r="W14" s="59" t="s">
        <v>33</v>
      </c>
      <c r="X14" s="60">
        <v>46269</v>
      </c>
      <c r="Y14" s="44" t="s">
        <v>52</v>
      </c>
    </row>
    <row r="15" spans="1:250" s="48" customFormat="1" ht="58.5" customHeight="1" x14ac:dyDescent="0.15">
      <c r="A15" s="41" t="s">
        <v>38</v>
      </c>
      <c r="B15" s="41" t="s">
        <v>42</v>
      </c>
      <c r="C15" s="43" t="s">
        <v>43</v>
      </c>
      <c r="D15" s="41">
        <v>11369</v>
      </c>
      <c r="E15" s="41" t="s">
        <v>39</v>
      </c>
      <c r="F15" s="41" t="s">
        <v>34</v>
      </c>
      <c r="G15" s="49" t="s">
        <v>31</v>
      </c>
      <c r="H15" s="41">
        <v>280</v>
      </c>
      <c r="I15" s="44">
        <v>4</v>
      </c>
      <c r="J15" s="70">
        <f t="shared" si="20"/>
        <v>70</v>
      </c>
      <c r="K15" s="44">
        <v>42.86</v>
      </c>
      <c r="L15" s="44">
        <v>43.18</v>
      </c>
      <c r="M15" s="44">
        <v>33.340000000000003</v>
      </c>
      <c r="N15" s="46">
        <v>2.7</v>
      </c>
      <c r="O15" s="45">
        <v>3.44</v>
      </c>
      <c r="P15" s="46">
        <f t="shared" si="21"/>
        <v>189</v>
      </c>
      <c r="Q15" s="47">
        <f t="shared" si="22"/>
        <v>240.79999999999998</v>
      </c>
      <c r="R15" s="68">
        <f t="shared" si="23"/>
        <v>4.3191515242400005</v>
      </c>
      <c r="S15" s="44">
        <v>7826330</v>
      </c>
      <c r="T15" s="41" t="s">
        <v>32</v>
      </c>
      <c r="U15" s="57" t="s">
        <v>41</v>
      </c>
      <c r="V15" s="58">
        <v>7.5</v>
      </c>
      <c r="W15" s="59" t="s">
        <v>33</v>
      </c>
      <c r="X15" s="60">
        <v>46269</v>
      </c>
      <c r="Y15" s="44" t="s">
        <v>49</v>
      </c>
    </row>
    <row r="16" spans="1:250" s="33" customFormat="1" ht="34.9" customHeight="1" x14ac:dyDescent="0.15">
      <c r="A16" s="31"/>
      <c r="B16" s="56"/>
      <c r="C16" s="56"/>
      <c r="D16" s="56"/>
      <c r="E16" s="31"/>
      <c r="F16" s="55"/>
      <c r="G16" s="34" t="s">
        <v>29</v>
      </c>
      <c r="H16" s="50">
        <f>SUM(H4:H15)</f>
        <v>1236</v>
      </c>
      <c r="I16" s="32"/>
      <c r="J16" s="35">
        <f>SUM(J4:J15)</f>
        <v>309</v>
      </c>
      <c r="K16" s="32"/>
      <c r="L16" s="32"/>
      <c r="M16" s="32"/>
      <c r="N16" s="36"/>
      <c r="O16" s="36"/>
      <c r="P16" s="37">
        <f>SUM(P4:P15)</f>
        <v>834.30000000000007</v>
      </c>
      <c r="Q16" s="38">
        <f>SUM(Q4:Q15)</f>
        <v>1062.96</v>
      </c>
      <c r="R16" s="69">
        <f>SUM(R4:R15)</f>
        <v>19.065968871288</v>
      </c>
      <c r="S16" s="36"/>
      <c r="T16" s="39"/>
      <c r="U16" s="61"/>
      <c r="V16" s="83"/>
      <c r="W16" s="83"/>
      <c r="X16" s="83"/>
      <c r="Y16" s="83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  <c r="GW16" s="31"/>
      <c r="GX16" s="31"/>
      <c r="GY16" s="31"/>
      <c r="GZ16" s="31"/>
      <c r="HA16" s="31"/>
      <c r="HB16" s="31"/>
      <c r="HC16" s="31"/>
      <c r="HD16" s="31"/>
      <c r="HE16" s="31"/>
      <c r="HF16" s="31"/>
      <c r="HG16" s="31"/>
      <c r="HH16" s="31"/>
      <c r="HI16" s="31"/>
      <c r="HJ16" s="31"/>
      <c r="HK16" s="31"/>
      <c r="HL16" s="31"/>
      <c r="HM16" s="31"/>
      <c r="HN16" s="31"/>
      <c r="HO16" s="31"/>
      <c r="HP16" s="31"/>
      <c r="HQ16" s="31"/>
      <c r="HR16" s="31"/>
      <c r="HS16" s="31"/>
      <c r="HT16" s="31"/>
      <c r="HU16" s="31"/>
      <c r="HV16" s="31"/>
      <c r="HW16" s="31"/>
      <c r="HX16" s="31"/>
      <c r="HY16" s="31"/>
      <c r="HZ16" s="31"/>
      <c r="IA16" s="31"/>
      <c r="IB16" s="31"/>
      <c r="IC16" s="31"/>
      <c r="ID16" s="31"/>
      <c r="IE16" s="31"/>
      <c r="IF16" s="31"/>
      <c r="IG16" s="31"/>
      <c r="IH16" s="31"/>
      <c r="II16" s="31"/>
      <c r="IJ16" s="31"/>
      <c r="IK16" s="31"/>
      <c r="IL16" s="31"/>
      <c r="IM16" s="31"/>
      <c r="IN16" s="31"/>
      <c r="IO16" s="31"/>
      <c r="IP16" s="31"/>
    </row>
    <row r="17" spans="1:250" s="33" customFormat="1" ht="34.9" customHeight="1" x14ac:dyDescent="0.15">
      <c r="A17" s="31"/>
      <c r="B17" s="56"/>
      <c r="C17" s="56"/>
      <c r="D17" s="56"/>
      <c r="E17" s="31"/>
      <c r="F17" s="55"/>
      <c r="G17" s="64"/>
      <c r="H17" s="65"/>
      <c r="I17" s="32"/>
      <c r="J17" s="32"/>
      <c r="K17" s="32"/>
      <c r="L17" s="32"/>
      <c r="M17" s="32"/>
      <c r="N17" s="36"/>
      <c r="O17" s="36"/>
      <c r="P17" s="36"/>
      <c r="Q17" s="66"/>
      <c r="R17" s="36"/>
      <c r="S17" s="36"/>
      <c r="T17" s="39"/>
      <c r="U17" s="61"/>
      <c r="V17" s="63"/>
      <c r="W17" s="63"/>
      <c r="X17" s="63"/>
      <c r="Y17" s="63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/>
      <c r="FU17" s="31"/>
      <c r="FV17" s="31"/>
      <c r="FW17" s="31"/>
      <c r="FX17" s="31"/>
      <c r="FY17" s="31"/>
      <c r="FZ17" s="31"/>
      <c r="GA17" s="31"/>
      <c r="GB17" s="31"/>
      <c r="GC17" s="31"/>
      <c r="GD17" s="31"/>
      <c r="GE17" s="31"/>
      <c r="GF17" s="31"/>
      <c r="GG17" s="31"/>
      <c r="GH17" s="31"/>
      <c r="GI17" s="31"/>
      <c r="GJ17" s="31"/>
      <c r="GK17" s="31"/>
      <c r="GL17" s="31"/>
      <c r="GM17" s="31"/>
      <c r="GN17" s="31"/>
      <c r="GO17" s="31"/>
      <c r="GP17" s="31"/>
      <c r="GQ17" s="31"/>
      <c r="GR17" s="31"/>
      <c r="GS17" s="31"/>
      <c r="GT17" s="31"/>
      <c r="GU17" s="31"/>
      <c r="GV17" s="31"/>
      <c r="GW17" s="31"/>
      <c r="GX17" s="31"/>
      <c r="GY17" s="31"/>
      <c r="GZ17" s="31"/>
      <c r="HA17" s="31"/>
      <c r="HB17" s="31"/>
      <c r="HC17" s="31"/>
      <c r="HD17" s="31"/>
      <c r="HE17" s="31"/>
      <c r="HF17" s="31"/>
      <c r="HG17" s="31"/>
      <c r="HH17" s="31"/>
      <c r="HI17" s="31"/>
      <c r="HJ17" s="31"/>
      <c r="HK17" s="31"/>
      <c r="HL17" s="31"/>
      <c r="HM17" s="31"/>
      <c r="HN17" s="31"/>
      <c r="HO17" s="31"/>
      <c r="HP17" s="31"/>
      <c r="HQ17" s="31"/>
      <c r="HR17" s="31"/>
      <c r="HS17" s="31"/>
      <c r="HT17" s="31"/>
      <c r="HU17" s="31"/>
      <c r="HV17" s="31"/>
      <c r="HW17" s="31"/>
      <c r="HX17" s="31"/>
      <c r="HY17" s="31"/>
      <c r="HZ17" s="31"/>
      <c r="IA17" s="31"/>
      <c r="IB17" s="31"/>
      <c r="IC17" s="31"/>
      <c r="ID17" s="31"/>
      <c r="IE17" s="31"/>
      <c r="IF17" s="31"/>
      <c r="IG17" s="31"/>
      <c r="IH17" s="31"/>
      <c r="II17" s="31"/>
      <c r="IJ17" s="31"/>
      <c r="IK17" s="31"/>
      <c r="IL17" s="31"/>
      <c r="IM17" s="31"/>
      <c r="IN17" s="31"/>
      <c r="IO17" s="31"/>
      <c r="IP17" s="31"/>
    </row>
    <row r="18" spans="1:250" ht="30.75" customHeight="1" x14ac:dyDescent="0.15">
      <c r="B18" s="71" t="s">
        <v>50</v>
      </c>
      <c r="D18" s="42"/>
      <c r="E18" s="42"/>
      <c r="F18" s="67" t="s">
        <v>36</v>
      </c>
      <c r="G18" s="51"/>
      <c r="H18" s="72"/>
      <c r="I18" s="9"/>
      <c r="J18" s="9"/>
      <c r="K18" s="9"/>
      <c r="L18" s="9"/>
      <c r="M18" s="9"/>
      <c r="N18" s="9"/>
      <c r="O18" s="9"/>
      <c r="P18" s="9"/>
      <c r="Q18" s="9"/>
      <c r="R18" s="4"/>
      <c r="S18" s="74"/>
      <c r="T18" s="14"/>
      <c r="U18" s="14"/>
      <c r="V18" s="16"/>
      <c r="W18" s="17"/>
      <c r="X18" s="15"/>
      <c r="Y18" s="15"/>
    </row>
    <row r="19" spans="1:250" x14ac:dyDescent="0.15">
      <c r="A19" s="81"/>
      <c r="B19" s="81"/>
      <c r="D19" s="5"/>
      <c r="F19" s="52"/>
      <c r="G19" s="6"/>
      <c r="H19" s="4"/>
      <c r="I19" s="40"/>
      <c r="J19" s="40"/>
      <c r="K19" s="9"/>
      <c r="L19" s="9"/>
      <c r="M19" s="9"/>
      <c r="N19" s="9"/>
      <c r="O19" s="9"/>
      <c r="P19" s="9"/>
      <c r="Q19" s="9"/>
      <c r="R19" s="4"/>
      <c r="S19" s="74"/>
      <c r="T19" s="18"/>
      <c r="U19" s="18"/>
      <c r="V19" s="19"/>
      <c r="W19" s="17"/>
      <c r="X19" s="15"/>
      <c r="Y19" s="15"/>
    </row>
    <row r="20" spans="1:250" ht="25.5" customHeight="1" x14ac:dyDescent="0.15">
      <c r="F20" s="28"/>
      <c r="G20" s="28"/>
      <c r="H20" s="28"/>
      <c r="I20" s="28"/>
      <c r="J20" s="40"/>
      <c r="K20" s="9"/>
      <c r="L20" s="9"/>
      <c r="M20" s="9"/>
      <c r="N20" s="9"/>
      <c r="O20" s="9"/>
      <c r="P20" s="20" t="s">
        <v>21</v>
      </c>
      <c r="Q20" s="82" t="s">
        <v>30</v>
      </c>
      <c r="R20" s="82"/>
      <c r="S20" s="82"/>
      <c r="T20" s="82"/>
      <c r="U20" s="82"/>
      <c r="V20" s="82"/>
      <c r="W20" s="17"/>
      <c r="X20" s="15"/>
      <c r="Y20" s="15"/>
    </row>
    <row r="21" spans="1:250" x14ac:dyDescent="0.15">
      <c r="A21" s="6"/>
      <c r="B21" s="4"/>
      <c r="C21" s="27"/>
      <c r="D21" s="27"/>
      <c r="E21" s="27"/>
      <c r="F21" s="84" t="s">
        <v>35</v>
      </c>
      <c r="G21" s="85"/>
      <c r="H21" s="85"/>
      <c r="I21" s="85"/>
      <c r="J21" s="85"/>
      <c r="K21" s="4"/>
      <c r="L21" s="4"/>
      <c r="M21" s="4"/>
      <c r="N21" s="4"/>
      <c r="O21" s="4"/>
      <c r="P21" s="20" t="s">
        <v>22</v>
      </c>
      <c r="Q21" s="86" t="s">
        <v>40</v>
      </c>
      <c r="R21" s="86"/>
      <c r="S21" s="86"/>
      <c r="W21" s="4"/>
    </row>
    <row r="22" spans="1:250" x14ac:dyDescent="0.15">
      <c r="A22" s="21"/>
      <c r="B22" s="27"/>
      <c r="C22" s="27"/>
      <c r="D22" s="27"/>
      <c r="E22" s="27"/>
      <c r="F22" s="85"/>
      <c r="G22" s="85"/>
      <c r="H22" s="85"/>
      <c r="I22" s="85"/>
      <c r="J22" s="85"/>
      <c r="K22" s="4"/>
      <c r="L22" s="4"/>
      <c r="M22" s="4"/>
      <c r="N22" s="4"/>
      <c r="O22" s="4"/>
      <c r="P22" s="20" t="s">
        <v>23</v>
      </c>
      <c r="Q22" s="24">
        <f>X4</f>
        <v>46269</v>
      </c>
      <c r="R22" s="4"/>
      <c r="S22" s="74"/>
      <c r="W22" s="4"/>
    </row>
    <row r="23" spans="1:250" ht="37.5" customHeight="1" x14ac:dyDescent="0.15">
      <c r="A23" s="80"/>
      <c r="B23" s="80"/>
      <c r="C23" s="4"/>
      <c r="D23" s="4"/>
      <c r="E23" s="53"/>
      <c r="F23" s="85"/>
      <c r="G23" s="85"/>
      <c r="H23" s="85"/>
      <c r="I23" s="85"/>
      <c r="J23" s="85"/>
      <c r="K23" s="7"/>
      <c r="L23" s="4"/>
      <c r="M23" s="4"/>
      <c r="N23" s="4"/>
      <c r="O23" s="4"/>
      <c r="P23" s="25" t="s">
        <v>24</v>
      </c>
      <c r="Q23" s="26" t="s">
        <v>37</v>
      </c>
      <c r="R23" s="4"/>
      <c r="S23" s="74"/>
      <c r="W23" s="4"/>
    </row>
    <row r="24" spans="1:250" x14ac:dyDescent="0.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25" t="s">
        <v>25</v>
      </c>
      <c r="Q24" s="26" t="s">
        <v>57</v>
      </c>
      <c r="R24" s="4"/>
      <c r="S24" s="74"/>
      <c r="W24" s="4"/>
    </row>
    <row r="25" spans="1:250" x14ac:dyDescent="0.15">
      <c r="A25" s="8"/>
      <c r="B25" s="4"/>
      <c r="C25" s="81"/>
      <c r="D25" s="81"/>
      <c r="E25" s="4"/>
      <c r="F25" s="54"/>
      <c r="G25" s="4"/>
      <c r="H25" s="4"/>
      <c r="I25" s="4"/>
      <c r="J25" s="4"/>
      <c r="K25" s="4"/>
      <c r="L25" s="4"/>
      <c r="M25" s="4"/>
      <c r="N25" s="4"/>
      <c r="O25" s="4"/>
      <c r="P25" s="20"/>
      <c r="Q25" s="22"/>
      <c r="R25" s="23"/>
      <c r="S25" s="75"/>
      <c r="W25" s="4"/>
    </row>
    <row r="26" spans="1:250" x14ac:dyDescent="0.15">
      <c r="C26" s="21"/>
      <c r="E26" s="21"/>
      <c r="P26" s="20"/>
      <c r="Q26" s="24"/>
      <c r="R26" s="4"/>
      <c r="S26" s="74"/>
    </row>
    <row r="27" spans="1:250" x14ac:dyDescent="0.15">
      <c r="E27" s="21"/>
      <c r="P27" s="25"/>
      <c r="Q27" s="19"/>
      <c r="R27" s="17"/>
      <c r="S27" s="76"/>
    </row>
    <row r="28" spans="1:250" x14ac:dyDescent="0.15">
      <c r="P28" s="25"/>
      <c r="Q28" s="19"/>
      <c r="R28" s="17"/>
      <c r="S28" s="76"/>
    </row>
    <row r="29" spans="1:250" x14ac:dyDescent="0.15">
      <c r="A29" s="6"/>
      <c r="B29" s="21"/>
      <c r="P29" s="4"/>
      <c r="Q29" s="17"/>
      <c r="R29" s="17"/>
      <c r="S29" s="76"/>
    </row>
    <row r="30" spans="1:250" x14ac:dyDescent="0.15">
      <c r="Q30" s="15"/>
      <c r="R30" s="15"/>
      <c r="S30" s="77"/>
    </row>
    <row r="31" spans="1:250" x14ac:dyDescent="0.15">
      <c r="A31" s="6"/>
      <c r="Q31" s="15"/>
      <c r="R31" s="15"/>
      <c r="S31" s="77"/>
    </row>
  </sheetData>
  <mergeCells count="27">
    <mergeCell ref="W2:W3"/>
    <mergeCell ref="X2:X3"/>
    <mergeCell ref="Y2:Y3"/>
    <mergeCell ref="A1:Y1"/>
    <mergeCell ref="A2:A3"/>
    <mergeCell ref="B2:B3"/>
    <mergeCell ref="C2:C3"/>
    <mergeCell ref="D2:D3"/>
    <mergeCell ref="U2:U3"/>
    <mergeCell ref="S2:S3"/>
    <mergeCell ref="H2:H3"/>
    <mergeCell ref="E2:E3"/>
    <mergeCell ref="I2:I3"/>
    <mergeCell ref="J2:J3"/>
    <mergeCell ref="O2:O3"/>
    <mergeCell ref="R2:R3"/>
    <mergeCell ref="T2:T3"/>
    <mergeCell ref="K2:M3"/>
    <mergeCell ref="F2:G3"/>
    <mergeCell ref="N2:N3"/>
    <mergeCell ref="A23:B23"/>
    <mergeCell ref="A19:B19"/>
    <mergeCell ref="Q20:V20"/>
    <mergeCell ref="V16:Y16"/>
    <mergeCell ref="C25:D25"/>
    <mergeCell ref="F21:J23"/>
    <mergeCell ref="Q21:S21"/>
  </mergeCells>
  <phoneticPr fontId="15" type="noConversion"/>
  <printOptions horizontalCentered="1"/>
  <pageMargins left="0.11811023622047245" right="7.874015748031496E-2" top="0.15748031496062992" bottom="0.15748031496062992" header="0.19685039370078741" footer="7.874015748031496E-2"/>
  <pageSetup paperSize="9" scale="51" orientation="landscape" r:id="rId1"/>
  <headerFooter scaleWithDoc="0" alignWithMargins="0">
    <oddFooter>&amp;CPage &amp;P of &amp;N</oddFooter>
  </headerFooter>
  <rowBreaks count="1" manualBreakCount="1">
    <brk id="25" max="2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R21" sqref="R21"/>
    </sheetView>
  </sheetViews>
  <sheetFormatPr defaultColWidth="9" defaultRowHeight="14.25" x14ac:dyDescent="0.15"/>
  <sheetData/>
  <phoneticPr fontId="1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"/>
  <sheetViews>
    <sheetView view="pageBreakPreview" zoomScaleNormal="70" workbookViewId="0">
      <selection activeCell="E38" sqref="E38"/>
    </sheetView>
  </sheetViews>
  <sheetFormatPr defaultColWidth="9" defaultRowHeight="14.25" x14ac:dyDescent="0.15"/>
  <cols>
    <col min="14" max="14" width="9.5" customWidth="1"/>
  </cols>
  <sheetData/>
  <phoneticPr fontId="15" type="noConversion"/>
  <pageMargins left="0.118055555555556" right="3.8888888888888903E-2" top="0.47" bottom="0.35" header="0.24" footer="0.2"/>
  <pageSetup paperSize="9"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Sheet1</vt:lpstr>
      <vt:lpstr>Sheet3</vt:lpstr>
      <vt:lpstr>Sheet2</vt:lpstr>
      <vt:lpstr>Sheet1!Print_Area</vt:lpstr>
      <vt:lpstr>Sheet1!Print_Titles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Susan</cp:lastModifiedBy>
  <cp:revision>1</cp:revision>
  <cp:lastPrinted>2026-09-11T07:37:27Z</cp:lastPrinted>
  <dcterms:created xsi:type="dcterms:W3CDTF">2012-09-05T12:09:00Z</dcterms:created>
  <dcterms:modified xsi:type="dcterms:W3CDTF">2026-09-11T07:37:29Z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2360F2D050F34F5882C8A2C7C54F8616</vt:lpwstr>
  </property>
</Properties>
</file>