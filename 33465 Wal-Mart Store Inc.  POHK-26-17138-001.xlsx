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TUYA\Desktop\新建文件夹\"/>
    </mc:Choice>
  </mc:AlternateContent>
  <xr:revisionPtr revIDLastSave="0" documentId="13_ncr:1_{7C1B12DE-14D5-4E68-9B8C-5FBBAF398E93}" xr6:coauthVersionLast="47" xr6:coauthVersionMax="47" xr10:uidLastSave="{00000000-0000-0000-0000-000000000000}"/>
  <bookViews>
    <workbookView xWindow="-120" yWindow="-120" windowWidth="29040" windowHeight="15720" xr2:uid="{004A6AE5-2895-41F7-AF34-C1E346DAE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" i="1" l="1"/>
  <c r="F20" i="1" l="1"/>
  <c r="U20" i="1" s="1"/>
  <c r="U21" i="1" s="1"/>
  <c r="E21" i="1"/>
  <c r="Q20" i="1"/>
  <c r="B20" i="1"/>
  <c r="F21" i="1" l="1"/>
  <c r="W20" i="1"/>
  <c r="W21" i="1" s="1"/>
  <c r="S20" i="1"/>
  <c r="S21" i="1" s="1"/>
</calcChain>
</file>

<file path=xl/sharedStrings.xml><?xml version="1.0" encoding="utf-8"?>
<sst xmlns="http://schemas.openxmlformats.org/spreadsheetml/2006/main" count="70" uniqueCount="58">
  <si>
    <t>TO    :</t>
  </si>
  <si>
    <t>JUST PLAY (HK) LTD</t>
  </si>
  <si>
    <t>DATE :</t>
  </si>
  <si>
    <t>ATTN :</t>
  </si>
  <si>
    <t>JP PO # :</t>
  </si>
  <si>
    <t>FROM :</t>
  </si>
  <si>
    <t>CUSTOMER PO# :</t>
  </si>
  <si>
    <t>Expected Delivery Date  :</t>
  </si>
  <si>
    <t>CUSTOMER :</t>
  </si>
  <si>
    <t>請填上以下貨號之外箱呎碼及重量後 ,並電郵到 JUST PLAY (HK) LTD ATTN SHIPPING DEPT,謝謝!</t>
  </si>
  <si>
    <t>DATE CODE :</t>
  </si>
  <si>
    <t>PACKING LIST</t>
  </si>
  <si>
    <t>JUST PLAY PO#</t>
  </si>
  <si>
    <t>CUSTOMER PO#</t>
  </si>
  <si>
    <t>ITEM NO.</t>
  </si>
  <si>
    <t>CASE PACK</t>
  </si>
  <si>
    <t>TOTAL QTY</t>
  </si>
  <si>
    <t>NO. OF CTNS</t>
  </si>
  <si>
    <t>NET  WT PER CTN</t>
  </si>
  <si>
    <t>GROSS WT PER CTN</t>
  </si>
  <si>
    <t>MEASUREMENT (L X W X H)</t>
  </si>
  <si>
    <t>BOX</t>
  </si>
  <si>
    <t>TOTAL</t>
  </si>
  <si>
    <t xml:space="preserve">Pls provide kind of Toys in English
请提供英文的玩具种类 </t>
  </si>
  <si>
    <t>Battery Included</t>
  </si>
  <si>
    <t>VOLUME</t>
  </si>
  <si>
    <t>N. WT</t>
  </si>
  <si>
    <t>G. WT</t>
  </si>
  <si>
    <t>KGS</t>
    <phoneticPr fontId="0" type="noConversion"/>
  </si>
  <si>
    <t>KGS</t>
  </si>
  <si>
    <t>x</t>
  </si>
  <si>
    <t>CM</t>
  </si>
  <si>
    <t>CBM</t>
  </si>
  <si>
    <r>
      <t xml:space="preserve">USCI (Unified Social Credit Identifier) - </t>
    </r>
    <r>
      <rPr>
        <sz val="10"/>
        <rFont val="細明體"/>
        <family val="3"/>
        <charset val="136"/>
      </rPr>
      <t>社会信用代码</t>
    </r>
    <r>
      <rPr>
        <sz val="11"/>
        <color theme="1"/>
        <rFont val="等线"/>
        <family val="2"/>
        <scheme val="minor"/>
      </rPr>
      <t xml:space="preserve"> :</t>
    </r>
  </si>
  <si>
    <t>Confirm there is isolation if the battery is installed in product(有无绝缘处理):</t>
  </si>
  <si>
    <t>IF NO, 如果无做绝缘处理，请确认是否有做防短路防护措施</t>
  </si>
  <si>
    <t>MANUFACTURER NAME AND ADDRESS :</t>
  </si>
  <si>
    <r>
      <t>货物中如有电池、磁铁/磁</t>
    </r>
    <r>
      <rPr>
        <b/>
        <sz val="12"/>
        <color indexed="10"/>
        <rFont val="PMingLiU"/>
        <family val="1"/>
      </rPr>
      <t>胶</t>
    </r>
    <r>
      <rPr>
        <b/>
        <sz val="12"/>
        <color indexed="10"/>
        <rFont val="DengXian"/>
      </rPr>
      <t>、化工品、碳类等存在危险性物质的货物出运，请务必提前告知并提供资料审核，若瞒报将会产生罚金并一切责任由贵司承担！！</t>
    </r>
  </si>
  <si>
    <t>SHIP MARKS</t>
  </si>
  <si>
    <t>POSTAL CODE</t>
  </si>
  <si>
    <t xml:space="preserve">  </t>
  </si>
  <si>
    <t xml:space="preserve"> </t>
  </si>
  <si>
    <t xml:space="preserve">   </t>
  </si>
  <si>
    <t>NO</t>
  </si>
  <si>
    <t>Include MAGNET     是否有磁铁/磁胶</t>
  </si>
  <si>
    <t xml:space="preserve">COUTURE TOY LIMITED  
Room 811,Wealth Commercial Centre 48 Kwong Wa St., Kowloon, HongKong </t>
    <phoneticPr fontId="35" type="noConversion"/>
  </si>
  <si>
    <t>N</t>
    <phoneticPr fontId="35" type="noConversion"/>
  </si>
  <si>
    <t>roto duck</t>
    <phoneticPr fontId="0" type="noConversion"/>
  </si>
  <si>
    <t>91511700MAACP9B4X9</t>
    <phoneticPr fontId="35" type="noConversion"/>
  </si>
  <si>
    <t xml:space="preserve"> Sichuan Ketuya Industrial Company Limited</t>
    <phoneticPr fontId="40" type="noConversion"/>
  </si>
  <si>
    <r>
      <t>Unit 2, No. 1, Xinyuan Avenue,Heli Town, Qu County, Dazhou
City, Sichuan Province</t>
    </r>
    <r>
      <rPr>
        <sz val="10"/>
        <rFont val="微软雅黑"/>
        <family val="2"/>
        <charset val="134"/>
      </rPr>
      <t>，</t>
    </r>
    <r>
      <rPr>
        <sz val="11"/>
        <color theme="1"/>
        <rFont val="等线"/>
        <family val="2"/>
        <scheme val="minor"/>
      </rPr>
      <t>China</t>
    </r>
    <phoneticPr fontId="40" type="noConversion"/>
  </si>
  <si>
    <t>HK SHIPPING</t>
    <phoneticPr fontId="35" type="noConversion"/>
  </si>
  <si>
    <t>Couture Toy</t>
    <phoneticPr fontId="35" type="noConversion"/>
  </si>
  <si>
    <t>2466KTY01</t>
    <phoneticPr fontId="35" type="noConversion"/>
  </si>
  <si>
    <t>33465-000-6B-012-HDQ</t>
    <phoneticPr fontId="9" type="noConversion"/>
  </si>
  <si>
    <t>POHK-26-17138-001</t>
    <phoneticPr fontId="35" type="noConversion"/>
  </si>
  <si>
    <t>6967-R1-CVS</t>
    <phoneticPr fontId="35" type="noConversion"/>
  </si>
  <si>
    <t>Just Play LLC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</si>
</sst>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/m/yyyy;@"/>
    <numFmt numFmtId="177" formatCode="0.00000"/>
    <numFmt numFmtId="178" formatCode="0.000"/>
  </numFmts>
  <fonts count="45">
    <font>
      <sz val="11"/>
      <color theme="1"/>
      <name val="等线"/>
      <family val="2"/>
      <scheme val="minor"/>
    </font>
    <font>
      <sz val="11"/>
      <color rgb="FF9C5700"/>
      <name val="等线"/>
      <family val="2"/>
      <scheme val="minor"/>
    </font>
    <font>
      <b/>
      <sz val="20"/>
      <name val="Arial"/>
      <family val="2"/>
    </font>
    <font>
      <b/>
      <sz val="11"/>
      <name val="Trebuchet MS"/>
      <family val="2"/>
    </font>
    <font>
      <b/>
      <sz val="10"/>
      <name val="Trebuchet MS"/>
      <family val="2"/>
    </font>
    <font>
      <b/>
      <sz val="20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color rgb="FFFF0000"/>
      <name val="Aptos"/>
      <family val="2"/>
    </font>
    <font>
      <b/>
      <sz val="11"/>
      <name val="Arial"/>
      <family val="2"/>
    </font>
    <font>
      <sz val="11"/>
      <name val="Aptos"/>
      <family val="2"/>
    </font>
    <font>
      <sz val="11"/>
      <name val="Arial"/>
      <family val="2"/>
    </font>
    <font>
      <sz val="10"/>
      <name val="Aptos"/>
      <family val="2"/>
    </font>
    <font>
      <b/>
      <sz val="11"/>
      <color rgb="FFFF0000"/>
      <name val="等线"/>
      <family val="1"/>
      <charset val="136"/>
      <scheme val="minor"/>
    </font>
    <font>
      <sz val="11"/>
      <color rgb="FFFF0000"/>
      <name val="等线"/>
      <family val="1"/>
      <charset val="136"/>
      <scheme val="minor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 Unicode MS"/>
      <family val="2"/>
      <charset val="136"/>
    </font>
    <font>
      <sz val="10"/>
      <color rgb="FFFF0000"/>
      <name val="Aptos"/>
      <family val="2"/>
    </font>
    <font>
      <u/>
      <sz val="10"/>
      <color theme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微软雅黑"/>
      <family val="2"/>
      <charset val="134"/>
    </font>
    <font>
      <sz val="10"/>
      <color indexed="12"/>
      <name val="Arial"/>
      <family val="2"/>
    </font>
    <font>
      <sz val="10"/>
      <name val="細明體"/>
      <family val="3"/>
      <charset val="136"/>
    </font>
    <font>
      <b/>
      <sz val="11"/>
      <color rgb="FF271DEF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DengXian"/>
      <family val="1"/>
    </font>
    <font>
      <b/>
      <sz val="12"/>
      <color indexed="10"/>
      <name val="PMingLiU"/>
      <family val="1"/>
    </font>
    <font>
      <b/>
      <sz val="12"/>
      <color indexed="10"/>
      <name val="DengXian"/>
    </font>
    <font>
      <sz val="9"/>
      <name val="Courier New"/>
      <family val="3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b/>
      <sz val="22"/>
      <color theme="1"/>
      <name val="Calibri"/>
      <family val="2"/>
    </font>
    <font>
      <sz val="11"/>
      <color theme="1"/>
      <name val="Aptos"/>
      <family val="2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1"/>
      <charset val="136"/>
      <scheme val="minor"/>
    </font>
    <font>
      <sz val="9"/>
      <name val="宋体"/>
      <family val="3"/>
      <charset val="134"/>
    </font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b/>
      <sz val="12"/>
      <color theme="1"/>
      <name val="等线"/>
      <family val="2"/>
      <scheme val="minor"/>
    </font>
    <font>
      <b/>
      <sz val="12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21" fillId="0" borderId="0"/>
    <xf numFmtId="0" fontId="32" fillId="0" borderId="0"/>
  </cellStyleXfs>
  <cellXfs count="126">
    <xf numFmtId="0" fontId="0" fillId="0" borderId="0" xfId="0"/>
    <xf numFmtId="176" fontId="8" fillId="0" borderId="1" xfId="1" applyNumberFormat="1" applyFont="1" applyFill="1" applyBorder="1" applyAlignment="1" applyProtection="1">
      <protection locked="0"/>
    </xf>
    <xf numFmtId="0" fontId="1" fillId="0" borderId="1" xfId="1" applyFill="1" applyBorder="1" applyAlignment="1" applyProtection="1">
      <alignment horizontal="center"/>
      <protection locked="0"/>
    </xf>
    <xf numFmtId="0" fontId="1" fillId="0" borderId="1" xfId="1" applyFill="1" applyBorder="1" applyAlignment="1" applyProtection="1">
      <alignment horizontal="left"/>
      <protection locked="0"/>
    </xf>
    <xf numFmtId="0" fontId="8" fillId="0" borderId="1" xfId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3" fillId="0" borderId="1" xfId="1" applyFont="1" applyFill="1" applyBorder="1" applyProtection="1">
      <protection locked="0"/>
    </xf>
    <xf numFmtId="0" fontId="14" fillId="0" borderId="1" xfId="1" applyFont="1" applyFill="1" applyBorder="1" applyProtection="1">
      <protection locked="0"/>
    </xf>
    <xf numFmtId="0" fontId="8" fillId="0" borderId="1" xfId="1" applyFont="1" applyFill="1" applyBorder="1" applyProtection="1">
      <protection locked="0"/>
    </xf>
    <xf numFmtId="176" fontId="17" fillId="0" borderId="1" xfId="1" quotePrefix="1" applyNumberFormat="1" applyFont="1" applyFill="1" applyBorder="1" applyAlignment="1" applyProtection="1">
      <protection locked="0"/>
    </xf>
    <xf numFmtId="0" fontId="18" fillId="0" borderId="1" xfId="0" applyFont="1" applyBorder="1" applyProtection="1">
      <protection locked="0"/>
    </xf>
    <xf numFmtId="0" fontId="0" fillId="0" borderId="16" xfId="0" applyBorder="1" applyAlignment="1" applyProtection="1">
      <alignment wrapText="1"/>
      <protection locked="0"/>
    </xf>
    <xf numFmtId="1" fontId="0" fillId="0" borderId="17" xfId="0" applyNumberFormat="1" applyBorder="1" applyAlignment="1" applyProtection="1">
      <alignment horizontal="center" wrapText="1"/>
      <protection locked="0"/>
    </xf>
    <xf numFmtId="1" fontId="0" fillId="0" borderId="16" xfId="0" applyNumberFormat="1" applyBorder="1" applyAlignment="1" applyProtection="1">
      <alignment horizontal="center"/>
      <protection locked="0"/>
    </xf>
    <xf numFmtId="3" fontId="0" fillId="0" borderId="16" xfId="0" applyNumberFormat="1" applyBorder="1" applyAlignment="1" applyProtection="1">
      <alignment horizontal="center"/>
      <protection locked="0"/>
    </xf>
    <xf numFmtId="2" fontId="23" fillId="0" borderId="16" xfId="0" applyNumberFormat="1" applyFon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25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16" fillId="0" borderId="0" xfId="0" applyFont="1" applyProtection="1">
      <protection locked="0"/>
    </xf>
    <xf numFmtId="177" fontId="23" fillId="0" borderId="16" xfId="0" quotePrefix="1" applyNumberFormat="1" applyFont="1" applyBorder="1" applyAlignment="1" applyProtection="1">
      <alignment horizontal="center"/>
      <protection locked="0"/>
    </xf>
    <xf numFmtId="178" fontId="23" fillId="0" borderId="16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1" applyFont="1" applyFill="1" applyAlignment="1" applyProtection="1">
      <alignment horizontal="center"/>
    </xf>
    <xf numFmtId="0" fontId="11" fillId="0" borderId="0" xfId="0" applyFont="1"/>
    <xf numFmtId="0" fontId="1" fillId="0" borderId="0" xfId="1" applyFill="1" applyProtection="1"/>
    <xf numFmtId="0" fontId="12" fillId="0" borderId="0" xfId="0" applyFont="1"/>
    <xf numFmtId="0" fontId="10" fillId="0" borderId="2" xfId="1" quotePrefix="1" applyFont="1" applyFill="1" applyBorder="1" applyProtection="1"/>
    <xf numFmtId="0" fontId="10" fillId="0" borderId="2" xfId="1" applyFont="1" applyFill="1" applyBorder="1" applyProtection="1"/>
    <xf numFmtId="0" fontId="7" fillId="0" borderId="0" xfId="0" applyFont="1" applyAlignment="1">
      <alignment horizontal="right" vertical="center"/>
    </xf>
    <xf numFmtId="0" fontId="10" fillId="0" borderId="0" xfId="0" applyFont="1"/>
    <xf numFmtId="0" fontId="10" fillId="0" borderId="0" xfId="1" applyFont="1" applyFill="1" applyBorder="1" applyProtection="1"/>
    <xf numFmtId="0" fontId="15" fillId="0" borderId="0" xfId="0" applyFont="1"/>
    <xf numFmtId="176" fontId="17" fillId="0" borderId="0" xfId="1" quotePrefix="1" applyNumberFormat="1" applyFont="1" applyFill="1" applyBorder="1" applyAlignment="1" applyProtection="1"/>
    <xf numFmtId="0" fontId="7" fillId="0" borderId="0" xfId="0" applyFont="1"/>
    <xf numFmtId="0" fontId="7" fillId="0" borderId="0" xfId="0" applyFont="1" applyAlignment="1">
      <alignment horizontal="right"/>
    </xf>
    <xf numFmtId="0" fontId="10" fillId="0" borderId="0" xfId="1" applyFont="1" applyFill="1" applyBorder="1" applyAlignment="1" applyProtection="1">
      <alignment horizontal="center"/>
    </xf>
    <xf numFmtId="0" fontId="6" fillId="0" borderId="0" xfId="0" applyFont="1" applyAlignment="1">
      <alignment horizontal="right"/>
    </xf>
    <xf numFmtId="0" fontId="19" fillId="0" borderId="0" xfId="2" applyProtection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6" xfId="0" applyBorder="1"/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25" fillId="0" borderId="0" xfId="0" applyFont="1"/>
    <xf numFmtId="0" fontId="29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0" fontId="27" fillId="3" borderId="0" xfId="0" applyFont="1" applyFill="1"/>
    <xf numFmtId="0" fontId="0" fillId="3" borderId="0" xfId="0" applyFill="1"/>
    <xf numFmtId="0" fontId="27" fillId="0" borderId="0" xfId="0" applyFont="1" applyAlignment="1">
      <alignment horizontal="center"/>
    </xf>
    <xf numFmtId="0" fontId="21" fillId="0" borderId="0" xfId="0" applyFont="1"/>
    <xf numFmtId="2" fontId="23" fillId="0" borderId="16" xfId="0" quotePrefix="1" applyNumberFormat="1" applyFont="1" applyBorder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34" fillId="0" borderId="0" xfId="0" applyFont="1"/>
    <xf numFmtId="15" fontId="37" fillId="0" borderId="1" xfId="1" quotePrefix="1" applyNumberFormat="1" applyFont="1" applyFill="1" applyBorder="1" applyAlignment="1" applyProtection="1">
      <alignment horizontal="center"/>
      <protection locked="0"/>
    </xf>
    <xf numFmtId="0" fontId="37" fillId="0" borderId="1" xfId="1" applyFont="1" applyFill="1" applyBorder="1" applyProtection="1">
      <protection locked="0"/>
    </xf>
    <xf numFmtId="0" fontId="38" fillId="0" borderId="1" xfId="1" applyFont="1" applyFill="1" applyBorder="1" applyAlignment="1" applyProtection="1">
      <alignment horizontal="left"/>
      <protection locked="0"/>
    </xf>
    <xf numFmtId="0" fontId="39" fillId="0" borderId="1" xfId="1" applyFont="1" applyFill="1" applyBorder="1" applyProtection="1">
      <protection locked="0"/>
    </xf>
    <xf numFmtId="2" fontId="23" fillId="4" borderId="16" xfId="0" applyNumberFormat="1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34" fillId="3" borderId="0" xfId="0" applyFont="1" applyFill="1"/>
    <xf numFmtId="0" fontId="0" fillId="3" borderId="0" xfId="0" applyFill="1" applyAlignment="1">
      <alignment horizontal="center"/>
    </xf>
    <xf numFmtId="0" fontId="0" fillId="0" borderId="16" xfId="0" applyBorder="1" applyAlignment="1" applyProtection="1">
      <alignment horizontal="center"/>
      <protection locked="0"/>
    </xf>
    <xf numFmtId="16" fontId="41" fillId="0" borderId="1" xfId="0" applyNumberFormat="1" applyFont="1" applyBorder="1" applyProtection="1">
      <protection locked="0"/>
    </xf>
    <xf numFmtId="0" fontId="0" fillId="0" borderId="16" xfId="0" applyBorder="1" applyAlignment="1">
      <alignment horizontal="left" wrapText="1"/>
    </xf>
    <xf numFmtId="0" fontId="42" fillId="0" borderId="16" xfId="0" applyFont="1" applyBorder="1" applyAlignment="1">
      <alignment horizontal="left"/>
    </xf>
    <xf numFmtId="0" fontId="43" fillId="0" borderId="16" xfId="0" applyFont="1" applyBorder="1"/>
    <xf numFmtId="0" fontId="43" fillId="0" borderId="18" xfId="0" applyFont="1" applyBorder="1" applyAlignment="1">
      <alignment horizontal="center"/>
    </xf>
    <xf numFmtId="3" fontId="44" fillId="0" borderId="16" xfId="0" applyNumberFormat="1" applyFont="1" applyBorder="1" applyAlignment="1">
      <alignment horizontal="center"/>
    </xf>
    <xf numFmtId="1" fontId="44" fillId="0" borderId="16" xfId="0" applyNumberFormat="1" applyFont="1" applyBorder="1" applyAlignment="1">
      <alignment horizontal="center"/>
    </xf>
    <xf numFmtId="0" fontId="44" fillId="0" borderId="16" xfId="0" quotePrefix="1" applyFont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quotePrefix="1" applyFont="1" applyBorder="1" applyAlignment="1">
      <alignment horizontal="center"/>
    </xf>
    <xf numFmtId="178" fontId="44" fillId="0" borderId="16" xfId="0" applyNumberFormat="1" applyFont="1" applyBorder="1" applyAlignment="1">
      <alignment horizontal="center"/>
    </xf>
    <xf numFmtId="2" fontId="44" fillId="0" borderId="16" xfId="0" applyNumberFormat="1" applyFont="1" applyBorder="1" applyAlignment="1">
      <alignment horizontal="center"/>
    </xf>
    <xf numFmtId="0" fontId="43" fillId="0" borderId="16" xfId="0" applyFont="1" applyBorder="1" applyAlignment="1">
      <alignment horizontal="left"/>
    </xf>
    <xf numFmtId="0" fontId="43" fillId="0" borderId="0" xfId="0" applyFont="1"/>
    <xf numFmtId="0" fontId="12" fillId="0" borderId="1" xfId="0" applyFont="1" applyBorder="1" applyProtection="1">
      <protection locked="0"/>
    </xf>
    <xf numFmtId="0" fontId="0" fillId="3" borderId="0" xfId="0" applyFill="1" applyProtection="1">
      <protection locked="0"/>
    </xf>
    <xf numFmtId="0" fontId="36" fillId="0" borderId="0" xfId="1" applyFont="1" applyFill="1" applyAlignment="1" applyProtection="1">
      <alignment horizontal="center" wrapText="1"/>
      <protection locked="0"/>
    </xf>
    <xf numFmtId="0" fontId="36" fillId="0" borderId="0" xfId="1" applyFont="1" applyFill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3" borderId="0" xfId="0" applyFill="1" applyAlignment="1">
      <alignment horizontal="left" wrapText="1" shrinkToFit="1"/>
    </xf>
    <xf numFmtId="0" fontId="22" fillId="0" borderId="9" xfId="3" applyFont="1" applyBorder="1" applyAlignment="1">
      <alignment horizontal="center" wrapText="1"/>
    </xf>
    <xf numFmtId="0" fontId="22" fillId="0" borderId="15" xfId="3" applyFont="1" applyBorder="1" applyAlignment="1">
      <alignment horizontal="center" wrapText="1"/>
    </xf>
    <xf numFmtId="0" fontId="37" fillId="0" borderId="1" xfId="1" applyFont="1" applyFill="1" applyBorder="1" applyAlignment="1" applyProtection="1">
      <alignment horizontal="left" vertical="center"/>
      <protection locked="0"/>
    </xf>
    <xf numFmtId="0" fontId="37" fillId="0" borderId="1" xfId="1" quotePrefix="1" applyFont="1" applyFill="1" applyBorder="1" applyAlignment="1" applyProtection="1">
      <alignment horizontal="left"/>
      <protection locked="0"/>
    </xf>
  </cellXfs>
  <cellStyles count="5">
    <cellStyle name="Normal 2" xfId="3" xr:uid="{40663C7E-9B0F-4553-AAA3-25DD6F83E063}"/>
    <cellStyle name="常规" xfId="0" builtinId="0"/>
    <cellStyle name="超链接" xfId="2" builtinId="8"/>
    <cellStyle name="适中" xfId="1" builtinId="28"/>
    <cellStyle name="一般 2" xfId="4" xr:uid="{80A79959-6595-484D-B7ED-02CD498F8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149087</xdr:colOff>
      <xdr:row>22</xdr:row>
      <xdr:rowOff>107536</xdr:rowOff>
    </xdr:from>
    <xdr:ext cx="0" cy="211619"/>
    <xdr:pic>
      <xdr:nvPicPr>
        <xdr:cNvPr id="2" name="图片 1">
          <a:extLst>
            <a:ext uri="{FF2B5EF4-FFF2-40B4-BE49-F238E27FC236}">
              <a16:creationId xmlns:a16="http://schemas.microsoft.com/office/drawing/2014/main" id="{6DD09938-824F-4A54-8154-025CF9024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0012" y="2009775"/>
          <a:ext cx="0" cy="2116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6</xdr:col>
      <xdr:colOff>149087</xdr:colOff>
      <xdr:row>22</xdr:row>
      <xdr:rowOff>107536</xdr:rowOff>
    </xdr:from>
    <xdr:ext cx="0" cy="211619"/>
    <xdr:pic>
      <xdr:nvPicPr>
        <xdr:cNvPr id="3" name="图片 2">
          <a:extLst>
            <a:ext uri="{FF2B5EF4-FFF2-40B4-BE49-F238E27FC236}">
              <a16:creationId xmlns:a16="http://schemas.microsoft.com/office/drawing/2014/main" id="{65989131-657A-444F-B4B7-6BD43009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4387" y="2009775"/>
          <a:ext cx="0" cy="2116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149087</xdr:colOff>
      <xdr:row>22</xdr:row>
      <xdr:rowOff>107536</xdr:rowOff>
    </xdr:from>
    <xdr:ext cx="0" cy="211619"/>
    <xdr:pic>
      <xdr:nvPicPr>
        <xdr:cNvPr id="4" name="图片 3">
          <a:extLst>
            <a:ext uri="{FF2B5EF4-FFF2-40B4-BE49-F238E27FC236}">
              <a16:creationId xmlns:a16="http://schemas.microsoft.com/office/drawing/2014/main" id="{E2919E5C-D7B8-479D-BA32-CFCCE4AF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8762" y="2009775"/>
          <a:ext cx="0" cy="2116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8</xdr:col>
      <xdr:colOff>149087</xdr:colOff>
      <xdr:row>22</xdr:row>
      <xdr:rowOff>107536</xdr:rowOff>
    </xdr:from>
    <xdr:ext cx="0" cy="211619"/>
    <xdr:pic>
      <xdr:nvPicPr>
        <xdr:cNvPr id="5" name="图片 4">
          <a:extLst>
            <a:ext uri="{FF2B5EF4-FFF2-40B4-BE49-F238E27FC236}">
              <a16:creationId xmlns:a16="http://schemas.microsoft.com/office/drawing/2014/main" id="{20A4BEF0-A331-41C5-844E-78E21EC31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3137" y="2009775"/>
          <a:ext cx="0" cy="2116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149087</xdr:colOff>
      <xdr:row>22</xdr:row>
      <xdr:rowOff>107536</xdr:rowOff>
    </xdr:from>
    <xdr:ext cx="0" cy="211619"/>
    <xdr:pic>
      <xdr:nvPicPr>
        <xdr:cNvPr id="6" name="图片 5">
          <a:extLst>
            <a:ext uri="{FF2B5EF4-FFF2-40B4-BE49-F238E27FC236}">
              <a16:creationId xmlns:a16="http://schemas.microsoft.com/office/drawing/2014/main" id="{2184FD8C-4F65-4FC8-9495-46E8AD482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7512" y="2009775"/>
          <a:ext cx="0" cy="2116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10</xdr:col>
      <xdr:colOff>149087</xdr:colOff>
      <xdr:row>22</xdr:row>
      <xdr:rowOff>107536</xdr:rowOff>
    </xdr:from>
    <xdr:ext cx="0" cy="211619"/>
    <xdr:pic>
      <xdr:nvPicPr>
        <xdr:cNvPr id="7" name="图片 6">
          <a:extLst>
            <a:ext uri="{FF2B5EF4-FFF2-40B4-BE49-F238E27FC236}">
              <a16:creationId xmlns:a16="http://schemas.microsoft.com/office/drawing/2014/main" id="{E9721BDA-480F-4736-B24D-905558DB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4262" y="2009775"/>
          <a:ext cx="0" cy="211619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16</xdr:col>
      <xdr:colOff>0</xdr:colOff>
      <xdr:row>29</xdr:row>
      <xdr:rowOff>0</xdr:rowOff>
    </xdr:from>
    <xdr:to>
      <xdr:col>25</xdr:col>
      <xdr:colOff>156546</xdr:colOff>
      <xdr:row>31</xdr:row>
      <xdr:rowOff>50936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653D8AC-35D6-EBA6-FB3B-DCC3283BC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0412" y="7160559"/>
          <a:ext cx="7171428" cy="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AD74-F94C-4E55-8306-320807073C1B}">
  <dimension ref="A3:AA38"/>
  <sheetViews>
    <sheetView tabSelected="1" zoomScale="85" zoomScaleNormal="85" workbookViewId="0">
      <selection activeCell="Q30" sqref="Q30"/>
    </sheetView>
  </sheetViews>
  <sheetFormatPr defaultRowHeight="14.25"/>
  <cols>
    <col min="1" max="1" width="21.125" customWidth="1"/>
    <col min="2" max="2" width="12.75" customWidth="1"/>
    <col min="3" max="3" width="22.625" customWidth="1"/>
    <col min="4" max="4" width="7.625" customWidth="1"/>
    <col min="5" max="5" width="9.75" customWidth="1"/>
    <col min="6" max="6" width="8.75" customWidth="1"/>
    <col min="7" max="8" width="6.625" customWidth="1"/>
    <col min="9" max="9" width="7.25" customWidth="1"/>
    <col min="10" max="10" width="5.75" customWidth="1"/>
    <col min="11" max="11" width="7.25" customWidth="1"/>
    <col min="12" max="12" width="2.625" style="5" customWidth="1"/>
    <col min="13" max="13" width="7.625" customWidth="1"/>
    <col min="14" max="14" width="2.125" customWidth="1"/>
    <col min="15" max="15" width="7.375" customWidth="1"/>
    <col min="16" max="16" width="4.375" customWidth="1"/>
    <col min="17" max="17" width="10.625" customWidth="1"/>
    <col min="18" max="18" width="4.75" customWidth="1"/>
    <col min="19" max="19" width="10.75" customWidth="1"/>
    <col min="20" max="20" width="4.75" customWidth="1"/>
    <col min="21" max="21" width="12.75" customWidth="1"/>
    <col min="22" max="22" width="8" customWidth="1"/>
    <col min="23" max="23" width="12.125" customWidth="1"/>
    <col min="24" max="24" width="4.75" customWidth="1"/>
    <col min="25" max="25" width="23.875" customWidth="1"/>
    <col min="26" max="26" width="9" customWidth="1"/>
  </cols>
  <sheetData>
    <row r="3" spans="1:24" ht="69" customHeight="1">
      <c r="A3" s="98" t="s">
        <v>45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</row>
    <row r="4" spans="1:24" ht="26.25">
      <c r="C4" s="28" t="s">
        <v>41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spans="1:24" ht="26.25">
      <c r="C5" s="28" t="s">
        <v>40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spans="1:24" ht="26.25">
      <c r="A6" s="29" t="s">
        <v>0</v>
      </c>
      <c r="B6" s="25" t="s">
        <v>1</v>
      </c>
      <c r="C6" s="26"/>
      <c r="D6" s="25"/>
      <c r="E6" s="25"/>
      <c r="F6" s="25"/>
      <c r="G6" s="27"/>
      <c r="H6" s="28"/>
      <c r="I6" s="28"/>
      <c r="J6" s="28"/>
      <c r="K6" s="28"/>
      <c r="L6" s="28"/>
      <c r="M6" s="28"/>
      <c r="N6" s="28"/>
      <c r="O6" s="28"/>
      <c r="P6" s="28"/>
      <c r="Q6" s="30"/>
      <c r="R6" s="31"/>
      <c r="S6" s="32" t="s">
        <v>2</v>
      </c>
      <c r="T6" s="1"/>
      <c r="U6" s="72">
        <v>46277</v>
      </c>
      <c r="V6" s="1"/>
      <c r="W6" s="1"/>
      <c r="X6" s="24"/>
    </row>
    <row r="7" spans="1:24" ht="26.25">
      <c r="A7" s="33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30"/>
      <c r="R7" s="30"/>
      <c r="S7" s="34"/>
      <c r="T7" s="35"/>
      <c r="U7" s="35"/>
      <c r="V7" s="35"/>
      <c r="W7" s="35"/>
      <c r="X7" s="28"/>
    </row>
    <row r="8" spans="1:24" ht="26.25">
      <c r="A8" s="29" t="s">
        <v>3</v>
      </c>
      <c r="B8" s="74" t="s">
        <v>51</v>
      </c>
      <c r="C8" s="2"/>
      <c r="D8" s="3"/>
      <c r="E8" s="2"/>
      <c r="F8" s="2"/>
      <c r="G8" s="2"/>
      <c r="H8" s="28"/>
      <c r="I8" s="28"/>
      <c r="J8" s="28"/>
      <c r="K8" s="28"/>
      <c r="L8" s="28"/>
      <c r="M8" s="28"/>
      <c r="N8" s="28"/>
      <c r="O8" s="28"/>
      <c r="P8" s="28"/>
      <c r="Q8" s="30"/>
      <c r="R8" s="30"/>
      <c r="S8" s="32" t="s">
        <v>4</v>
      </c>
      <c r="T8" s="124" t="s">
        <v>55</v>
      </c>
      <c r="U8" s="124"/>
      <c r="V8" s="124"/>
      <c r="W8" s="4"/>
      <c r="X8" s="28"/>
    </row>
    <row r="9" spans="1:24" ht="6" customHeight="1">
      <c r="A9" s="36"/>
      <c r="B9" s="37"/>
      <c r="C9" s="37"/>
      <c r="D9" s="37"/>
      <c r="E9" s="37"/>
      <c r="F9" s="37"/>
      <c r="G9" s="37"/>
      <c r="Q9" s="38"/>
      <c r="R9" s="38"/>
      <c r="S9" s="32"/>
      <c r="T9" s="39"/>
      <c r="U9" s="40"/>
      <c r="V9" s="40"/>
      <c r="W9" s="40"/>
    </row>
    <row r="10" spans="1:24" ht="16.5">
      <c r="A10" s="29" t="s">
        <v>5</v>
      </c>
      <c r="B10" s="75" t="s">
        <v>52</v>
      </c>
      <c r="C10" s="7"/>
      <c r="D10" s="6"/>
      <c r="E10" s="7"/>
      <c r="F10" s="7"/>
      <c r="G10" s="7"/>
      <c r="Q10" s="38"/>
      <c r="R10" s="32"/>
      <c r="S10" s="41" t="s">
        <v>6</v>
      </c>
      <c r="T10" s="125" t="s">
        <v>56</v>
      </c>
      <c r="U10" s="125"/>
      <c r="V10" s="125"/>
      <c r="W10" s="8"/>
    </row>
    <row r="11" spans="1:24" ht="6.75" customHeight="1">
      <c r="Q11" s="38"/>
      <c r="R11" s="42"/>
      <c r="S11" s="42"/>
      <c r="T11" s="43"/>
      <c r="U11" s="43"/>
      <c r="V11" s="43"/>
      <c r="W11" s="43"/>
    </row>
    <row r="12" spans="1:24" ht="15.75">
      <c r="A12" s="44" t="s">
        <v>7</v>
      </c>
      <c r="C12" s="81">
        <v>46310</v>
      </c>
      <c r="D12" s="9"/>
      <c r="E12" s="9"/>
      <c r="F12" s="9"/>
      <c r="G12" s="9"/>
      <c r="H12" s="45"/>
      <c r="I12" s="45"/>
      <c r="J12" s="45"/>
      <c r="K12" s="45"/>
      <c r="Q12" s="38"/>
      <c r="R12" s="46"/>
      <c r="S12" s="47" t="s">
        <v>8</v>
      </c>
      <c r="T12" s="73" t="s">
        <v>57</v>
      </c>
      <c r="U12" s="8"/>
      <c r="V12" s="8"/>
      <c r="W12" s="8"/>
    </row>
    <row r="13" spans="1:24" ht="15.75" customHeight="1">
      <c r="Q13" s="38"/>
      <c r="R13" s="38"/>
      <c r="S13" s="42"/>
      <c r="T13" s="48"/>
      <c r="U13" s="48"/>
      <c r="V13" s="48"/>
      <c r="W13" s="48"/>
    </row>
    <row r="14" spans="1:24" ht="15.75">
      <c r="A14" s="44" t="s">
        <v>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Q14" s="38"/>
      <c r="R14" s="38"/>
      <c r="S14" s="49" t="s">
        <v>10</v>
      </c>
      <c r="T14" s="96" t="s">
        <v>53</v>
      </c>
      <c r="U14" s="10"/>
      <c r="V14" s="10"/>
      <c r="W14" s="10"/>
    </row>
    <row r="15" spans="1:24">
      <c r="C15" s="50"/>
    </row>
    <row r="16" spans="1:24" ht="30">
      <c r="C16" s="100" t="s">
        <v>11</v>
      </c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</row>
    <row r="17" spans="1:27" ht="15" thickBot="1"/>
    <row r="18" spans="1:27">
      <c r="A18" s="101" t="s">
        <v>12</v>
      </c>
      <c r="B18" s="103" t="s">
        <v>13</v>
      </c>
      <c r="C18" s="105" t="s">
        <v>14</v>
      </c>
      <c r="D18" s="107" t="s">
        <v>15</v>
      </c>
      <c r="E18" s="109" t="s">
        <v>16</v>
      </c>
      <c r="F18" s="109" t="s">
        <v>17</v>
      </c>
      <c r="G18" s="107" t="s">
        <v>18</v>
      </c>
      <c r="H18" s="111"/>
      <c r="I18" s="107" t="s">
        <v>19</v>
      </c>
      <c r="J18" s="111"/>
      <c r="K18" s="113" t="s">
        <v>20</v>
      </c>
      <c r="L18" s="114"/>
      <c r="M18" s="114"/>
      <c r="N18" s="114"/>
      <c r="O18" s="114"/>
      <c r="P18" s="105"/>
      <c r="Q18" s="117" t="s">
        <v>21</v>
      </c>
      <c r="R18" s="118"/>
      <c r="S18" s="113" t="s">
        <v>22</v>
      </c>
      <c r="T18" s="114"/>
      <c r="U18" s="114"/>
      <c r="V18" s="114"/>
      <c r="W18" s="114"/>
      <c r="X18" s="105"/>
      <c r="Y18" s="109" t="s">
        <v>23</v>
      </c>
      <c r="Z18" s="122" t="s">
        <v>24</v>
      </c>
    </row>
    <row r="19" spans="1:27" ht="15" thickBot="1">
      <c r="A19" s="102"/>
      <c r="B19" s="104"/>
      <c r="C19" s="106"/>
      <c r="D19" s="108"/>
      <c r="E19" s="110"/>
      <c r="F19" s="110"/>
      <c r="G19" s="108"/>
      <c r="H19" s="112"/>
      <c r="I19" s="108"/>
      <c r="J19" s="112"/>
      <c r="K19" s="115"/>
      <c r="L19" s="116"/>
      <c r="M19" s="116"/>
      <c r="N19" s="116"/>
      <c r="O19" s="116"/>
      <c r="P19" s="106"/>
      <c r="Q19" s="119"/>
      <c r="R19" s="120"/>
      <c r="S19" s="52" t="s">
        <v>25</v>
      </c>
      <c r="T19" s="53"/>
      <c r="U19" s="54" t="s">
        <v>26</v>
      </c>
      <c r="V19" s="53"/>
      <c r="W19" s="54" t="s">
        <v>27</v>
      </c>
      <c r="X19" s="51"/>
      <c r="Y19" s="110"/>
      <c r="Z19" s="123"/>
    </row>
    <row r="20" spans="1:27" ht="22.5" customHeight="1">
      <c r="A20" s="11" t="str">
        <f>T8</f>
        <v>POHK-26-17138-001</v>
      </c>
      <c r="B20" s="82" t="str">
        <f>T10</f>
        <v>6967-R1-CVS</v>
      </c>
      <c r="C20" s="12" t="s">
        <v>54</v>
      </c>
      <c r="D20" s="13">
        <v>24</v>
      </c>
      <c r="E20" s="14">
        <v>30000</v>
      </c>
      <c r="F20" s="13">
        <f>E20/D20</f>
        <v>1250</v>
      </c>
      <c r="G20" s="68">
        <v>1.3</v>
      </c>
      <c r="H20" s="56" t="s">
        <v>28</v>
      </c>
      <c r="I20" s="68">
        <v>1.68</v>
      </c>
      <c r="J20" s="57" t="s">
        <v>29</v>
      </c>
      <c r="K20" s="76">
        <v>36.700000000000003</v>
      </c>
      <c r="L20" s="77" t="s">
        <v>30</v>
      </c>
      <c r="M20" s="76">
        <v>28</v>
      </c>
      <c r="N20" s="77" t="s">
        <v>30</v>
      </c>
      <c r="O20" s="76">
        <v>17.2</v>
      </c>
      <c r="P20" s="58" t="s">
        <v>31</v>
      </c>
      <c r="Q20" s="22">
        <f>(K20*M20*O20)/(100*100*100)</f>
        <v>1.7674720000000001E-2</v>
      </c>
      <c r="R20" s="55" t="s">
        <v>32</v>
      </c>
      <c r="S20" s="23">
        <f>ROUND(Q20*F20,3)</f>
        <v>22.093</v>
      </c>
      <c r="T20" s="58" t="s">
        <v>32</v>
      </c>
      <c r="U20" s="15">
        <f>G20*F20</f>
        <v>1625</v>
      </c>
      <c r="V20" s="58" t="s">
        <v>29</v>
      </c>
      <c r="W20" s="15">
        <f>I20*F20</f>
        <v>2100</v>
      </c>
      <c r="X20" s="58" t="s">
        <v>29</v>
      </c>
      <c r="Y20" s="80" t="s">
        <v>47</v>
      </c>
      <c r="Z20" s="16" t="s">
        <v>46</v>
      </c>
    </row>
    <row r="21" spans="1:27" s="95" customFormat="1" ht="29.25" customHeight="1">
      <c r="A21" s="84"/>
      <c r="B21" s="84"/>
      <c r="C21" s="83"/>
      <c r="D21" s="85"/>
      <c r="E21" s="86">
        <f>SUM(E20:E20)</f>
        <v>30000</v>
      </c>
      <c r="F21" s="87">
        <f>SUM(F20:F20)</f>
        <v>1250</v>
      </c>
      <c r="G21" s="88"/>
      <c r="H21" s="89"/>
      <c r="I21" s="88"/>
      <c r="J21" s="90"/>
      <c r="K21" s="91"/>
      <c r="L21" s="89"/>
      <c r="M21" s="88"/>
      <c r="N21" s="89"/>
      <c r="O21" s="88"/>
      <c r="P21" s="89"/>
      <c r="Q21" s="88"/>
      <c r="R21" s="84"/>
      <c r="S21" s="92">
        <f>SUM(S20:S20)</f>
        <v>22.093</v>
      </c>
      <c r="T21" s="89" t="s">
        <v>32</v>
      </c>
      <c r="U21" s="93">
        <f>SUM(U20:U20)</f>
        <v>1625</v>
      </c>
      <c r="V21" s="89" t="s">
        <v>29</v>
      </c>
      <c r="W21" s="93">
        <f>SUM(W20:W20)</f>
        <v>2100</v>
      </c>
      <c r="X21" s="89" t="s">
        <v>29</v>
      </c>
      <c r="Y21" s="94"/>
      <c r="Z21" s="89"/>
    </row>
    <row r="23" spans="1:27" ht="15.95" customHeight="1">
      <c r="C23" t="s">
        <v>33</v>
      </c>
      <c r="H23" s="18"/>
      <c r="I23" s="17" t="s">
        <v>48</v>
      </c>
      <c r="J23" s="18"/>
      <c r="K23" s="18"/>
      <c r="L23" s="19"/>
      <c r="M23" s="18"/>
      <c r="N23" s="18"/>
      <c r="O23" s="18"/>
      <c r="P23" s="18"/>
      <c r="Q23" s="18"/>
      <c r="R23" s="18"/>
      <c r="S23" s="18"/>
    </row>
    <row r="24" spans="1:27" ht="15.95" customHeight="1">
      <c r="C24" s="60" t="s">
        <v>37</v>
      </c>
      <c r="I24" s="59"/>
    </row>
    <row r="25" spans="1:27"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61"/>
      <c r="N25" s="61"/>
      <c r="O25" s="61"/>
    </row>
    <row r="26" spans="1:27">
      <c r="C26" s="61" t="s">
        <v>34</v>
      </c>
      <c r="D26" s="61"/>
      <c r="E26" s="61"/>
      <c r="F26" s="61"/>
      <c r="G26" s="61"/>
      <c r="H26" s="61"/>
      <c r="I26" s="61"/>
      <c r="J26" s="61"/>
      <c r="K26" s="61"/>
      <c r="L26" s="62"/>
      <c r="M26" s="69" t="s">
        <v>43</v>
      </c>
      <c r="N26" s="69"/>
      <c r="O26" s="69" t="s">
        <v>43</v>
      </c>
      <c r="P26" s="18"/>
      <c r="Q26" s="18"/>
      <c r="S26" s="65" t="s">
        <v>38</v>
      </c>
      <c r="U26" s="18"/>
      <c r="V26" s="18"/>
      <c r="W26" s="18"/>
      <c r="X26" s="18"/>
      <c r="Y26" s="18"/>
      <c r="Z26" s="18"/>
      <c r="AA26" s="18"/>
    </row>
    <row r="27" spans="1:27">
      <c r="C27" s="61" t="s">
        <v>35</v>
      </c>
      <c r="D27" s="61"/>
      <c r="E27" s="61"/>
      <c r="F27" s="61"/>
      <c r="G27" s="61"/>
      <c r="H27" s="61"/>
      <c r="I27" s="61"/>
      <c r="J27" s="61"/>
      <c r="K27" s="61"/>
      <c r="L27" s="62"/>
      <c r="M27" s="70" t="s">
        <v>43</v>
      </c>
      <c r="N27" s="70"/>
      <c r="O27" s="70" t="s">
        <v>43</v>
      </c>
      <c r="P27" s="18"/>
      <c r="Q27" s="18"/>
      <c r="U27" s="18"/>
      <c r="V27" s="18"/>
      <c r="W27" s="18"/>
      <c r="X27" s="18"/>
      <c r="Y27" s="18"/>
      <c r="Z27" s="18"/>
      <c r="AA27" s="18"/>
    </row>
    <row r="28" spans="1:27">
      <c r="C28" s="61" t="s">
        <v>44</v>
      </c>
      <c r="D28" s="61"/>
      <c r="E28" s="61"/>
      <c r="F28" s="61"/>
      <c r="G28" s="61"/>
      <c r="H28" s="61"/>
      <c r="I28" s="61"/>
      <c r="J28" s="61"/>
      <c r="K28" s="61"/>
      <c r="L28" s="62"/>
      <c r="M28" s="71" t="s">
        <v>43</v>
      </c>
      <c r="N28" s="71"/>
      <c r="O28" s="71" t="s">
        <v>43</v>
      </c>
      <c r="U28" s="18"/>
      <c r="V28" s="18"/>
      <c r="W28" s="18"/>
      <c r="X28" s="18"/>
      <c r="Y28" s="18"/>
      <c r="Z28" s="18"/>
      <c r="AA28" s="18"/>
    </row>
    <row r="29" spans="1:27">
      <c r="C29" s="61"/>
      <c r="D29" s="61"/>
      <c r="E29" s="61"/>
      <c r="F29" s="61"/>
      <c r="G29" s="61"/>
      <c r="H29" s="61"/>
      <c r="I29" s="61"/>
      <c r="J29" s="61"/>
      <c r="K29" s="61"/>
      <c r="L29" s="62"/>
      <c r="M29" s="61"/>
      <c r="N29" s="63"/>
      <c r="O29" s="63"/>
      <c r="U29" s="18"/>
      <c r="V29" s="18"/>
      <c r="W29" s="18"/>
      <c r="X29" s="18"/>
      <c r="Y29" s="18"/>
      <c r="Z29" s="18"/>
      <c r="AA29" s="18"/>
    </row>
    <row r="30" spans="1:27">
      <c r="C30" s="64" t="s">
        <v>36</v>
      </c>
      <c r="D30" s="65"/>
      <c r="E30" s="65"/>
      <c r="F30" s="65"/>
      <c r="G30" s="65"/>
      <c r="H30" s="63"/>
      <c r="I30" s="63"/>
      <c r="J30" s="63"/>
      <c r="K30" s="63"/>
      <c r="L30" s="66"/>
      <c r="M30" s="63"/>
      <c r="N30" s="63"/>
      <c r="O30" s="63"/>
      <c r="U30" s="18"/>
      <c r="V30" s="18"/>
      <c r="W30" s="18"/>
      <c r="X30" s="18"/>
      <c r="Y30" s="18"/>
      <c r="Z30" s="18"/>
      <c r="AA30" s="18"/>
    </row>
    <row r="31" spans="1:27">
      <c r="C31" s="65" t="s">
        <v>49</v>
      </c>
      <c r="D31" s="78"/>
      <c r="E31" s="78"/>
      <c r="F31" s="65"/>
      <c r="G31" s="65"/>
      <c r="H31" s="65"/>
      <c r="I31" s="65"/>
      <c r="J31" s="65"/>
      <c r="K31" s="65"/>
      <c r="L31" s="65"/>
      <c r="M31" s="79"/>
      <c r="N31" s="65"/>
      <c r="P31" s="67"/>
      <c r="U31" s="18"/>
      <c r="V31" s="18"/>
      <c r="W31" s="18"/>
      <c r="X31" s="18"/>
      <c r="Y31" s="18"/>
      <c r="Z31" s="18"/>
      <c r="AA31" s="18"/>
    </row>
    <row r="32" spans="1:27" ht="39.75" customHeight="1">
      <c r="C32" s="121" t="s">
        <v>50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U32" s="18"/>
      <c r="V32" s="18"/>
      <c r="W32" s="18"/>
      <c r="X32" s="18"/>
      <c r="Y32" s="18"/>
      <c r="Z32" s="18"/>
      <c r="AA32" s="18"/>
    </row>
    <row r="33" spans="3:27">
      <c r="C33" s="20"/>
      <c r="D33" s="21"/>
      <c r="E33" s="21"/>
      <c r="F33" s="21"/>
      <c r="G33" s="21"/>
      <c r="H33" s="18"/>
      <c r="I33" s="18"/>
      <c r="J33" s="18"/>
      <c r="K33" s="18"/>
      <c r="L33" s="18"/>
      <c r="M33" s="18"/>
      <c r="U33" s="18"/>
      <c r="V33" s="18"/>
      <c r="W33" s="18"/>
      <c r="X33" s="18"/>
      <c r="Y33" s="18"/>
      <c r="Z33" s="18"/>
      <c r="AA33" s="18"/>
    </row>
    <row r="34" spans="3:27">
      <c r="C34" s="64" t="s">
        <v>39</v>
      </c>
      <c r="D34" s="21" t="s">
        <v>42</v>
      </c>
      <c r="E34" s="21"/>
      <c r="F34" s="21"/>
      <c r="G34" s="21"/>
      <c r="H34" s="18"/>
      <c r="I34" s="18"/>
      <c r="J34" s="18"/>
      <c r="K34" s="18"/>
      <c r="U34" s="18"/>
      <c r="V34" s="18"/>
      <c r="W34" s="18"/>
      <c r="X34" s="18"/>
      <c r="Y34" s="18"/>
      <c r="Z34" s="18"/>
      <c r="AA34" s="18"/>
    </row>
    <row r="35" spans="3:27">
      <c r="C35" s="97">
        <v>635200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3:27"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3:27">
      <c r="C37" s="18"/>
      <c r="D37" s="18"/>
      <c r="E37" s="18"/>
      <c r="F37" s="18"/>
      <c r="G37" s="18"/>
      <c r="H37" s="18"/>
      <c r="I37" s="18"/>
      <c r="J37" s="18"/>
      <c r="K37" s="18"/>
      <c r="L37" s="19"/>
      <c r="M37" s="18"/>
      <c r="N37" s="18"/>
      <c r="O37" s="18"/>
      <c r="P37" s="18"/>
      <c r="Q37" s="18"/>
      <c r="R37" s="18"/>
      <c r="S37" s="18"/>
      <c r="T37" s="18"/>
    </row>
    <row r="38" spans="3:27">
      <c r="C38" s="18"/>
      <c r="D38" s="18"/>
      <c r="E38" s="18"/>
      <c r="F38" s="18"/>
      <c r="G38" s="18"/>
      <c r="H38" s="18"/>
      <c r="I38" s="18"/>
      <c r="J38" s="18"/>
      <c r="K38" s="18"/>
      <c r="L38" s="19"/>
      <c r="M38" s="18"/>
      <c r="N38" s="18"/>
      <c r="O38" s="18"/>
      <c r="P38" s="18"/>
      <c r="Q38" s="18"/>
      <c r="R38" s="18"/>
      <c r="S38" s="18"/>
      <c r="T38" s="18"/>
    </row>
  </sheetData>
  <mergeCells count="18">
    <mergeCell ref="C32:N32"/>
    <mergeCell ref="Y18:Y19"/>
    <mergeCell ref="Z18:Z19"/>
    <mergeCell ref="T8:V8"/>
    <mergeCell ref="T10:V10"/>
    <mergeCell ref="A3:X3"/>
    <mergeCell ref="C16:X16"/>
    <mergeCell ref="A18:A19"/>
    <mergeCell ref="B18:B19"/>
    <mergeCell ref="C18:C19"/>
    <mergeCell ref="D18:D19"/>
    <mergeCell ref="E18:E19"/>
    <mergeCell ref="F18:F19"/>
    <mergeCell ref="G18:H19"/>
    <mergeCell ref="I18:J19"/>
    <mergeCell ref="K18:P19"/>
    <mergeCell ref="Q18:R19"/>
    <mergeCell ref="S18:X18"/>
  </mergeCells>
  <phoneticPr fontId="35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jpjp</dc:subject>
  <dc:creator>Terry Ma</dc:creator>
  <dc:description>jpjp</dc:description>
  <cp:lastModifiedBy>yun qiu</cp:lastModifiedBy>
  <cp:lastPrinted>2026-08-26T01:50:32Z</cp:lastPrinted>
  <dcterms:created xsi:type="dcterms:W3CDTF">2026-07-30T01:48:17Z</dcterms:created>
  <dcterms:modified xsi:type="dcterms:W3CDTF">2026-09-11T17:37:17Z</dcterms:modified>
</cp:coreProperties>
</file>